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ustomProperty15.bin" ContentType="application/vnd.openxmlformats-officedocument.spreadsheetml.customProperty"/>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16.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portal.oecd.org/eshare/els/pc/Deliverables/Family/5_Family_Database/3_PF/1_sources-raw-data-working-files/PF2.1-PF2.4-PF2.5/2026/Working/"/>
    </mc:Choice>
  </mc:AlternateContent>
  <xr:revisionPtr revIDLastSave="0" documentId="13_ncr:1_{564474C0-36BF-49B3-B821-26ED3AB70AF9}" xr6:coauthVersionLast="47" xr6:coauthVersionMax="47" xr10:uidLastSave="{00000000-0000-0000-0000-000000000000}"/>
  <bookViews>
    <workbookView xWindow="-15660" yWindow="-16320" windowWidth="29040" windowHeight="15720" tabRatio="888" xr2:uid="{00000000-000D-0000-FFFF-FFFF00000000}"/>
  </bookViews>
  <sheets>
    <sheet name="Table PF2.1.A" sheetId="11" r:id="rId1"/>
    <sheet name="Table PF2.1.B" sheetId="25" r:id="rId2"/>
    <sheet name="Chart PF2.1.A" sheetId="23" r:id="rId3"/>
    <sheet name="Chart PF2.1.B" sheetId="38" r:id="rId4"/>
    <sheet name="Chart PF2.1.C" sheetId="39" r:id="rId5"/>
    <sheet name="Chart PF2.1.D" sheetId="45" r:id="rId6"/>
    <sheet name="Chart PF2.1.E" sheetId="46" r:id="rId7"/>
  </sheets>
  <externalReferences>
    <externalReference r:id="rId8"/>
    <externalReference r:id="rId9"/>
    <externalReference r:id="rId10"/>
    <externalReference r:id="rId11"/>
  </externalReferences>
  <definedNames>
    <definedName name="_xlnm._FilterDatabase" localSheetId="2" hidden="1">'Chart PF2.1.A'!$R$8:$T$8</definedName>
    <definedName name="_xlnm._FilterDatabase" localSheetId="3" hidden="1">'Chart PF2.1.B'!$R$8:$T$8</definedName>
    <definedName name="_xlnm._FilterDatabase" localSheetId="4" hidden="1">'Chart PF2.1.C'!$R$6:$V$8</definedName>
    <definedName name="_xlnm._FilterDatabase" localSheetId="5" hidden="1">'Chart PF2.1.D'!$M$6:$R$7</definedName>
    <definedName name="C_British_Virgin_Islands" localSheetId="5">[1]Tables!#REF!</definedName>
    <definedName name="C_British_Virgin_Islands" localSheetId="6">#REF!</definedName>
    <definedName name="C_British_Virgin_Islands">[1]Tables!#REF!</definedName>
    <definedName name="C_British_Virgin_Islands1" localSheetId="5">[1]Tables!#REF!</definedName>
    <definedName name="C_British_Virgin_Islands1" localSheetId="6">#REF!</definedName>
    <definedName name="C_British_Virgin_Islands1">[1]Tables!#REF!</definedName>
    <definedName name="cc" localSheetId="5">#REF!</definedName>
    <definedName name="cc" localSheetId="6">#REF!</definedName>
    <definedName name="cc">#REF!</definedName>
    <definedName name="Country_Mean" localSheetId="6">#REF!</definedName>
    <definedName name="Country_Mean">[2]!Country_Mean</definedName>
    <definedName name="cstAggregateType">"G21"</definedName>
    <definedName name="cstCountryNameColumn">2</definedName>
    <definedName name="cstDataColumn">13</definedName>
    <definedName name="cstDataRange">"I13:I244"</definedName>
    <definedName name="cstDisplayType">"G24"</definedName>
    <definedName name="cstNumDecimals">"G25"</definedName>
    <definedName name="cstReportNoteColumn">9</definedName>
    <definedName name="_xlnm.Database">#REF!</definedName>
    <definedName name="Database_MI" localSheetId="6">#REF!</definedName>
    <definedName name="Database_MI">#REF!</definedName>
    <definedName name="dataRange">"I13:I244"</definedName>
    <definedName name="footnotes" localSheetId="6">'Chart PF2.1.E'!$A$22,'Chart PF2.1.E'!$A$23:$I$24</definedName>
    <definedName name="in">#N/A</definedName>
    <definedName name="indicatorsoffset">#REF!</definedName>
    <definedName name="lll" localSheetId="6">#REF!</definedName>
    <definedName name="lll">[3]WorldLatestPrevalence!$A$1:$I$192</definedName>
    <definedName name="Notes" localSheetId="6">'Chart PF2.1.E'!$A$22</definedName>
    <definedName name="NZ_Ed.Sys">#N/A</definedName>
    <definedName name="overseas">#N/A</definedName>
    <definedName name="_xlnm.Print_Area" localSheetId="2">'Chart PF2.1.A'!$C$6:$N$53</definedName>
    <definedName name="_xlnm.Print_Area" localSheetId="3">'Chart PF2.1.B'!$C$6:$N$53</definedName>
    <definedName name="_xlnm.Print_Area" localSheetId="4">'Chart PF2.1.C'!$C$5:$N$53</definedName>
    <definedName name="_xlnm.Print_Area" localSheetId="6">'Chart PF2.1.E'!$A$6:$I$20</definedName>
    <definedName name="_xlnm.Print_Area" localSheetId="0">'Table PF2.1.A'!$A$1:$K$66</definedName>
    <definedName name="_xlnm.Print_Area" localSheetId="1">'Table PF2.1.B'!$A$1:$K$65</definedName>
    <definedName name="qryWorldOverallPrevalence" localSheetId="5">#REF!</definedName>
    <definedName name="qryWorldOverallPrevalence" localSheetId="6">#REF!</definedName>
    <definedName name="qryWorldOverallPrevalence">#REF!</definedName>
    <definedName name="Source" localSheetId="6">'Chart PF2.1.E'!$A$23:$I$24</definedName>
    <definedName name="Subtitle" localSheetId="6">'Chart PF2.1.E'!$A$3:$I$4</definedName>
    <definedName name="termix">#N/A</definedName>
    <definedName name="title" localSheetId="6">'Chart PF2.1.E'!$A$1:$I$4</definedName>
    <definedName name="Title_" localSheetId="6">'Chart PF2.1.E'!$A$1:$I$2</definedName>
    <definedName name="TopOfTable_Table_1" localSheetId="5">#REF!</definedName>
    <definedName name="TopOfTable_Table_1" localSheetId="6">#REF!</definedName>
    <definedName name="TopOfTable_Table_1">#REF!</definedName>
    <definedName name="TopOfTable_Table_6" localSheetId="5">#REF!</definedName>
    <definedName name="TopOfTable_Table_6" localSheetId="6">#REF!</definedName>
    <definedName name="TopOfTable_Table_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3" i="39" l="1"/>
  <c r="H52" i="39"/>
  <c r="H51" i="39"/>
  <c r="H50" i="39"/>
  <c r="H49" i="39"/>
  <c r="H48" i="39"/>
  <c r="H47" i="39"/>
  <c r="H46" i="39"/>
  <c r="H45" i="39"/>
  <c r="H44" i="39"/>
  <c r="H43" i="39"/>
  <c r="H42" i="39"/>
  <c r="H41" i="39"/>
  <c r="H40" i="39"/>
  <c r="H39" i="39"/>
  <c r="H38" i="39"/>
  <c r="H37" i="39"/>
  <c r="H36" i="39"/>
  <c r="H35" i="39"/>
  <c r="H34" i="39"/>
  <c r="H33" i="39"/>
  <c r="H32" i="39"/>
  <c r="H31" i="39"/>
  <c r="H30" i="39"/>
  <c r="H29" i="39"/>
  <c r="H28" i="39"/>
  <c r="H27" i="39"/>
  <c r="H26" i="39"/>
  <c r="H25" i="39"/>
  <c r="H24" i="39"/>
  <c r="H23" i="39"/>
  <c r="H22" i="39"/>
  <c r="H21" i="39"/>
  <c r="H20" i="39"/>
  <c r="H19" i="39"/>
  <c r="H18" i="39"/>
  <c r="H17" i="39"/>
  <c r="H16" i="39"/>
  <c r="H15" i="39"/>
  <c r="H14" i="39"/>
  <c r="H13" i="39"/>
  <c r="H12" i="39"/>
  <c r="H11" i="39"/>
  <c r="H10" i="39"/>
  <c r="H53" i="38"/>
  <c r="H52" i="38"/>
  <c r="H51" i="38"/>
  <c r="H50" i="38"/>
  <c r="H49" i="38"/>
  <c r="H48" i="38"/>
  <c r="H47" i="38"/>
  <c r="H46" i="38"/>
  <c r="H45" i="38"/>
  <c r="H44" i="38"/>
  <c r="H43" i="38"/>
  <c r="H42" i="38"/>
  <c r="H41" i="38"/>
  <c r="H40" i="38"/>
  <c r="H39" i="38"/>
  <c r="H38" i="38"/>
  <c r="H37" i="38"/>
  <c r="H36" i="38"/>
  <c r="H35" i="38"/>
  <c r="H34" i="38"/>
  <c r="H33" i="38"/>
  <c r="H32" i="38"/>
  <c r="H31" i="38"/>
  <c r="H30" i="38"/>
  <c r="H29" i="38"/>
  <c r="H28" i="38"/>
  <c r="H27" i="38"/>
  <c r="H26" i="38"/>
  <c r="H25" i="38"/>
  <c r="H24" i="38"/>
  <c r="H23" i="38"/>
  <c r="H22" i="38"/>
  <c r="H21" i="38"/>
  <c r="H20" i="38"/>
  <c r="H19" i="38"/>
  <c r="H18" i="38"/>
  <c r="H17" i="38"/>
  <c r="H16" i="38"/>
  <c r="H15" i="38"/>
  <c r="H14" i="38"/>
  <c r="H13" i="38"/>
  <c r="H12" i="38"/>
  <c r="H11" i="38"/>
  <c r="H10" i="38"/>
  <c r="H42" i="23"/>
  <c r="H31" i="23"/>
  <c r="H30" i="23"/>
  <c r="H9" i="23"/>
  <c r="H41" i="23" l="1"/>
  <c r="H29" i="23"/>
  <c r="H53" i="23"/>
  <c r="H9" i="39" l="1"/>
  <c r="H10" i="23"/>
  <c r="H11" i="23"/>
  <c r="H12" i="23"/>
  <c r="H13" i="23"/>
  <c r="H14" i="23"/>
  <c r="H15" i="23"/>
  <c r="H16" i="23"/>
  <c r="H17" i="23"/>
  <c r="H18" i="23"/>
  <c r="H19" i="23"/>
  <c r="H20" i="23"/>
  <c r="H21" i="23"/>
  <c r="H22" i="23"/>
  <c r="H23" i="23"/>
  <c r="H24" i="23"/>
  <c r="H25" i="23"/>
  <c r="H26" i="23"/>
  <c r="H27" i="23"/>
  <c r="H28" i="23"/>
  <c r="H32" i="23"/>
  <c r="H33" i="23"/>
  <c r="H34" i="23"/>
  <c r="H35" i="23"/>
  <c r="H36" i="23"/>
  <c r="H37" i="23"/>
  <c r="H38" i="23"/>
  <c r="H39" i="23"/>
  <c r="H40" i="23"/>
  <c r="H43" i="23"/>
  <c r="H44" i="23"/>
  <c r="H45" i="23"/>
  <c r="H46" i="23"/>
  <c r="H47" i="23"/>
  <c r="H48" i="23"/>
  <c r="H49" i="23"/>
  <c r="H50" i="23"/>
  <c r="H51" i="23"/>
  <c r="H52" i="23"/>
  <c r="H9" i="38" l="1"/>
  <c r="V15" i="39" l="1"/>
  <c r="V48" i="39" l="1"/>
  <c r="V39" i="39"/>
  <c r="V41" i="39"/>
  <c r="V10" i="39"/>
  <c r="V37" i="39"/>
  <c r="V46" i="39"/>
  <c r="V33" i="39"/>
  <c r="V36" i="39"/>
  <c r="V22" i="39"/>
  <c r="V43" i="39"/>
  <c r="V18" i="39"/>
  <c r="V38" i="39"/>
  <c r="V45" i="39"/>
  <c r="V50" i="39"/>
  <c r="V21" i="39"/>
  <c r="V25" i="39"/>
  <c r="V44" i="39"/>
  <c r="V13" i="39"/>
  <c r="V16" i="39"/>
  <c r="V32" i="39"/>
  <c r="V47" i="39"/>
  <c r="V49" i="39"/>
  <c r="V26" i="39" l="1"/>
  <c r="V30" i="39"/>
  <c r="V28" i="39"/>
  <c r="V20" i="39"/>
  <c r="V29" i="39"/>
  <c r="V35" i="39"/>
  <c r="V31" i="39"/>
  <c r="V17" i="39"/>
  <c r="V40" i="39"/>
  <c r="V42" i="39"/>
  <c r="V34" i="39"/>
  <c r="V53" i="39"/>
  <c r="V11" i="39"/>
  <c r="V12" i="39"/>
  <c r="V24" i="39"/>
  <c r="V52" i="39"/>
  <c r="V51" i="39"/>
  <c r="V14" i="39"/>
  <c r="V23" i="39"/>
  <c r="V19" i="39"/>
  <c r="V27" i="39"/>
  <c r="V9" i="39"/>
  <c r="F30" i="25" l="1"/>
  <c r="G30" i="25"/>
  <c r="J30" i="25" l="1"/>
  <c r="H30" i="25"/>
  <c r="I30" i="25"/>
  <c r="K30" i="25" s="1"/>
</calcChain>
</file>

<file path=xl/sharedStrings.xml><?xml version="1.0" encoding="utf-8"?>
<sst xmlns="http://schemas.openxmlformats.org/spreadsheetml/2006/main" count="422" uniqueCount="109">
  <si>
    <t>Australia</t>
  </si>
  <si>
    <t>Austria</t>
  </si>
  <si>
    <t>Belgium</t>
  </si>
  <si>
    <t>Canada</t>
  </si>
  <si>
    <t>Denmark</t>
  </si>
  <si>
    <t>Estonia</t>
  </si>
  <si>
    <t>Finland</t>
  </si>
  <si>
    <t>France</t>
  </si>
  <si>
    <t>Germany</t>
  </si>
  <si>
    <t>Greece</t>
  </si>
  <si>
    <t>Hungary</t>
  </si>
  <si>
    <t>Iceland</t>
  </si>
  <si>
    <t>Ireland</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</si>
  <si>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</si>
  <si>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</si>
  <si>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</si>
  <si>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</si>
  <si>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</si>
  <si>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</si>
  <si>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</si>
  <si>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</si>
  <si>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</si>
  <si>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</si>
  <si>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</si>
  <si>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</si>
  <si>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</si>
  <si>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</si>
  <si>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</si>
  <si>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</si>
  <si>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</si>
  <si>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United Kingdom</t>
  </si>
  <si>
    <t>United States</t>
  </si>
  <si>
    <t>Chile</t>
  </si>
  <si>
    <t>OECD average</t>
  </si>
  <si>
    <t>Israel</t>
  </si>
  <si>
    <t>Bulgaria</t>
  </si>
  <si>
    <t>Croatia</t>
  </si>
  <si>
    <t>Cyprus</t>
  </si>
  <si>
    <t>Malta</t>
  </si>
  <si>
    <t>Romania</t>
  </si>
  <si>
    <t>(1)</t>
  </si>
  <si>
    <t>(2)</t>
  </si>
  <si>
    <t>(3)</t>
  </si>
  <si>
    <t>(4)</t>
  </si>
  <si>
    <t>(6)</t>
  </si>
  <si>
    <t>Paid maternity leave</t>
  </si>
  <si>
    <t>-</t>
  </si>
  <si>
    <t>Paid parental and home care leave</t>
  </si>
  <si>
    <t>Payment rate (%)</t>
  </si>
  <si>
    <t>Panel B. Average payment rate across paid father-specific leave (%)</t>
  </si>
  <si>
    <t>Length in weeks</t>
  </si>
  <si>
    <t>Panel A. Weeks of paid parental and home care leave</t>
  </si>
  <si>
    <t>Panel B. Average payment rate across paid parental and home care leave (%)</t>
  </si>
  <si>
    <t>Panel A. Weeks of paid maternity leave</t>
  </si>
  <si>
    <t>Total paid leave available to mothers</t>
  </si>
  <si>
    <t>Paid paternity leave</t>
  </si>
  <si>
    <t>Total paid leave reserved for fathers</t>
  </si>
  <si>
    <t>Paternity leave</t>
  </si>
  <si>
    <t>Father-specific parental and homecare leave</t>
  </si>
  <si>
    <t>Average payment rate (%) across father-specific leave</t>
  </si>
  <si>
    <t>Panel A. Weeks of father-specific leave</t>
  </si>
  <si>
    <t>Panel B. Average payment rate across paid maternity leave (%)</t>
  </si>
  <si>
    <t>(5)</t>
  </si>
  <si>
    <t>(7)=(1)+(4)</t>
  </si>
  <si>
    <t>(8)</t>
  </si>
  <si>
    <t>(9)</t>
  </si>
  <si>
    <t>EU average</t>
  </si>
  <si>
    <t>Costa Rica</t>
  </si>
  <si>
    <r>
      <rPr>
        <sz val="10"/>
        <rFont val="Arial Narrow"/>
        <family val="2"/>
      </rPr>
      <t xml:space="preserve">Table PF2.1.A. </t>
    </r>
    <r>
      <rPr>
        <b/>
        <sz val="10"/>
        <rFont val="Arial Narrow"/>
        <family val="2"/>
      </rPr>
      <t>Summary of paid leave entitlements available to mothers</t>
    </r>
  </si>
  <si>
    <r>
      <t>Average payment rate</t>
    </r>
    <r>
      <rPr>
        <sz val="8"/>
        <rFont val="Arial Narrow"/>
        <family val="2"/>
      </rPr>
      <t xml:space="preserve"> (%)</t>
    </r>
  </si>
  <si>
    <t>Length (weeks)</t>
  </si>
  <si>
    <t>Full-rate equivalent (weeks)</t>
  </si>
  <si>
    <r>
      <rPr>
        <sz val="10"/>
        <rFont val="Arial Narrow"/>
        <family val="2"/>
      </rPr>
      <t xml:space="preserve">Table PF2.1.B. </t>
    </r>
    <r>
      <rPr>
        <b/>
        <sz val="10"/>
        <rFont val="Arial Narrow"/>
        <family val="2"/>
      </rPr>
      <t>Summary of paid leave entitlements for fathers</t>
    </r>
  </si>
  <si>
    <t>Paid parental and home care leave available to mothers</t>
  </si>
  <si>
    <t>Paid parental and home care leave reserved for fathers</t>
  </si>
  <si>
    <t>a. See note a. to Table PF2.1.A</t>
  </si>
  <si>
    <t>b. See note b. to Table PF2.1.A</t>
  </si>
  <si>
    <t>c. See note c. to Table PF2.1.A</t>
  </si>
  <si>
    <t>Colombia</t>
  </si>
  <si>
    <r>
      <t xml:space="preserve">Chart PF2.1.A. </t>
    </r>
    <r>
      <rPr>
        <b/>
        <sz val="10"/>
        <color rgb="FF000000"/>
        <rFont val="Arial Narrow"/>
        <family val="2"/>
      </rPr>
      <t>Paid maternity leave</t>
    </r>
  </si>
  <si>
    <r>
      <t xml:space="preserve">Chart PF2.1.B. </t>
    </r>
    <r>
      <rPr>
        <b/>
        <sz val="10"/>
        <color rgb="FF000000"/>
        <rFont val="Arial Narrow"/>
        <family val="2"/>
      </rPr>
      <t>Paid parental and home care leave available to mothers</t>
    </r>
  </si>
  <si>
    <t>Türkiye</t>
  </si>
  <si>
    <t>OECD Average</t>
  </si>
  <si>
    <t>Earmarked for mothers</t>
  </si>
  <si>
    <t>Earmarked for fathers</t>
  </si>
  <si>
    <t>Shareable (most often taken by mothers)</t>
  </si>
  <si>
    <t>Source: see tables PF2.1.C-PF2.1.E</t>
  </si>
  <si>
    <t xml:space="preserve">France </t>
  </si>
  <si>
    <t>Sources: See Tables PF2.1.C-PF2.1.E</t>
  </si>
  <si>
    <r>
      <t xml:space="preserve">Chart PF2.1.C. </t>
    </r>
    <r>
      <rPr>
        <b/>
        <sz val="10"/>
        <color rgb="FF000000"/>
        <rFont val="Arial Narrow"/>
        <family val="2"/>
      </rPr>
      <t>Paid leave earmarked for fathers</t>
    </r>
  </si>
  <si>
    <t>Sources: See tables PF2.1.C-PF2.1.E</t>
  </si>
  <si>
    <t>Paid maternity, parental and home care leave available to mothers, in weeks, 2025</t>
  </si>
  <si>
    <t>Paid paternity leave and paid parental and home care leave (effectively) earmarked for fathers, in weeks, in weeks, 2025</t>
  </si>
  <si>
    <t>Duration of paid maternity leave and the average payment rate across paid maternity leave for an individual on national average earnings, 2025</t>
  </si>
  <si>
    <t>Duration of paid parental and home care leave available to mothers, and the average payment rate across paid parental and home care leave available to mothers for an individual on national average earnings, 2025</t>
  </si>
  <si>
    <t>Duration of paid paternity leave and paid father-specific parental and home care leave in weeks, and the average payment rate across paid paternity and father-specific leave for an individual on national average earnings, 2025</t>
  </si>
  <si>
    <t>Notes: Information refers to paid parental leave and subsequent periods of paid home care leave to care for young children (sometimes under a different name, for example, “childcare leave” or “child raising leave”, or the Complément de Libre Choix d’Activité in France). The table refers to paid leave entitlements in place as of April 2025. Data reflect entitlements at the national or federal level only, and do not reflect regional variations or additional/alternative entitlements provided by states/provinces or local governments in some countries (e.g. Québec in Canada, or California in the United States). The "average payment rate" refers the proportion of previous earnings replaced by the benefit over the length of the paid leave entitlement for a person earning 100% of average national full-time earnings. If this covers more than one period of leave at two different payment rates then a weighted average is calculated based on the length of each period. In most countries benefits are calculated on the basis of gross earnings, with the "payment rates" shown reflecting the proportion of gross earnings replaced by the benefit. In Austria, Chile, Germany. Lithuania and Romania (parental leave only), benefits are calculated based on previous net (post income tax and social security contribution) earnings, while in France benefits are calculated based on post-social-security-contribution earnings. Payment rates for these countries reflect the proportion of the appropriate net earnings replaced by the benefit. Additionally, in some countries maternity and parental benefits may be subject to taxation and may count towards the income base for social security contributions. As a result, the amounts actual amounts received by the individual on leave may differ from those shown in the table. See Tables PF2.1.C, PF2.1.D, and PF2.1.E for details on benefit payment rules and conditions. Data on all earnings refer to 2024 and net earnings for Chile refer to 2016.</t>
  </si>
  <si>
    <t>Notes: Information refers to entitlements to paternity leave, 'father quotas' or periods of parental leave that can be used only by the father and cannot be transferred to the mother, and any weeks of sharable leave that must be taken by the father in order for the family to qualify for 'bonus' weeks of parental leave. The table refers to paid leave entitlements in place as of April 2025. Data reflect entitlements at the national or federal level only, and do not reflect regional variations or additional/alternative entitlements provided by states/provinces or local governments in some countries (e.g. Québec in Canada, or California in the United States). he "average payment rate" refers the proportion of previous earnings replaced by the benefit over the length of the paid leave entitlement for a person earning 100% of average national full-time earnings. If this covers more than one period of leave at two different payment rates then a weighted average is calculated based on the length of each period. In most countries benefits are calculated on the basis of gross earnings, with the "payment rates" shown reflecting the proportion of gross earnings replaced by the benefit. In Austria, Chile, Germany, Lithuania and Romania (parental leave only), benefits are calculated based on previous net (post income tax and social security contribution) earnings, while in France benefits are calculated based on post-social-security-contribution earnings. Payment rates for these countries reflect the proportion of the appropriate net earnings replaced by the benefit. Additionally, in some countries maternity and parental benefits may be subject to taxation and may count towards the income base for social security contributions. As a result, the amounts actual amounts received by the individual on leave may differ from those shown in the table. See Tables PF2.1.C, PF2.1.D, and PF2.1.E for details on benefit payment rules and conditions. Data on all earnings refer to 2024 and net earnings for Chile refer to 2016.</t>
  </si>
  <si>
    <t>Note: Striped bars indicate payment rates based on net earnings. See notes to Table PF2.1.A.</t>
  </si>
  <si>
    <t>Note: Striped bars indicates payment rates based on net earnings. See notes to Table PF2.1.A.</t>
  </si>
  <si>
    <t>Note: Striped bars indicate payment rates based on net earnings. For Romania, the payment rate for paternity leave is based on gross earnings, while the payment rate for father-specific parental leave is based on net earnings. See notes to Table PF2.1.B.</t>
  </si>
  <si>
    <t>Duration of earmarked and shareable child-related leave entitlements, in weeks, 2025</t>
  </si>
  <si>
    <r>
      <t xml:space="preserve">Chart PF2.1.D. </t>
    </r>
    <r>
      <rPr>
        <b/>
        <sz val="10"/>
        <color rgb="FF000000"/>
        <rFont val="Arial Narrow"/>
        <family val="2"/>
      </rPr>
      <t>Earmarked and shareable child-related leave entitlements</t>
    </r>
  </si>
  <si>
    <t>Note: Information refers to paid child-related leave entitlements to care for young children in place as of April 2025, such as maternity-, paternity-, home care- and parental leave. Periods labelled “earmarked for mothers” and “earmarked for fathers” refer to individual non-transferable entitlements for paid employment-protected leave of absence for employed parents, “mummy and daddy quotas” or periods of an overall leave entitlement that can be used only by one parent and cannot be transferred to the other, as well as any weeks of shareable leave that must be taken by one or both parents for the family to qualify for “bonus” weeks of parental leave. Periods labelled “earmarked for mothers” includes weeks of maternity leave that are transferable to fathers. Weeks of shareable leave refer to parental- and home care leave entitlements that can be freely shared between mothers and fathers. For Japan, the 44 weeks of the individual parental leave entitlements for the mother must be taken used simultaneously with the father if both parents are to use the entirety of their entitlement. The bar is therefore shaded. For other details, see notes to Tables PF2.1.A. and PF2.1.B.</t>
  </si>
  <si>
    <r>
      <rPr>
        <sz val="10"/>
        <color rgb="FF000000"/>
        <rFont val="Arial Narrow"/>
        <family val="2"/>
      </rPr>
      <t>Chart PF2.1.E.</t>
    </r>
    <r>
      <rPr>
        <b/>
        <sz val="10"/>
        <color rgb="FF000000"/>
        <rFont val="Arial Narrow"/>
        <family val="2"/>
      </rPr>
      <t xml:space="preserve"> Public expenditure on maternity and parental leaves</t>
    </r>
  </si>
  <si>
    <t>Public expenditure on maternity, paternity and parental and home care leaves per live birth, in current USD PPP, 2021</t>
  </si>
  <si>
    <t>Czechia</t>
  </si>
  <si>
    <t xml:space="preserve">OECD-35 average </t>
  </si>
  <si>
    <t>Source: OECD Social Expenditure Database and OECD data explorer (PPP detailed results and Fertility -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</si>
</sst>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quot;On&quot;;&quot;On&quot;;&quot;Off&quot;"/>
    <numFmt numFmtId="167" formatCode="#,##0.0,_)"/>
    <numFmt numFmtId="168" formatCode=";;;"/>
  </numFmts>
  <fonts count="32">
    <font>
      <sz val="10"/>
      <name val="Arial"/>
    </font>
    <font>
      <sz val="10"/>
      <color theme="1"/>
      <name val="Arial Narrow"/>
      <family val="2"/>
    </font>
    <font>
      <sz val="10"/>
      <color theme="1"/>
      <name val="Arial"/>
      <family val="2"/>
    </font>
    <font>
      <sz val="8"/>
      <name val="Arial"/>
      <family val="2"/>
    </font>
    <font>
      <sz val="10"/>
      <name val="Arial"/>
      <family val="2"/>
    </font>
    <font>
      <sz val="10"/>
      <color indexed="8"/>
      <name val="Arial"/>
      <family val="2"/>
    </font>
    <font>
      <sz val="10"/>
      <color indexed="9"/>
      <name val="Arial"/>
      <family val="2"/>
    </font>
    <font>
      <u/>
      <sz val="10"/>
      <color indexed="12"/>
      <name val="Arial"/>
      <family val="2"/>
    </font>
    <font>
      <b/>
      <sz val="10"/>
      <color indexed="8"/>
      <name val="Arial"/>
      <family val="2"/>
    </font>
    <font>
      <sz val="7"/>
      <name val="Arial"/>
      <family val="2"/>
    </font>
    <font>
      <sz val="10"/>
      <name val="Arial CE"/>
      <charset val="238"/>
    </font>
    <font>
      <sz val="10"/>
      <name val="Times New Roman"/>
      <family val="1"/>
    </font>
    <font>
      <sz val="11"/>
      <name val="ＭＳ Ｐゴシック"/>
      <family val="3"/>
      <charset val="128"/>
    </font>
    <font>
      <sz val="10"/>
      <name val="Arial Narrow"/>
      <family val="2"/>
    </font>
    <font>
      <sz val="8"/>
      <color indexed="8"/>
      <name val="Arial Narrow"/>
      <family val="2"/>
    </font>
    <font>
      <sz val="8"/>
      <name val="Arial Narrow"/>
      <family val="2"/>
    </font>
    <font>
      <b/>
      <sz val="10"/>
      <name val="Arial Narrow"/>
      <family val="2"/>
    </font>
    <font>
      <sz val="10"/>
      <color indexed="8"/>
      <name val="Arial Narrow"/>
      <family val="2"/>
    </font>
    <font>
      <sz val="9"/>
      <color indexed="8"/>
      <name val="Arial"/>
      <family val="2"/>
    </font>
    <font>
      <u/>
      <sz val="10"/>
      <color theme="10"/>
      <name val="Arial"/>
      <family val="2"/>
    </font>
    <font>
      <sz val="8"/>
      <color theme="1"/>
      <name val="Arial Narrow"/>
      <family val="2"/>
    </font>
    <font>
      <b/>
      <sz val="10"/>
      <color rgb="FF000000"/>
      <name val="Arial Narrow"/>
      <family val="2"/>
    </font>
    <font>
      <sz val="10"/>
      <color theme="1"/>
      <name val="Arial Narrow"/>
      <family val="2"/>
    </font>
    <font>
      <sz val="10"/>
      <color rgb="FF000000"/>
      <name val="Arial Narrow"/>
      <family val="2"/>
    </font>
    <font>
      <sz val="8"/>
      <color rgb="FFFF0000"/>
      <name val="Arial Narrow"/>
      <family val="2"/>
    </font>
    <font>
      <sz val="8"/>
      <color rgb="FF000000"/>
      <name val="Arial Narrow"/>
      <family val="2"/>
    </font>
    <font>
      <sz val="9"/>
      <color rgb="FF000000"/>
      <name val="Arial Narrow"/>
      <family val="2"/>
    </font>
    <font>
      <sz val="10"/>
      <color theme="0"/>
      <name val="Arial"/>
      <family val="2"/>
    </font>
    <font>
      <sz val="6"/>
      <color rgb="FF000000"/>
      <name val="Arial Narrow"/>
      <family val="2"/>
    </font>
    <font>
      <sz val="8"/>
      <color theme="0"/>
      <name val="Arial Narrow"/>
      <family val="2"/>
    </font>
    <font>
      <b/>
      <sz val="10"/>
      <color theme="1"/>
      <name val="Arial Narrow"/>
      <family val="2"/>
    </font>
    <font>
      <u/>
      <sz val="10"/>
      <color indexed="12"/>
      <name val="Arial Narrow"/>
      <family val="2"/>
    </font>
  </fonts>
  <fills count="10">
    <fill>
      <patternFill patternType="none"/>
    </fill>
    <fill>
      <patternFill patternType="gray125"/>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right/>
      <top style="thin">
        <color indexed="62"/>
      </top>
      <bottom style="double">
        <color indexed="62"/>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7">
    <xf numFmtId="0" fontId="0"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7" borderId="0" applyNumberFormat="0" applyBorder="0" applyAlignment="0" applyProtection="0"/>
    <xf numFmtId="167" fontId="9" fillId="0" borderId="0" applyFill="0" applyBorder="0" applyProtection="0"/>
    <xf numFmtId="164" fontId="4" fillId="0" borderId="0" applyFont="0" applyFill="0" applyBorder="0" applyAlignment="0" applyProtection="0"/>
    <xf numFmtId="0" fontId="19" fillId="0" borderId="0" applyNumberFormat="0" applyFill="0" applyBorder="0" applyAlignment="0" applyProtection="0">
      <alignment vertical="top"/>
      <protection locked="0"/>
    </xf>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5" fillId="0" borderId="0"/>
    <xf numFmtId="0" fontId="10" fillId="0" borderId="0"/>
    <xf numFmtId="0" fontId="4" fillId="0" borderId="0"/>
    <xf numFmtId="0" fontId="3" fillId="0" borderId="0"/>
    <xf numFmtId="9" fontId="4" fillId="0" borderId="0" applyFont="0" applyFill="0" applyBorder="0" applyAlignment="0" applyProtection="0"/>
    <xf numFmtId="2" fontId="11" fillId="0" borderId="0" applyBorder="0">
      <alignment horizontal="right"/>
    </xf>
    <xf numFmtId="166" fontId="11" fillId="0" borderId="0" applyNumberFormat="0" applyBorder="0" applyAlignment="0"/>
    <xf numFmtId="0" fontId="8" fillId="0" borderId="1" applyNumberFormat="0" applyFill="0" applyAlignment="0" applyProtection="0"/>
    <xf numFmtId="0" fontId="12" fillId="0" borderId="0">
      <alignment vertical="center"/>
    </xf>
    <xf numFmtId="0" fontId="2" fillId="0" borderId="0"/>
    <xf numFmtId="0" fontId="7" fillId="0" borderId="0" applyNumberFormat="0" applyFill="0" applyBorder="0" applyAlignment="0" applyProtection="0">
      <alignment vertical="top"/>
      <protection locked="0"/>
    </xf>
  </cellStyleXfs>
  <cellXfs count="172">
    <xf numFmtId="0" fontId="0" fillId="0" borderId="0" xfId="0"/>
    <xf numFmtId="0" fontId="15" fillId="8" borderId="0" xfId="11" applyFont="1" applyFill="1" applyBorder="1" applyAlignment="1">
      <alignment horizontal="center"/>
    </xf>
    <xf numFmtId="0" fontId="20" fillId="8" borderId="2" xfId="11" applyFont="1" applyFill="1" applyBorder="1"/>
    <xf numFmtId="0" fontId="20" fillId="9" borderId="0" xfId="11" applyFont="1" applyFill="1" applyAlignment="1">
      <alignment horizontal="left"/>
    </xf>
    <xf numFmtId="0" fontId="13" fillId="8" borderId="0" xfId="11" applyFont="1" applyFill="1" applyBorder="1" applyAlignment="1">
      <alignment horizontal="center"/>
    </xf>
    <xf numFmtId="165" fontId="0" fillId="0" borderId="0" xfId="0" applyNumberFormat="1"/>
    <xf numFmtId="0" fontId="20" fillId="9" borderId="2" xfId="11" applyFont="1" applyFill="1" applyBorder="1" applyAlignment="1">
      <alignment horizontal="left"/>
    </xf>
    <xf numFmtId="0" fontId="15" fillId="8" borderId="5" xfId="11" applyFont="1" applyFill="1" applyBorder="1" applyAlignment="1">
      <alignment horizontal="center" vertical="top" wrapText="1"/>
    </xf>
    <xf numFmtId="0" fontId="15" fillId="8" borderId="0" xfId="11" applyFont="1" applyFill="1" applyBorder="1" applyAlignment="1">
      <alignment horizontal="center" vertical="top" wrapText="1"/>
    </xf>
    <xf numFmtId="0" fontId="15" fillId="8" borderId="6" xfId="11" applyFont="1" applyFill="1" applyBorder="1" applyAlignment="1">
      <alignment horizontal="center" vertical="top" wrapText="1"/>
    </xf>
    <xf numFmtId="0" fontId="0" fillId="0" borderId="0" xfId="0" applyFill="1"/>
    <xf numFmtId="0" fontId="20" fillId="0" borderId="0" xfId="0" applyNumberFormat="1" applyFont="1" applyFill="1" applyBorder="1" applyAlignment="1">
      <alignment vertical="top" wrapText="1"/>
    </xf>
    <xf numFmtId="0" fontId="18" fillId="0" borderId="0" xfId="0" applyFont="1" applyFill="1" applyAlignment="1">
      <alignment horizontal="center"/>
    </xf>
    <xf numFmtId="0" fontId="15" fillId="0" borderId="0" xfId="0" applyFont="1" applyFill="1" applyBorder="1" applyAlignment="1">
      <alignment vertical="top" wrapText="1"/>
    </xf>
    <xf numFmtId="0" fontId="0" fillId="0" borderId="0" xfId="0" applyFill="1" applyBorder="1"/>
    <xf numFmtId="0" fontId="17" fillId="0" borderId="0" xfId="0" applyFont="1" applyFill="1" applyBorder="1"/>
    <xf numFmtId="165" fontId="14" fillId="0" borderId="0" xfId="0" applyNumberFormat="1" applyFont="1" applyFill="1" applyBorder="1" applyAlignment="1">
      <alignment horizontal="center" vertical="center"/>
    </xf>
    <xf numFmtId="165" fontId="17" fillId="0" borderId="0" xfId="0" applyNumberFormat="1" applyFont="1" applyFill="1" applyBorder="1"/>
    <xf numFmtId="165" fontId="0" fillId="0" borderId="0" xfId="0" applyNumberFormat="1" applyFill="1"/>
    <xf numFmtId="0" fontId="13" fillId="0" borderId="0" xfId="0" applyFont="1" applyFill="1" applyBorder="1"/>
    <xf numFmtId="0" fontId="13" fillId="0" borderId="0" xfId="11" applyFont="1" applyFill="1" applyBorder="1"/>
    <xf numFmtId="165" fontId="13" fillId="0" borderId="0" xfId="11" applyNumberFormat="1" applyFont="1" applyFill="1" applyBorder="1"/>
    <xf numFmtId="165" fontId="13" fillId="0" borderId="0" xfId="0" applyNumberFormat="1" applyFont="1" applyFill="1" applyBorder="1"/>
    <xf numFmtId="0" fontId="13" fillId="0" borderId="0" xfId="0" applyFont="1" applyFill="1" applyBorder="1" applyAlignment="1">
      <alignment vertical="top" wrapText="1"/>
    </xf>
    <xf numFmtId="0" fontId="22" fillId="0" borderId="0" xfId="0" applyNumberFormat="1" applyFont="1" applyFill="1" applyBorder="1" applyAlignment="1">
      <alignment vertical="top" wrapText="1"/>
    </xf>
    <xf numFmtId="0" fontId="23" fillId="0" borderId="0" xfId="0" applyFont="1" applyFill="1" applyBorder="1"/>
    <xf numFmtId="0" fontId="20" fillId="0" borderId="0" xfId="11" applyFont="1" applyFill="1" applyAlignment="1">
      <alignment horizontal="left"/>
    </xf>
    <xf numFmtId="0" fontId="15" fillId="8" borderId="5" xfId="11" applyFont="1" applyFill="1" applyBorder="1" applyAlignment="1">
      <alignment horizontal="left" vertical="top" wrapText="1"/>
    </xf>
    <xf numFmtId="0" fontId="15" fillId="8" borderId="0" xfId="11" applyFont="1" applyFill="1" applyBorder="1" applyAlignment="1">
      <alignment horizontal="left" vertical="top" wrapText="1"/>
    </xf>
    <xf numFmtId="0" fontId="15" fillId="8" borderId="6" xfId="11" applyFont="1" applyFill="1" applyBorder="1" applyAlignment="1">
      <alignment horizontal="left" vertical="top" wrapText="1"/>
    </xf>
    <xf numFmtId="49" fontId="20" fillId="8" borderId="3" xfId="11" applyNumberFormat="1" applyFont="1" applyFill="1" applyBorder="1" applyAlignment="1">
      <alignment horizontal="left"/>
    </xf>
    <xf numFmtId="49" fontId="20" fillId="8" borderId="2" xfId="11" applyNumberFormat="1" applyFont="1" applyFill="1" applyBorder="1" applyAlignment="1">
      <alignment horizontal="left"/>
    </xf>
    <xf numFmtId="49" fontId="20" fillId="8" borderId="4" xfId="11" applyNumberFormat="1" applyFont="1" applyFill="1" applyBorder="1" applyAlignment="1">
      <alignment horizontal="left"/>
    </xf>
    <xf numFmtId="165" fontId="20" fillId="0" borderId="5" xfId="11" applyNumberFormat="1" applyFont="1" applyFill="1" applyBorder="1" applyAlignment="1">
      <alignment horizontal="left"/>
    </xf>
    <xf numFmtId="165" fontId="20" fillId="0" borderId="0" xfId="11" applyNumberFormat="1" applyFont="1" applyFill="1" applyBorder="1" applyAlignment="1">
      <alignment horizontal="left"/>
    </xf>
    <xf numFmtId="165" fontId="20" fillId="0" borderId="6" xfId="11" applyNumberFormat="1" applyFont="1" applyFill="1" applyBorder="1" applyAlignment="1">
      <alignment horizontal="left"/>
    </xf>
    <xf numFmtId="165" fontId="20" fillId="0" borderId="0" xfId="11" applyNumberFormat="1" applyFont="1" applyFill="1" applyAlignment="1">
      <alignment horizontal="left"/>
    </xf>
    <xf numFmtId="165" fontId="20" fillId="9" borderId="5" xfId="11" applyNumberFormat="1" applyFont="1" applyFill="1" applyBorder="1" applyAlignment="1">
      <alignment horizontal="left"/>
    </xf>
    <xf numFmtId="165" fontId="20" fillId="9" borderId="0" xfId="11" applyNumberFormat="1" applyFont="1" applyFill="1" applyBorder="1" applyAlignment="1">
      <alignment horizontal="left"/>
    </xf>
    <xf numFmtId="165" fontId="20" fillId="9" borderId="6" xfId="11" applyNumberFormat="1" applyFont="1" applyFill="1" applyBorder="1" applyAlignment="1">
      <alignment horizontal="left"/>
    </xf>
    <xf numFmtId="165" fontId="20" fillId="9" borderId="0" xfId="11" applyNumberFormat="1" applyFont="1" applyFill="1" applyAlignment="1">
      <alignment horizontal="left"/>
    </xf>
    <xf numFmtId="165" fontId="20" fillId="9" borderId="3" xfId="11" applyNumberFormat="1" applyFont="1" applyFill="1" applyBorder="1" applyAlignment="1">
      <alignment horizontal="left"/>
    </xf>
    <xf numFmtId="165" fontId="20" fillId="9" borderId="2" xfId="11" applyNumberFormat="1" applyFont="1" applyFill="1" applyBorder="1" applyAlignment="1">
      <alignment horizontal="left"/>
    </xf>
    <xf numFmtId="165" fontId="20" fillId="9" borderId="4" xfId="11" applyNumberFormat="1" applyFont="1" applyFill="1" applyBorder="1" applyAlignment="1">
      <alignment horizontal="left"/>
    </xf>
    <xf numFmtId="0" fontId="15" fillId="0" borderId="0" xfId="0" applyFont="1" applyFill="1" applyBorder="1" applyAlignment="1">
      <alignment vertical="top" wrapText="1"/>
    </xf>
    <xf numFmtId="0" fontId="14" fillId="0" borderId="2" xfId="11" applyFont="1" applyFill="1" applyBorder="1" applyAlignment="1">
      <alignment horizontal="left" vertical="top" wrapText="1"/>
    </xf>
    <xf numFmtId="165" fontId="20" fillId="8" borderId="6" xfId="11" applyNumberFormat="1" applyFont="1" applyFill="1" applyBorder="1" applyAlignment="1">
      <alignment horizontal="left"/>
    </xf>
    <xf numFmtId="0" fontId="23" fillId="0" borderId="0" xfId="0" applyFont="1" applyFill="1"/>
    <xf numFmtId="0" fontId="23" fillId="0" borderId="0" xfId="11" applyFont="1" applyFill="1" applyBorder="1" applyAlignment="1">
      <alignment vertical="top" wrapText="1"/>
    </xf>
    <xf numFmtId="0" fontId="23" fillId="0" borderId="0" xfId="11" applyFont="1" applyFill="1" applyBorder="1" applyAlignment="1">
      <alignment vertical="center" wrapText="1"/>
    </xf>
    <xf numFmtId="0" fontId="23" fillId="0" borderId="0" xfId="0" applyFont="1" applyFill="1" applyAlignment="1">
      <alignment horizontal="left" vertical="center" wrapText="1"/>
    </xf>
    <xf numFmtId="0" fontId="26" fillId="0" borderId="0" xfId="0" applyFont="1" applyFill="1" applyAlignment="1">
      <alignment horizontal="center"/>
    </xf>
    <xf numFmtId="0" fontId="25" fillId="0" borderId="2" xfId="11" applyFont="1" applyFill="1" applyBorder="1" applyAlignment="1">
      <alignment horizontal="left"/>
    </xf>
    <xf numFmtId="0" fontId="25" fillId="0" borderId="2" xfId="11" applyFont="1" applyFill="1" applyBorder="1" applyAlignment="1">
      <alignment horizontal="left" vertical="top" wrapText="1"/>
    </xf>
    <xf numFmtId="0" fontId="25" fillId="0" borderId="0" xfId="0" applyFont="1" applyFill="1" applyBorder="1" applyAlignment="1">
      <alignment vertical="center"/>
    </xf>
    <xf numFmtId="165" fontId="25" fillId="0" borderId="0" xfId="0" applyNumberFormat="1" applyFont="1" applyFill="1" applyBorder="1" applyAlignment="1">
      <alignment horizontal="center" vertical="center"/>
    </xf>
    <xf numFmtId="0" fontId="25" fillId="0" borderId="0" xfId="0" applyFont="1" applyFill="1" applyAlignment="1">
      <alignment horizontal="right"/>
    </xf>
    <xf numFmtId="0" fontId="25" fillId="0" borderId="0" xfId="0" applyFont="1" applyFill="1" applyAlignment="1">
      <alignment vertical="top" wrapText="1"/>
    </xf>
    <xf numFmtId="0" fontId="25" fillId="0" borderId="0" xfId="0" applyFont="1" applyFill="1" applyBorder="1" applyAlignment="1">
      <alignment vertical="top" wrapText="1"/>
    </xf>
    <xf numFmtId="0" fontId="25" fillId="0" borderId="0" xfId="0" applyFont="1" applyFill="1" applyAlignment="1">
      <alignment vertical="top"/>
    </xf>
    <xf numFmtId="0" fontId="26" fillId="0" borderId="0" xfId="0" applyFont="1" applyFill="1" applyAlignment="1">
      <alignment horizontal="center" vertical="center"/>
    </xf>
    <xf numFmtId="0" fontId="24" fillId="0" borderId="0" xfId="0" applyFont="1" applyFill="1" applyAlignment="1">
      <alignment vertical="top" wrapText="1"/>
    </xf>
    <xf numFmtId="0" fontId="24" fillId="0" borderId="0" xfId="0" applyFont="1" applyFill="1" applyBorder="1" applyAlignment="1">
      <alignment vertical="top" wrapText="1"/>
    </xf>
    <xf numFmtId="0" fontId="24" fillId="0" borderId="0" xfId="0" applyFont="1" applyFill="1" applyAlignment="1"/>
    <xf numFmtId="0" fontId="25" fillId="0" borderId="0" xfId="11" applyFont="1" applyFill="1" applyBorder="1" applyAlignment="1">
      <alignment horizontal="left" vertical="top" wrapText="1"/>
    </xf>
    <xf numFmtId="0" fontId="23" fillId="0" borderId="0" xfId="0" applyFont="1" applyFill="1" applyAlignment="1">
      <alignment horizontal="left" vertical="center" wrapText="1"/>
    </xf>
    <xf numFmtId="0" fontId="0" fillId="0" borderId="0" xfId="0" applyBorder="1"/>
    <xf numFmtId="0" fontId="20" fillId="0" borderId="8" xfId="11" applyFont="1" applyFill="1" applyBorder="1" applyAlignment="1">
      <alignment horizontal="left"/>
    </xf>
    <xf numFmtId="165" fontId="20" fillId="0" borderId="9" xfId="11" applyNumberFormat="1" applyFont="1" applyFill="1" applyBorder="1" applyAlignment="1">
      <alignment horizontal="left"/>
    </xf>
    <xf numFmtId="165" fontId="20" fillId="0" borderId="8" xfId="11" applyNumberFormat="1" applyFont="1" applyFill="1" applyBorder="1" applyAlignment="1">
      <alignment horizontal="left"/>
    </xf>
    <xf numFmtId="165" fontId="20" fillId="8" borderId="7" xfId="11" applyNumberFormat="1" applyFont="1" applyFill="1" applyBorder="1" applyAlignment="1">
      <alignment horizontal="left"/>
    </xf>
    <xf numFmtId="165" fontId="20" fillId="0" borderId="7" xfId="11" applyNumberFormat="1" applyFont="1" applyFill="1" applyBorder="1" applyAlignment="1">
      <alignment horizontal="left"/>
    </xf>
    <xf numFmtId="0" fontId="4" fillId="0" borderId="0" xfId="0" applyFont="1"/>
    <xf numFmtId="0" fontId="28" fillId="0" borderId="0" xfId="0" applyFont="1" applyFill="1" applyAlignment="1">
      <alignment horizontal="center" vertical="center"/>
    </xf>
    <xf numFmtId="0" fontId="23" fillId="0" borderId="0" xfId="0" applyFont="1" applyFill="1" applyAlignment="1">
      <alignment horizontal="left" vertical="center" wrapText="1"/>
    </xf>
    <xf numFmtId="165" fontId="20" fillId="8" borderId="0" xfId="11" applyNumberFormat="1" applyFont="1" applyFill="1" applyBorder="1" applyAlignment="1">
      <alignment horizontal="left"/>
    </xf>
    <xf numFmtId="0" fontId="20" fillId="0" borderId="0" xfId="11" applyFont="1" applyFill="1" applyBorder="1" applyAlignment="1">
      <alignment horizontal="left"/>
    </xf>
    <xf numFmtId="0" fontId="23" fillId="0" borderId="0" xfId="0" applyFont="1"/>
    <xf numFmtId="0" fontId="23" fillId="0" borderId="0" xfId="11" applyFont="1" applyAlignment="1">
      <alignment vertical="top" wrapText="1"/>
    </xf>
    <xf numFmtId="0" fontId="23" fillId="0" borderId="0" xfId="11" applyFont="1" applyAlignment="1">
      <alignment vertical="center" wrapText="1"/>
    </xf>
    <xf numFmtId="0" fontId="17" fillId="0" borderId="0" xfId="0" applyFont="1"/>
    <xf numFmtId="0" fontId="25" fillId="0" borderId="0" xfId="0" applyFont="1" applyAlignment="1">
      <alignment vertical="center"/>
    </xf>
    <xf numFmtId="165" fontId="14" fillId="0" borderId="0" xfId="0" applyNumberFormat="1" applyFont="1" applyAlignment="1">
      <alignment horizontal="center" vertical="center"/>
    </xf>
    <xf numFmtId="0" fontId="15" fillId="0" borderId="0" xfId="0" applyFont="1"/>
    <xf numFmtId="0" fontId="13" fillId="0" borderId="0" xfId="11" applyFont="1" applyAlignment="1">
      <alignment vertical="top" wrapText="1"/>
    </xf>
    <xf numFmtId="0" fontId="13" fillId="0" borderId="0" xfId="11" applyFont="1" applyAlignment="1">
      <alignment vertical="center" wrapText="1"/>
    </xf>
    <xf numFmtId="0" fontId="4" fillId="8" borderId="0" xfId="0" applyFont="1" applyFill="1"/>
    <xf numFmtId="0" fontId="27" fillId="8" borderId="0" xfId="0" applyFont="1" applyFill="1"/>
    <xf numFmtId="0" fontId="0" fillId="0" borderId="2" xfId="0" applyBorder="1" applyAlignment="1">
      <alignment wrapText="1"/>
    </xf>
    <xf numFmtId="0" fontId="0" fillId="0" borderId="0" xfId="0" applyBorder="1" applyAlignment="1">
      <alignment wrapText="1"/>
    </xf>
    <xf numFmtId="0" fontId="25" fillId="0" borderId="0" xfId="11" applyFont="1" applyFill="1" applyBorder="1" applyAlignment="1">
      <alignment vertical="top" wrapText="1"/>
    </xf>
    <xf numFmtId="0" fontId="25" fillId="0" borderId="2" xfId="11" applyFont="1" applyFill="1" applyBorder="1" applyAlignment="1">
      <alignment vertical="top" wrapText="1"/>
    </xf>
    <xf numFmtId="0" fontId="21" fillId="0" borderId="0" xfId="11" applyFont="1" applyAlignment="1">
      <alignment horizontal="left" vertical="center"/>
    </xf>
    <xf numFmtId="0" fontId="21" fillId="0" borderId="0" xfId="11" applyFont="1" applyAlignment="1">
      <alignment horizontal="left"/>
    </xf>
    <xf numFmtId="0" fontId="23" fillId="0" borderId="0" xfId="11" applyFont="1" applyAlignment="1">
      <alignment horizontal="left" vertical="top" wrapText="1"/>
    </xf>
    <xf numFmtId="0" fontId="16" fillId="0" borderId="0" xfId="11" applyFont="1" applyAlignment="1">
      <alignment horizontal="left" vertical="top"/>
    </xf>
    <xf numFmtId="0" fontId="13" fillId="0" borderId="0" xfId="11" applyFont="1"/>
    <xf numFmtId="0" fontId="21" fillId="0" borderId="0" xfId="11" applyFont="1"/>
    <xf numFmtId="0" fontId="23" fillId="0" borderId="0" xfId="11" applyFont="1" applyAlignment="1">
      <alignment horizontal="left" vertical="center" wrapText="1"/>
    </xf>
    <xf numFmtId="0" fontId="23" fillId="0" borderId="0" xfId="11" applyFont="1" applyAlignment="1">
      <alignment horizontal="center" vertical="top"/>
    </xf>
    <xf numFmtId="0" fontId="23" fillId="0" borderId="2" xfId="11" applyFont="1" applyBorder="1" applyAlignment="1">
      <alignment horizontal="left"/>
    </xf>
    <xf numFmtId="0" fontId="23" fillId="0" borderId="2" xfId="11" applyFont="1" applyBorder="1" applyAlignment="1">
      <alignment horizontal="right" vertical="top" wrapText="1"/>
    </xf>
    <xf numFmtId="0" fontId="16" fillId="0" borderId="0" xfId="11" applyFont="1" applyAlignment="1">
      <alignment horizontal="left"/>
    </xf>
    <xf numFmtId="0" fontId="1" fillId="0" borderId="0" xfId="0" applyFont="1"/>
    <xf numFmtId="1" fontId="1" fillId="0" borderId="0" xfId="0" applyNumberFormat="1" applyFont="1"/>
    <xf numFmtId="0" fontId="23" fillId="0" borderId="0" xfId="11" applyFont="1"/>
    <xf numFmtId="0" fontId="23" fillId="0" borderId="0" xfId="11" applyFont="1" applyAlignment="1">
      <alignment horizontal="left"/>
    </xf>
    <xf numFmtId="165" fontId="13" fillId="0" borderId="0" xfId="11" applyNumberFormat="1" applyFont="1" applyAlignment="1">
      <alignment horizontal="left"/>
    </xf>
    <xf numFmtId="0" fontId="30" fillId="0" borderId="0" xfId="0" applyFont="1"/>
    <xf numFmtId="1" fontId="30" fillId="0" borderId="0" xfId="0" applyNumberFormat="1" applyFont="1"/>
    <xf numFmtId="165" fontId="23" fillId="0" borderId="0" xfId="11" applyNumberFormat="1" applyFont="1" applyAlignment="1">
      <alignment horizontal="left" vertical="top" wrapText="1"/>
    </xf>
    <xf numFmtId="165" fontId="23" fillId="0" borderId="0" xfId="11" applyNumberFormat="1" applyFont="1" applyAlignment="1">
      <alignment horizontal="left"/>
    </xf>
    <xf numFmtId="0" fontId="23" fillId="0" borderId="0" xfId="11" applyFont="1" applyAlignment="1">
      <alignment horizontal="left" vertical="top"/>
    </xf>
    <xf numFmtId="165" fontId="23" fillId="0" borderId="0" xfId="11" applyNumberFormat="1" applyFont="1" applyAlignment="1">
      <alignment horizontal="left" vertical="top"/>
    </xf>
    <xf numFmtId="0" fontId="31" fillId="0" borderId="0" xfId="26" applyNumberFormat="1" applyFont="1" applyFill="1" applyBorder="1" applyAlignment="1" applyProtection="1">
      <alignment horizontal="left" vertical="top" wrapText="1"/>
    </xf>
    <xf numFmtId="0" fontId="31" fillId="0" borderId="0" xfId="26" applyNumberFormat="1" applyFont="1" applyFill="1" applyBorder="1" applyAlignment="1" applyProtection="1">
      <alignment vertical="top" wrapText="1"/>
    </xf>
    <xf numFmtId="0" fontId="13" fillId="0" borderId="0" xfId="11" applyFont="1" applyAlignment="1">
      <alignment horizontal="left"/>
    </xf>
    <xf numFmtId="0" fontId="1" fillId="0" borderId="0" xfId="11" applyFont="1" applyAlignment="1">
      <alignment horizontal="left" vertical="top" wrapText="1"/>
    </xf>
    <xf numFmtId="168" fontId="13" fillId="0" borderId="0" xfId="11" applyNumberFormat="1" applyFont="1" applyAlignment="1">
      <alignment vertical="top" wrapText="1"/>
    </xf>
    <xf numFmtId="168" fontId="13" fillId="0" borderId="0" xfId="11" applyNumberFormat="1" applyFont="1" applyAlignment="1">
      <alignment vertical="center" wrapText="1"/>
    </xf>
    <xf numFmtId="168" fontId="4" fillId="0" borderId="0" xfId="0" applyNumberFormat="1" applyFont="1"/>
    <xf numFmtId="168" fontId="27" fillId="8" borderId="0" xfId="0" applyNumberFormat="1" applyFont="1" applyFill="1"/>
    <xf numFmtId="168" fontId="4" fillId="8" borderId="0" xfId="0" applyNumberFormat="1" applyFont="1" applyFill="1"/>
    <xf numFmtId="168" fontId="29" fillId="8" borderId="0" xfId="0" applyNumberFormat="1" applyFont="1" applyFill="1" applyAlignment="1">
      <alignment horizontal="center" vertical="center"/>
    </xf>
    <xf numFmtId="168" fontId="15" fillId="0" borderId="0" xfId="0" applyNumberFormat="1" applyFont="1" applyFill="1"/>
    <xf numFmtId="168" fontId="0" fillId="0" borderId="0" xfId="0" applyNumberFormat="1"/>
    <xf numFmtId="165" fontId="20" fillId="0" borderId="5" xfId="11" applyNumberFormat="1" applyFont="1" applyBorder="1" applyAlignment="1">
      <alignment horizontal="left"/>
    </xf>
    <xf numFmtId="165" fontId="20" fillId="0" borderId="0" xfId="11" applyNumberFormat="1" applyFont="1" applyAlignment="1">
      <alignment horizontal="left"/>
    </xf>
    <xf numFmtId="165" fontId="20" fillId="0" borderId="6" xfId="11" applyNumberFormat="1" applyFont="1" applyBorder="1" applyAlignment="1">
      <alignment horizontal="left"/>
    </xf>
    <xf numFmtId="0" fontId="13" fillId="8" borderId="0" xfId="11" applyFont="1" applyFill="1" applyBorder="1" applyAlignment="1">
      <alignment horizontal="center" wrapText="1"/>
    </xf>
    <xf numFmtId="0" fontId="22" fillId="8" borderId="0" xfId="11" applyFont="1" applyFill="1" applyBorder="1" applyAlignment="1">
      <alignment horizontal="center" wrapText="1"/>
    </xf>
    <xf numFmtId="0" fontId="16" fillId="8" borderId="0" xfId="11" applyFont="1" applyFill="1" applyAlignment="1">
      <alignment horizontal="left" vertical="top" wrapText="1"/>
    </xf>
    <xf numFmtId="0" fontId="13" fillId="8" borderId="0" xfId="11" applyFont="1" applyFill="1" applyBorder="1" applyAlignment="1">
      <alignment horizontal="left" vertical="top" wrapText="1"/>
    </xf>
    <xf numFmtId="0" fontId="15" fillId="8" borderId="0" xfId="11" applyFont="1" applyFill="1" applyAlignment="1">
      <alignment horizontal="left" vertical="top" wrapText="1"/>
    </xf>
    <xf numFmtId="0" fontId="15" fillId="8" borderId="5" xfId="11" applyFont="1" applyFill="1" applyBorder="1" applyAlignment="1">
      <alignment horizontal="center" vertical="top" wrapText="1"/>
    </xf>
    <xf numFmtId="0" fontId="15" fillId="8" borderId="0" xfId="11" applyFont="1" applyFill="1" applyBorder="1" applyAlignment="1">
      <alignment horizontal="center" vertical="top" wrapText="1"/>
    </xf>
    <xf numFmtId="0" fontId="15" fillId="8" borderId="6" xfId="11" applyFont="1" applyFill="1" applyBorder="1" applyAlignment="1">
      <alignment horizontal="center" vertical="top" wrapText="1"/>
    </xf>
    <xf numFmtId="0" fontId="15" fillId="8" borderId="0" xfId="0" applyFont="1" applyFill="1" applyBorder="1" applyAlignment="1">
      <alignment horizontal="left" vertical="top" wrapText="1"/>
    </xf>
    <xf numFmtId="0" fontId="15" fillId="8" borderId="6" xfId="11" applyFont="1" applyFill="1" applyBorder="1" applyAlignment="1">
      <alignment horizontal="left" vertical="top" wrapText="1"/>
    </xf>
    <xf numFmtId="0" fontId="15" fillId="8" borderId="0" xfId="11" applyFont="1" applyFill="1" applyBorder="1" applyAlignment="1">
      <alignment horizontal="left" vertical="top" wrapText="1"/>
    </xf>
    <xf numFmtId="0" fontId="15" fillId="8" borderId="5" xfId="11" applyFont="1" applyFill="1" applyBorder="1" applyAlignment="1">
      <alignment horizontal="left" vertical="top" wrapText="1"/>
    </xf>
    <xf numFmtId="0" fontId="13" fillId="8" borderId="0" xfId="11" applyFont="1" applyFill="1" applyAlignment="1">
      <alignment horizontal="left" vertical="top" wrapText="1"/>
    </xf>
    <xf numFmtId="0" fontId="15" fillId="0" borderId="0" xfId="0" applyFont="1" applyFill="1" applyAlignment="1"/>
    <xf numFmtId="0" fontId="15" fillId="0" borderId="0" xfId="0" applyFont="1" applyFill="1" applyAlignment="1">
      <alignment horizontal="left" vertical="top" wrapText="1"/>
    </xf>
    <xf numFmtId="0" fontId="25" fillId="0" borderId="0" xfId="11" applyFont="1" applyFill="1" applyBorder="1" applyAlignment="1">
      <alignment horizontal="left" vertical="top" wrapText="1"/>
    </xf>
    <xf numFmtId="0" fontId="23" fillId="0" borderId="0" xfId="0" applyFont="1" applyFill="1" applyAlignment="1">
      <alignment horizontal="left" vertical="top"/>
    </xf>
    <xf numFmtId="0" fontId="25" fillId="0" borderId="0" xfId="0" applyFont="1" applyFill="1" applyAlignment="1">
      <alignment horizontal="center" vertical="top"/>
    </xf>
    <xf numFmtId="0" fontId="25" fillId="0" borderId="0" xfId="0" applyFont="1" applyFill="1" applyAlignment="1">
      <alignment horizontal="center" vertical="top" wrapText="1"/>
    </xf>
    <xf numFmtId="0" fontId="23" fillId="0" borderId="0" xfId="0" applyFont="1" applyFill="1" applyAlignment="1">
      <alignment horizontal="center" vertical="center" wrapText="1"/>
    </xf>
    <xf numFmtId="0" fontId="15" fillId="0" borderId="0" xfId="11" applyFont="1" applyFill="1" applyBorder="1" applyAlignment="1">
      <alignment horizontal="left" vertical="top" wrapText="1"/>
    </xf>
    <xf numFmtId="0" fontId="23" fillId="0" borderId="0" xfId="0" applyFont="1" applyFill="1" applyAlignment="1">
      <alignment horizontal="left" vertical="center" wrapText="1"/>
    </xf>
    <xf numFmtId="168" fontId="15" fillId="0" borderId="0" xfId="0" applyNumberFormat="1" applyFont="1" applyFill="1" applyAlignment="1">
      <alignment horizontal="center"/>
    </xf>
    <xf numFmtId="0" fontId="14" fillId="0" borderId="0" xfId="11" applyFont="1" applyFill="1" applyBorder="1" applyAlignment="1">
      <alignment horizontal="left" vertical="center" wrapText="1"/>
    </xf>
    <xf numFmtId="0" fontId="14" fillId="0" borderId="2" xfId="11" applyFont="1" applyFill="1" applyBorder="1" applyAlignment="1">
      <alignment horizontal="left" vertical="center" wrapText="1"/>
    </xf>
    <xf numFmtId="0" fontId="15" fillId="0" borderId="0" xfId="0" applyFont="1" applyFill="1" applyBorder="1" applyAlignment="1">
      <alignment vertical="top" wrapText="1"/>
    </xf>
    <xf numFmtId="0" fontId="23" fillId="0" borderId="0" xfId="11" applyFont="1" applyFill="1" applyBorder="1" applyAlignment="1">
      <alignment horizontal="center" vertical="center" wrapText="1"/>
    </xf>
    <xf numFmtId="0" fontId="23" fillId="0" borderId="2" xfId="11" applyFont="1" applyFill="1" applyBorder="1" applyAlignment="1">
      <alignment horizontal="center" vertical="center" wrapText="1"/>
    </xf>
    <xf numFmtId="0" fontId="15" fillId="0" borderId="0" xfId="11" applyFont="1" applyFill="1" applyBorder="1" applyAlignment="1">
      <alignment horizontal="left"/>
    </xf>
    <xf numFmtId="0" fontId="14" fillId="0" borderId="0" xfId="11" applyFont="1" applyFill="1" applyBorder="1" applyAlignment="1">
      <alignment horizontal="center" vertical="center" wrapText="1"/>
    </xf>
    <xf numFmtId="0" fontId="14" fillId="0" borderId="2" xfId="11" applyFont="1" applyFill="1" applyBorder="1" applyAlignment="1">
      <alignment horizontal="center" vertical="center" wrapText="1"/>
    </xf>
    <xf numFmtId="0" fontId="14" fillId="0" borderId="0" xfId="11" applyFont="1" applyFill="1" applyBorder="1" applyAlignment="1">
      <alignment horizontal="center" vertical="center"/>
    </xf>
    <xf numFmtId="0" fontId="14" fillId="0" borderId="2" xfId="11" applyFont="1" applyFill="1" applyBorder="1" applyAlignment="1">
      <alignment horizontal="center" vertical="center"/>
    </xf>
    <xf numFmtId="168" fontId="27" fillId="8" borderId="0" xfId="0" applyNumberFormat="1" applyFont="1" applyFill="1" applyAlignment="1">
      <alignment horizontal="center"/>
    </xf>
    <xf numFmtId="168" fontId="0" fillId="0" borderId="0" xfId="0" applyNumberFormat="1" applyAlignment="1">
      <alignment horizontal="center"/>
    </xf>
    <xf numFmtId="0" fontId="14" fillId="0" borderId="0" xfId="11" applyFont="1" applyBorder="1" applyAlignment="1">
      <alignment horizontal="center" vertical="center" wrapText="1"/>
    </xf>
    <xf numFmtId="0" fontId="14" fillId="0" borderId="2" xfId="11" applyFont="1" applyBorder="1" applyAlignment="1">
      <alignment horizontal="center" vertical="center" wrapText="1"/>
    </xf>
    <xf numFmtId="0" fontId="15" fillId="0" borderId="0" xfId="0" applyFont="1" applyAlignment="1">
      <alignment horizontal="left" vertical="top" wrapText="1"/>
    </xf>
    <xf numFmtId="0" fontId="23" fillId="0" borderId="0" xfId="0" applyFont="1" applyAlignment="1">
      <alignment horizontal="left" vertical="top"/>
    </xf>
    <xf numFmtId="0" fontId="23" fillId="0" borderId="0" xfId="0" applyFont="1" applyAlignment="1">
      <alignment horizontal="left" vertical="center" wrapText="1"/>
    </xf>
    <xf numFmtId="0" fontId="15" fillId="0" borderId="0" xfId="11" applyFont="1" applyAlignment="1">
      <alignment horizontal="left"/>
    </xf>
    <xf numFmtId="0" fontId="21" fillId="0" borderId="0" xfId="11" applyFont="1" applyAlignment="1">
      <alignment horizontal="left" vertical="top" wrapText="1"/>
    </xf>
    <xf numFmtId="0" fontId="23" fillId="0" borderId="0" xfId="11" applyFont="1" applyAlignment="1">
      <alignment horizontal="left" vertical="top" wrapText="1"/>
    </xf>
  </cellXfs>
  <cellStyles count="27">
    <cellStyle name="Accent1" xfId="1" builtinId="29" customBuiltin="1"/>
    <cellStyle name="Accent2" xfId="2" builtinId="33" customBuiltin="1"/>
    <cellStyle name="Accent3" xfId="3" builtinId="37" customBuiltin="1"/>
    <cellStyle name="Accent4" xfId="4" builtinId="41" customBuiltin="1"/>
    <cellStyle name="Accent5" xfId="5" builtinId="45" customBuiltin="1"/>
    <cellStyle name="Accent6" xfId="6" builtinId="49" customBuiltin="1"/>
    <cellStyle name="AZ1" xfId="7" xr:uid="{00000000-0005-0000-0000-000006000000}"/>
    <cellStyle name="Comma 2" xfId="8" xr:uid="{00000000-0005-0000-0000-000007000000}"/>
    <cellStyle name="Hyperlink 2" xfId="9" xr:uid="{00000000-0005-0000-0000-000009000000}"/>
    <cellStyle name="Hyperlink 3" xfId="10" xr:uid="{00000000-0005-0000-0000-00000A000000}"/>
    <cellStyle name="Hyperlink 4" xfId="26" xr:uid="{52B9663C-D1D7-4683-A1FB-6C02DFCB5C49}"/>
    <cellStyle name="Normal" xfId="0" builtinId="0"/>
    <cellStyle name="Normal 2" xfId="25" xr:uid="{00000000-0005-0000-0000-00000C000000}"/>
    <cellStyle name="Normal 2 2" xfId="11" xr:uid="{00000000-0005-0000-0000-00000D000000}"/>
    <cellStyle name="Normal 2 3" xfId="12" xr:uid="{00000000-0005-0000-0000-00000E000000}"/>
    <cellStyle name="Normal 2 4" xfId="13" xr:uid="{00000000-0005-0000-0000-00000F000000}"/>
    <cellStyle name="Normal 3" xfId="14" xr:uid="{00000000-0005-0000-0000-000010000000}"/>
    <cellStyle name="Normal 4" xfId="15" xr:uid="{00000000-0005-0000-0000-000011000000}"/>
    <cellStyle name="Normal 6" xfId="16" xr:uid="{00000000-0005-0000-0000-000012000000}"/>
    <cellStyle name="Normal 8" xfId="17" xr:uid="{00000000-0005-0000-0000-000013000000}"/>
    <cellStyle name="Normal 9" xfId="18" xr:uid="{00000000-0005-0000-0000-000014000000}"/>
    <cellStyle name="Normalny_FDB Quest - Parenting support" xfId="19" xr:uid="{00000000-0005-0000-0000-000015000000}"/>
    <cellStyle name="Percent 2" xfId="20" xr:uid="{00000000-0005-0000-0000-000016000000}"/>
    <cellStyle name="Snorm" xfId="21" xr:uid="{00000000-0005-0000-0000-000017000000}"/>
    <cellStyle name="socxn" xfId="22" xr:uid="{00000000-0005-0000-0000-000018000000}"/>
    <cellStyle name="Total" xfId="23" builtinId="25" customBuiltin="1"/>
    <cellStyle name="標準_②Ｂ分類事項一覧（英語）" xfId="24" xr:uid="{00000000-0005-0000-0000-00001A000000}"/>
  </cellStyles>
  <dxfs count="0"/>
  <tableStyles count="0" defaultTableStyle="TableStyleMedium9" defaultPivotStyle="PivotStyleLight16"/>
  <colors>
    <mruColors>
      <color rgb="FF7FA8D9"/>
      <color rgb="FF4F81BD"/>
      <color rgb="FF006BB6"/>
      <color rgb="FF002F6C"/>
      <color rgb="FF53B7E8"/>
      <color rgb="FF83D2E3"/>
      <color rgb="FF00AACC"/>
      <color rgb="FFCCCCCC"/>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clustered"/>
        <c:varyColors val="0"/>
        <c:ser>
          <c:idx val="0"/>
          <c:order val="0"/>
          <c:tx>
            <c:strRef>
              <c:f>'Chart PF2.1.A'!$T$8</c:f>
              <c:strCache>
                <c:ptCount val="1"/>
                <c:pt idx="0">
                  <c:v>Payment rate (%)</c:v>
                </c:pt>
              </c:strCache>
            </c:strRef>
          </c:tx>
          <c:spPr>
            <a:solidFill>
              <a:srgbClr val="002F6C"/>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10"/>
            <c:invertIfNegative val="0"/>
            <c:bubble3D val="0"/>
            <c:extLst>
              <c:ext xmlns:c16="http://schemas.microsoft.com/office/drawing/2014/chart" uri="{C3380CC4-5D6E-409C-BE32-E72D297353CC}">
                <c16:uniqueId val="{00000000-1A64-4689-9A38-7947628A7941}"/>
              </c:ext>
            </c:extLst>
          </c:dPt>
          <c:dPt>
            <c:idx val="11"/>
            <c:invertIfNegative val="0"/>
            <c:bubble3D val="0"/>
            <c:extLst>
              <c:ext xmlns:c16="http://schemas.microsoft.com/office/drawing/2014/chart" uri="{C3380CC4-5D6E-409C-BE32-E72D297353CC}">
                <c16:uniqueId val="{00000001-1A64-4689-9A38-7947628A7941}"/>
              </c:ext>
            </c:extLst>
          </c:dPt>
          <c:dPt>
            <c:idx val="13"/>
            <c:invertIfNegative val="0"/>
            <c:bubble3D val="0"/>
            <c:extLst>
              <c:ext xmlns:c16="http://schemas.microsoft.com/office/drawing/2014/chart" uri="{C3380CC4-5D6E-409C-BE32-E72D297353CC}">
                <c16:uniqueId val="{00000003-3473-4BBF-A475-433DC9982ACC}"/>
              </c:ext>
            </c:extLst>
          </c:dPt>
          <c:dPt>
            <c:idx val="14"/>
            <c:invertIfNegative val="0"/>
            <c:bubble3D val="0"/>
            <c:extLst>
              <c:ext xmlns:c16="http://schemas.microsoft.com/office/drawing/2014/chart" uri="{C3380CC4-5D6E-409C-BE32-E72D297353CC}">
                <c16:uniqueId val="{00000005-3473-4BBF-A475-433DC9982ACC}"/>
              </c:ext>
            </c:extLst>
          </c:dPt>
          <c:dPt>
            <c:idx val="15"/>
            <c:invertIfNegative val="0"/>
            <c:bubble3D val="0"/>
            <c:extLst>
              <c:ext xmlns:c16="http://schemas.microsoft.com/office/drawing/2014/chart" uri="{C3380CC4-5D6E-409C-BE32-E72D297353CC}">
                <c16:uniqueId val="{00000018-3473-4BBF-A475-433DC9982ACC}"/>
              </c:ext>
            </c:extLst>
          </c:dPt>
          <c:dPt>
            <c:idx val="16"/>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2-1A64-4689-9A38-7947628A7941}"/>
              </c:ext>
            </c:extLst>
          </c:dPt>
          <c:dPt>
            <c:idx val="17"/>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3-1A64-4689-9A38-7947628A7941}"/>
              </c:ext>
            </c:extLst>
          </c:dPt>
          <c:dPt>
            <c:idx val="19"/>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7-7CBF-471A-8502-35862F5B39DC}"/>
              </c:ext>
            </c:extLst>
          </c:dPt>
          <c:dPt>
            <c:idx val="20"/>
            <c:invertIfNegative val="0"/>
            <c:bubble3D val="0"/>
            <c:extLst>
              <c:ext xmlns:c16="http://schemas.microsoft.com/office/drawing/2014/chart" uri="{C3380CC4-5D6E-409C-BE32-E72D297353CC}">
                <c16:uniqueId val="{00000004-1A64-4689-9A38-7947628A7941}"/>
              </c:ext>
            </c:extLst>
          </c:dPt>
          <c:dPt>
            <c:idx val="21"/>
            <c:invertIfNegative val="0"/>
            <c:bubble3D val="0"/>
            <c:extLst>
              <c:ext xmlns:c16="http://schemas.microsoft.com/office/drawing/2014/chart" uri="{C3380CC4-5D6E-409C-BE32-E72D297353CC}">
                <c16:uniqueId val="{00000005-1A64-4689-9A38-7947628A7941}"/>
              </c:ext>
            </c:extLst>
          </c:dPt>
          <c:dPt>
            <c:idx val="22"/>
            <c:invertIfNegative val="0"/>
            <c:bubble3D val="0"/>
            <c:extLst>
              <c:ext xmlns:c16="http://schemas.microsoft.com/office/drawing/2014/chart" uri="{C3380CC4-5D6E-409C-BE32-E72D297353CC}">
                <c16:uniqueId val="{00000006-1A64-4689-9A38-7947628A7941}"/>
              </c:ext>
            </c:extLst>
          </c:dPt>
          <c:dPt>
            <c:idx val="23"/>
            <c:invertIfNegative val="0"/>
            <c:bubble3D val="0"/>
            <c:extLst>
              <c:ext xmlns:c16="http://schemas.microsoft.com/office/drawing/2014/chart" uri="{C3380CC4-5D6E-409C-BE32-E72D297353CC}">
                <c16:uniqueId val="{0000000B-3473-4BBF-A475-433DC9982ACC}"/>
              </c:ext>
            </c:extLst>
          </c:dPt>
          <c:dPt>
            <c:idx val="24"/>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D-3473-4BBF-A475-433DC9982ACC}"/>
              </c:ext>
            </c:extLst>
          </c:dPt>
          <c:dPt>
            <c:idx val="25"/>
            <c:invertIfNegative val="0"/>
            <c:bubble3D val="0"/>
            <c:extLst>
              <c:ext xmlns:c16="http://schemas.microsoft.com/office/drawing/2014/chart" uri="{C3380CC4-5D6E-409C-BE32-E72D297353CC}">
                <c16:uniqueId val="{0000000F-3473-4BBF-A475-433DC9982ACC}"/>
              </c:ext>
            </c:extLst>
          </c:dPt>
          <c:dPt>
            <c:idx val="26"/>
            <c:invertIfNegative val="0"/>
            <c:bubble3D val="0"/>
            <c:spPr>
              <a:pattFill prst="wdUpDiag">
                <a:fgClr>
                  <a:srgbClr val="002060"/>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1-3473-4BBF-A475-433DC9982ACC}"/>
              </c:ext>
            </c:extLst>
          </c:dPt>
          <c:dPt>
            <c:idx val="27"/>
            <c:invertIfNegative val="0"/>
            <c:bubble3D val="0"/>
            <c:extLst>
              <c:ext xmlns:c16="http://schemas.microsoft.com/office/drawing/2014/chart" uri="{C3380CC4-5D6E-409C-BE32-E72D297353CC}">
                <c16:uniqueId val="{0000001C-F5AD-452A-8EF6-FAC165F85B0B}"/>
              </c:ext>
            </c:extLst>
          </c:dPt>
          <c:dPt>
            <c:idx val="28"/>
            <c:invertIfNegative val="0"/>
            <c:bubble3D val="0"/>
            <c:spPr>
              <a:solidFill>
                <a:srgbClr val="002060"/>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9-7CBF-471A-8502-35862F5B39DC}"/>
              </c:ext>
            </c:extLst>
          </c:dPt>
          <c:dPt>
            <c:idx val="29"/>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D-F5AD-452A-8EF6-FAC165F85B0B}"/>
              </c:ext>
            </c:extLst>
          </c:dPt>
          <c:dPt>
            <c:idx val="30"/>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7-1A64-4689-9A38-7947628A7941}"/>
              </c:ext>
            </c:extLst>
          </c:dPt>
          <c:dPt>
            <c:idx val="32"/>
            <c:invertIfNegative val="0"/>
            <c:bubble3D val="0"/>
            <c:extLst>
              <c:ext xmlns:c16="http://schemas.microsoft.com/office/drawing/2014/chart" uri="{C3380CC4-5D6E-409C-BE32-E72D297353CC}">
                <c16:uniqueId val="{00000013-3473-4BBF-A475-433DC9982ACC}"/>
              </c:ext>
            </c:extLst>
          </c:dPt>
          <c:dPt>
            <c:idx val="33"/>
            <c:invertIfNegative val="0"/>
            <c:bubble3D val="0"/>
            <c:extLst>
              <c:ext xmlns:c16="http://schemas.microsoft.com/office/drawing/2014/chart" uri="{C3380CC4-5D6E-409C-BE32-E72D297353CC}">
                <c16:uniqueId val="{00000015-3473-4BBF-A475-433DC9982ACC}"/>
              </c:ext>
            </c:extLst>
          </c:dPt>
          <c:dPt>
            <c:idx val="34"/>
            <c:invertIfNegative val="0"/>
            <c:bubble3D val="0"/>
            <c:extLst>
              <c:ext xmlns:c16="http://schemas.microsoft.com/office/drawing/2014/chart" uri="{C3380CC4-5D6E-409C-BE32-E72D297353CC}">
                <c16:uniqueId val="{00000017-3473-4BBF-A475-433DC9982ACC}"/>
              </c:ext>
            </c:extLst>
          </c:dPt>
          <c:dPt>
            <c:idx val="35"/>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24-C110-45C4-A5F6-DF130D5E9A7E}"/>
              </c:ext>
            </c:extLst>
          </c:dPt>
          <c:dPt>
            <c:idx val="36"/>
            <c:invertIfNegative val="0"/>
            <c:bubble3D val="0"/>
            <c:extLst>
              <c:ext xmlns:c16="http://schemas.microsoft.com/office/drawing/2014/chart" uri="{C3380CC4-5D6E-409C-BE32-E72D297353CC}">
                <c16:uniqueId val="{0000001E-F5AD-452A-8EF6-FAC165F85B0B}"/>
              </c:ext>
            </c:extLst>
          </c:dPt>
          <c:dPt>
            <c:idx val="37"/>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8-7CBF-471A-8502-35862F5B39DC}"/>
              </c:ext>
            </c:extLst>
          </c:dPt>
          <c:cat>
            <c:strRef>
              <c:f>'Chart PF2.1.A'!$R$9:$R$53</c:f>
              <c:strCache>
                <c:ptCount val="45"/>
                <c:pt idx="0">
                  <c:v>Bulgaria</c:v>
                </c:pt>
                <c:pt idx="1">
                  <c:v>Greece</c:v>
                </c:pt>
                <c:pt idx="2">
                  <c:v>United Kingdom</c:v>
                </c:pt>
                <c:pt idx="3">
                  <c:v>Slovak Republic</c:v>
                </c:pt>
                <c:pt idx="4">
                  <c:v>Croatia</c:v>
                </c:pt>
                <c:pt idx="5">
                  <c:v>Czechia</c:v>
                </c:pt>
                <c:pt idx="6">
                  <c:v>Iceland</c:v>
                </c:pt>
                <c:pt idx="7">
                  <c:v>New Zealand</c:v>
                </c:pt>
                <c:pt idx="8">
                  <c:v>Ireland</c:v>
                </c:pt>
                <c:pt idx="9">
                  <c:v>Hungary</c:v>
                </c:pt>
                <c:pt idx="10">
                  <c:v>Denmark</c:v>
                </c:pt>
                <c:pt idx="11">
                  <c:v>Cyprus</c:v>
                </c:pt>
                <c:pt idx="12">
                  <c:v>Italy</c:v>
                </c:pt>
                <c:pt idx="13">
                  <c:v>EU average</c:v>
                </c:pt>
                <c:pt idx="14">
                  <c:v>Luxembourg</c:v>
                </c:pt>
                <c:pt idx="15">
                  <c:v>Poland</c:v>
                </c:pt>
                <c:pt idx="16">
                  <c:v>OECD average</c:v>
                </c:pt>
                <c:pt idx="17">
                  <c:v>Chile</c:v>
                </c:pt>
                <c:pt idx="18">
                  <c:v>Colombia</c:v>
                </c:pt>
                <c:pt idx="19">
                  <c:v>Norway</c:v>
                </c:pt>
                <c:pt idx="20">
                  <c:v>Malta</c:v>
                </c:pt>
                <c:pt idx="21">
                  <c:v>Romania</c:v>
                </c:pt>
                <c:pt idx="22">
                  <c:v>Lithuania</c:v>
                </c:pt>
                <c:pt idx="23">
                  <c:v>Costa Rica</c:v>
                </c:pt>
                <c:pt idx="24">
                  <c:v>Austria</c:v>
                </c:pt>
                <c:pt idx="25">
                  <c:v>Netherlands</c:v>
                </c:pt>
                <c:pt idx="26">
                  <c:v>France</c:v>
                </c:pt>
                <c:pt idx="27">
                  <c:v>Türkiye</c:v>
                </c:pt>
                <c:pt idx="28">
                  <c:v>Spain</c:v>
                </c:pt>
                <c:pt idx="29">
                  <c:v>Latvia</c:v>
                </c:pt>
                <c:pt idx="30">
                  <c:v>Canada</c:v>
                </c:pt>
                <c:pt idx="31">
                  <c:v>Israel</c:v>
                </c:pt>
                <c:pt idx="32">
                  <c:v>Slovenia</c:v>
                </c:pt>
                <c:pt idx="33">
                  <c:v>Belgium</c:v>
                </c:pt>
                <c:pt idx="34">
                  <c:v>Estonia</c:v>
                </c:pt>
                <c:pt idx="35">
                  <c:v>Germany</c:v>
                </c:pt>
                <c:pt idx="36">
                  <c:v>Japan</c:v>
                </c:pt>
                <c:pt idx="37">
                  <c:v>Switzerland</c:v>
                </c:pt>
                <c:pt idx="38">
                  <c:v>Korea</c:v>
                </c:pt>
                <c:pt idx="39">
                  <c:v>Sweden</c:v>
                </c:pt>
                <c:pt idx="40">
                  <c:v>Mexico</c:v>
                </c:pt>
                <c:pt idx="41">
                  <c:v>Finland</c:v>
                </c:pt>
                <c:pt idx="42">
                  <c:v>Portugal</c:v>
                </c:pt>
                <c:pt idx="43">
                  <c:v>Australia</c:v>
                </c:pt>
                <c:pt idx="44">
                  <c:v>United States</c:v>
                </c:pt>
              </c:strCache>
            </c:strRef>
          </c:cat>
          <c:val>
            <c:numRef>
              <c:f>'Chart PF2.1.A'!$T$9:$T$53</c:f>
              <c:numCache>
                <c:formatCode>0.0</c:formatCode>
                <c:ptCount val="45"/>
                <c:pt idx="0">
                  <c:v>89.999999999999957</c:v>
                </c:pt>
                <c:pt idx="1">
                  <c:v>59.543341164320672</c:v>
                </c:pt>
                <c:pt idx="2">
                  <c:v>29.897320161756983</c:v>
                </c:pt>
                <c:pt idx="3">
                  <c:v>75</c:v>
                </c:pt>
                <c:pt idx="4">
                  <c:v>100</c:v>
                </c:pt>
                <c:pt idx="5">
                  <c:v>62.552363362793407</c:v>
                </c:pt>
                <c:pt idx="6">
                  <c:v>80</c:v>
                </c:pt>
                <c:pt idx="7">
                  <c:v>49.05452211599745</c:v>
                </c:pt>
                <c:pt idx="8">
                  <c:v>23.423064352044445</c:v>
                </c:pt>
                <c:pt idx="9">
                  <c:v>100</c:v>
                </c:pt>
                <c:pt idx="10">
                  <c:v>49.691923419085207</c:v>
                </c:pt>
                <c:pt idx="11">
                  <c:v>72</c:v>
                </c:pt>
                <c:pt idx="12">
                  <c:v>80</c:v>
                </c:pt>
                <c:pt idx="13">
                  <c:v>0</c:v>
                </c:pt>
                <c:pt idx="14">
                  <c:v>100</c:v>
                </c:pt>
                <c:pt idx="15">
                  <c:v>100</c:v>
                </c:pt>
                <c:pt idx="16">
                  <c:v>0</c:v>
                </c:pt>
                <c:pt idx="17">
                  <c:v>100</c:v>
                </c:pt>
                <c:pt idx="18">
                  <c:v>100</c:v>
                </c:pt>
                <c:pt idx="19">
                  <c:v>97.438203852551709</c:v>
                </c:pt>
                <c:pt idx="20">
                  <c:v>87.878782951998375</c:v>
                </c:pt>
                <c:pt idx="21">
                  <c:v>85</c:v>
                </c:pt>
                <c:pt idx="22">
                  <c:v>77.58</c:v>
                </c:pt>
                <c:pt idx="23">
                  <c:v>100</c:v>
                </c:pt>
                <c:pt idx="24">
                  <c:v>100</c:v>
                </c:pt>
                <c:pt idx="25">
                  <c:v>100</c:v>
                </c:pt>
                <c:pt idx="26">
                  <c:v>100</c:v>
                </c:pt>
                <c:pt idx="27">
                  <c:v>100</c:v>
                </c:pt>
                <c:pt idx="28">
                  <c:v>100</c:v>
                </c:pt>
                <c:pt idx="29">
                  <c:v>80</c:v>
                </c:pt>
                <c:pt idx="30">
                  <c:v>36.088888154515907</c:v>
                </c:pt>
                <c:pt idx="31">
                  <c:v>100</c:v>
                </c:pt>
                <c:pt idx="32">
                  <c:v>100</c:v>
                </c:pt>
                <c:pt idx="33">
                  <c:v>77.02204000000016</c:v>
                </c:pt>
                <c:pt idx="34">
                  <c:v>100</c:v>
                </c:pt>
                <c:pt idx="35">
                  <c:v>100</c:v>
                </c:pt>
                <c:pt idx="36">
                  <c:v>67</c:v>
                </c:pt>
                <c:pt idx="37">
                  <c:v>57.52738555934851</c:v>
                </c:pt>
                <c:pt idx="38">
                  <c:v>81.938754733089766</c:v>
                </c:pt>
                <c:pt idx="39">
                  <c:v>77.600000000000009</c:v>
                </c:pt>
                <c:pt idx="40">
                  <c:v>100</c:v>
                </c:pt>
                <c:pt idx="41">
                  <c:v>84.763833143924955</c:v>
                </c:pt>
                <c:pt idx="42">
                  <c:v>100</c:v>
                </c:pt>
                <c:pt idx="43">
                  <c:v>45.885536389386672</c:v>
                </c:pt>
                <c:pt idx="44">
                  <c:v>0</c:v>
                </c:pt>
              </c:numCache>
            </c:numRef>
          </c:val>
          <c:extLst>
            <c:ext xmlns:c16="http://schemas.microsoft.com/office/drawing/2014/chart" uri="{C3380CC4-5D6E-409C-BE32-E72D297353CC}">
              <c16:uniqueId val="{00000008-1A64-4689-9A38-7947628A7941}"/>
            </c:ext>
          </c:extLst>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58760704"/>
        <c:crosses val="autoZero"/>
        <c:auto val="1"/>
        <c:lblAlgn val="ctr"/>
        <c:lblOffset val="100"/>
        <c:noMultiLvlLbl val="0"/>
      </c:catAx>
      <c:valAx>
        <c:axId val="258760704"/>
        <c:scaling>
          <c:orientation val="minMax"/>
          <c:max val="100"/>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58660224"/>
        <c:crosses val="autoZero"/>
        <c:crossBetween val="between"/>
        <c:majorUnit val="10"/>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&amp;LOECD Family Database (http://www.oecd.org/els/family/database.htm)</c:oddHeader>
    </c:headerFooter>
    <c:pageMargins b="0.74803149606299213" l="0.70866141732283472" r="0.70866141732283472" t="0.74803149606299213"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clustered"/>
        <c:varyColors val="0"/>
        <c:ser>
          <c:idx val="0"/>
          <c:order val="0"/>
          <c:tx>
            <c:strRef>
              <c:f>'Chart PF2.1.A'!$S$8</c:f>
              <c:strCache>
                <c:ptCount val="1"/>
                <c:pt idx="0">
                  <c:v>Length in weeks</c:v>
                </c:pt>
              </c:strCache>
            </c:strRef>
          </c:tx>
          <c:spPr>
            <a:solidFill>
              <a:srgbClr val="002F6C"/>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8"/>
            <c:invertIfNegative val="0"/>
            <c:bubble3D val="0"/>
            <c:extLst>
              <c:ext xmlns:c16="http://schemas.microsoft.com/office/drawing/2014/chart" uri="{C3380CC4-5D6E-409C-BE32-E72D297353CC}">
                <c16:uniqueId val="{00000001-5F18-4DF9-8B1A-4477EE467E68}"/>
              </c:ext>
            </c:extLst>
          </c:dPt>
          <c:dPt>
            <c:idx val="9"/>
            <c:invertIfNegative val="0"/>
            <c:bubble3D val="0"/>
            <c:extLst>
              <c:ext xmlns:c16="http://schemas.microsoft.com/office/drawing/2014/chart" uri="{C3380CC4-5D6E-409C-BE32-E72D297353CC}">
                <c16:uniqueId val="{00000009-10DF-4092-84D8-956493C42FDF}"/>
              </c:ext>
            </c:extLst>
          </c:dPt>
          <c:dPt>
            <c:idx val="10"/>
            <c:invertIfNegative val="0"/>
            <c:bubble3D val="0"/>
            <c:extLst>
              <c:ext xmlns:c16="http://schemas.microsoft.com/office/drawing/2014/chart" uri="{C3380CC4-5D6E-409C-BE32-E72D297353CC}">
                <c16:uniqueId val="{00000000-7B15-4CE1-9AF2-A7700CC47D64}"/>
              </c:ext>
            </c:extLst>
          </c:dPt>
          <c:dPt>
            <c:idx val="11"/>
            <c:invertIfNegative val="0"/>
            <c:bubble3D val="0"/>
            <c:extLst>
              <c:ext xmlns:c16="http://schemas.microsoft.com/office/drawing/2014/chart" uri="{C3380CC4-5D6E-409C-BE32-E72D297353CC}">
                <c16:uniqueId val="{0000000D-9215-4354-A450-B91AEC990602}"/>
              </c:ext>
            </c:extLst>
          </c:dPt>
          <c:dPt>
            <c:idx val="12"/>
            <c:invertIfNegative val="0"/>
            <c:bubble3D val="0"/>
            <c:extLst>
              <c:ext xmlns:c16="http://schemas.microsoft.com/office/drawing/2014/chart" uri="{C3380CC4-5D6E-409C-BE32-E72D297353CC}">
                <c16:uniqueId val="{00000004-5F18-4DF9-8B1A-4477EE467E68}"/>
              </c:ext>
            </c:extLst>
          </c:dPt>
          <c:dPt>
            <c:idx val="13"/>
            <c:invertIfNegative val="0"/>
            <c:bubble3D val="0"/>
            <c:spPr>
              <a:solidFill>
                <a:srgbClr val="006BB6"/>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C-5F18-4DF9-8B1A-4477EE467E68}"/>
              </c:ext>
            </c:extLst>
          </c:dPt>
          <c:dPt>
            <c:idx val="14"/>
            <c:invertIfNegative val="0"/>
            <c:bubble3D val="0"/>
            <c:extLst>
              <c:ext xmlns:c16="http://schemas.microsoft.com/office/drawing/2014/chart" uri="{C3380CC4-5D6E-409C-BE32-E72D297353CC}">
                <c16:uniqueId val="{0000000A-10DF-4092-84D8-956493C42FDF}"/>
              </c:ext>
            </c:extLst>
          </c:dPt>
          <c:dPt>
            <c:idx val="15"/>
            <c:invertIfNegative val="0"/>
            <c:bubble3D val="0"/>
            <c:extLst>
              <c:ext xmlns:c16="http://schemas.microsoft.com/office/drawing/2014/chart" uri="{C3380CC4-5D6E-409C-BE32-E72D297353CC}">
                <c16:uniqueId val="{0000000E-9215-4354-A450-B91AEC990602}"/>
              </c:ext>
            </c:extLst>
          </c:dPt>
          <c:dPt>
            <c:idx val="16"/>
            <c:invertIfNegative val="0"/>
            <c:bubble3D val="0"/>
            <c:spPr>
              <a:solidFill>
                <a:srgbClr val="006BB6"/>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1-7B15-4CE1-9AF2-A7700CC47D64}"/>
              </c:ext>
            </c:extLst>
          </c:dPt>
          <c:dPt>
            <c:idx val="17"/>
            <c:invertIfNegative val="0"/>
            <c:bubble3D val="0"/>
            <c:extLst>
              <c:ext xmlns:c16="http://schemas.microsoft.com/office/drawing/2014/chart" uri="{C3380CC4-5D6E-409C-BE32-E72D297353CC}">
                <c16:uniqueId val="{00000002-7B15-4CE1-9AF2-A7700CC47D64}"/>
              </c:ext>
            </c:extLst>
          </c:dPt>
          <c:dPt>
            <c:idx val="18"/>
            <c:invertIfNegative val="0"/>
            <c:bubble3D val="0"/>
            <c:extLst>
              <c:ext xmlns:c16="http://schemas.microsoft.com/office/drawing/2014/chart" uri="{C3380CC4-5D6E-409C-BE32-E72D297353CC}">
                <c16:uniqueId val="{00000003-7B15-4CE1-9AF2-A7700CC47D64}"/>
              </c:ext>
            </c:extLst>
          </c:dPt>
          <c:dPt>
            <c:idx val="20"/>
            <c:invertIfNegative val="0"/>
            <c:bubble3D val="0"/>
            <c:extLst>
              <c:ext xmlns:c16="http://schemas.microsoft.com/office/drawing/2014/chart" uri="{C3380CC4-5D6E-409C-BE32-E72D297353CC}">
                <c16:uniqueId val="{00000009-5F18-4DF9-8B1A-4477EE467E68}"/>
              </c:ext>
            </c:extLst>
          </c:dPt>
          <c:dPt>
            <c:idx val="21"/>
            <c:invertIfNegative val="0"/>
            <c:bubble3D val="0"/>
            <c:extLst>
              <c:ext xmlns:c16="http://schemas.microsoft.com/office/drawing/2014/chart" uri="{C3380CC4-5D6E-409C-BE32-E72D297353CC}">
                <c16:uniqueId val="{0000000B-5F18-4DF9-8B1A-4477EE467E68}"/>
              </c:ext>
            </c:extLst>
          </c:dPt>
          <c:cat>
            <c:strRef>
              <c:f>'Chart PF2.1.A'!$R$9:$R$53</c:f>
              <c:strCache>
                <c:ptCount val="45"/>
                <c:pt idx="0">
                  <c:v>Bulgaria</c:v>
                </c:pt>
                <c:pt idx="1">
                  <c:v>Greece</c:v>
                </c:pt>
                <c:pt idx="2">
                  <c:v>United Kingdom</c:v>
                </c:pt>
                <c:pt idx="3">
                  <c:v>Slovak Republic</c:v>
                </c:pt>
                <c:pt idx="4">
                  <c:v>Croatia</c:v>
                </c:pt>
                <c:pt idx="5">
                  <c:v>Czechia</c:v>
                </c:pt>
                <c:pt idx="6">
                  <c:v>Iceland</c:v>
                </c:pt>
                <c:pt idx="7">
                  <c:v>New Zealand</c:v>
                </c:pt>
                <c:pt idx="8">
                  <c:v>Ireland</c:v>
                </c:pt>
                <c:pt idx="9">
                  <c:v>Hungary</c:v>
                </c:pt>
                <c:pt idx="10">
                  <c:v>Denmark</c:v>
                </c:pt>
                <c:pt idx="11">
                  <c:v>Cyprus</c:v>
                </c:pt>
                <c:pt idx="12">
                  <c:v>Italy</c:v>
                </c:pt>
                <c:pt idx="13">
                  <c:v>EU average</c:v>
                </c:pt>
                <c:pt idx="14">
                  <c:v>Luxembourg</c:v>
                </c:pt>
                <c:pt idx="15">
                  <c:v>Poland</c:v>
                </c:pt>
                <c:pt idx="16">
                  <c:v>OECD average</c:v>
                </c:pt>
                <c:pt idx="17">
                  <c:v>Chile</c:v>
                </c:pt>
                <c:pt idx="18">
                  <c:v>Colombia</c:v>
                </c:pt>
                <c:pt idx="19">
                  <c:v>Norway</c:v>
                </c:pt>
                <c:pt idx="20">
                  <c:v>Malta</c:v>
                </c:pt>
                <c:pt idx="21">
                  <c:v>Romania</c:v>
                </c:pt>
                <c:pt idx="22">
                  <c:v>Lithuania</c:v>
                </c:pt>
                <c:pt idx="23">
                  <c:v>Costa Rica</c:v>
                </c:pt>
                <c:pt idx="24">
                  <c:v>Austria</c:v>
                </c:pt>
                <c:pt idx="25">
                  <c:v>Netherlands</c:v>
                </c:pt>
                <c:pt idx="26">
                  <c:v>France</c:v>
                </c:pt>
                <c:pt idx="27">
                  <c:v>Türkiye</c:v>
                </c:pt>
                <c:pt idx="28">
                  <c:v>Spain</c:v>
                </c:pt>
                <c:pt idx="29">
                  <c:v>Latvia</c:v>
                </c:pt>
                <c:pt idx="30">
                  <c:v>Canada</c:v>
                </c:pt>
                <c:pt idx="31">
                  <c:v>Israel</c:v>
                </c:pt>
                <c:pt idx="32">
                  <c:v>Slovenia</c:v>
                </c:pt>
                <c:pt idx="33">
                  <c:v>Belgium</c:v>
                </c:pt>
                <c:pt idx="34">
                  <c:v>Estonia</c:v>
                </c:pt>
                <c:pt idx="35">
                  <c:v>Germany</c:v>
                </c:pt>
                <c:pt idx="36">
                  <c:v>Japan</c:v>
                </c:pt>
                <c:pt idx="37">
                  <c:v>Switzerland</c:v>
                </c:pt>
                <c:pt idx="38">
                  <c:v>Korea</c:v>
                </c:pt>
                <c:pt idx="39">
                  <c:v>Sweden</c:v>
                </c:pt>
                <c:pt idx="40">
                  <c:v>Mexico</c:v>
                </c:pt>
                <c:pt idx="41">
                  <c:v>Finland</c:v>
                </c:pt>
                <c:pt idx="42">
                  <c:v>Portugal</c:v>
                </c:pt>
                <c:pt idx="43">
                  <c:v>Australia</c:v>
                </c:pt>
                <c:pt idx="44">
                  <c:v>United States</c:v>
                </c:pt>
              </c:strCache>
            </c:strRef>
          </c:cat>
          <c:val>
            <c:numRef>
              <c:f>'Chart PF2.1.A'!$S$9:$S$53</c:f>
              <c:numCache>
                <c:formatCode>0.0</c:formatCode>
                <c:ptCount val="45"/>
                <c:pt idx="0">
                  <c:v>58.571428571428598</c:v>
                </c:pt>
                <c:pt idx="1">
                  <c:v>56</c:v>
                </c:pt>
                <c:pt idx="2">
                  <c:v>39</c:v>
                </c:pt>
                <c:pt idx="3">
                  <c:v>34</c:v>
                </c:pt>
                <c:pt idx="4">
                  <c:v>30</c:v>
                </c:pt>
                <c:pt idx="5">
                  <c:v>28</c:v>
                </c:pt>
                <c:pt idx="6">
                  <c:v>26</c:v>
                </c:pt>
                <c:pt idx="7">
                  <c:v>26</c:v>
                </c:pt>
                <c:pt idx="8">
                  <c:v>26</c:v>
                </c:pt>
                <c:pt idx="9">
                  <c:v>24</c:v>
                </c:pt>
                <c:pt idx="10">
                  <c:v>22</c:v>
                </c:pt>
                <c:pt idx="11">
                  <c:v>22</c:v>
                </c:pt>
                <c:pt idx="12">
                  <c:v>21.7</c:v>
                </c:pt>
                <c:pt idx="13">
                  <c:v>21.484603174603173</c:v>
                </c:pt>
                <c:pt idx="14">
                  <c:v>20</c:v>
                </c:pt>
                <c:pt idx="15">
                  <c:v>20</c:v>
                </c:pt>
                <c:pt idx="16">
                  <c:v>18.360613157894736</c:v>
                </c:pt>
                <c:pt idx="17">
                  <c:v>18</c:v>
                </c:pt>
                <c:pt idx="18">
                  <c:v>18</c:v>
                </c:pt>
                <c:pt idx="19">
                  <c:v>18</c:v>
                </c:pt>
                <c:pt idx="20">
                  <c:v>18</c:v>
                </c:pt>
                <c:pt idx="21">
                  <c:v>18</c:v>
                </c:pt>
                <c:pt idx="22">
                  <c:v>18</c:v>
                </c:pt>
                <c:pt idx="23">
                  <c:v>17.333300000000001</c:v>
                </c:pt>
                <c:pt idx="24">
                  <c:v>16</c:v>
                </c:pt>
                <c:pt idx="25">
                  <c:v>16</c:v>
                </c:pt>
                <c:pt idx="26">
                  <c:v>16</c:v>
                </c:pt>
                <c:pt idx="27">
                  <c:v>16</c:v>
                </c:pt>
                <c:pt idx="28">
                  <c:v>16</c:v>
                </c:pt>
                <c:pt idx="29">
                  <c:v>16</c:v>
                </c:pt>
                <c:pt idx="30">
                  <c:v>16</c:v>
                </c:pt>
                <c:pt idx="31">
                  <c:v>15</c:v>
                </c:pt>
                <c:pt idx="32">
                  <c:v>15</c:v>
                </c:pt>
                <c:pt idx="33">
                  <c:v>15</c:v>
                </c:pt>
                <c:pt idx="34">
                  <c:v>14.285714285714286</c:v>
                </c:pt>
                <c:pt idx="35">
                  <c:v>14</c:v>
                </c:pt>
                <c:pt idx="36">
                  <c:v>14</c:v>
                </c:pt>
                <c:pt idx="37">
                  <c:v>14</c:v>
                </c:pt>
                <c:pt idx="38">
                  <c:v>12.857142857142858</c:v>
                </c:pt>
                <c:pt idx="39">
                  <c:v>12.857142857142858</c:v>
                </c:pt>
                <c:pt idx="40">
                  <c:v>12</c:v>
                </c:pt>
                <c:pt idx="41">
                  <c:v>6.67</c:v>
                </c:pt>
                <c:pt idx="42">
                  <c:v>6</c:v>
                </c:pt>
                <c:pt idx="43">
                  <c:v>2</c:v>
                </c:pt>
                <c:pt idx="44">
                  <c:v>0</c:v>
                </c:pt>
              </c:numCache>
            </c:numRef>
          </c:val>
          <c:extLst>
            <c:ext xmlns:c16="http://schemas.microsoft.com/office/drawing/2014/chart" uri="{C3380CC4-5D6E-409C-BE32-E72D297353CC}">
              <c16:uniqueId val="{00000004-7B15-4CE1-9AF2-A7700CC47D64}"/>
            </c:ext>
          </c:extLst>
        </c:ser>
        <c:dLbls>
          <c:showLegendKey val="0"/>
          <c:showVal val="0"/>
          <c:showCatName val="0"/>
          <c:showSerName val="0"/>
          <c:showPercent val="0"/>
          <c:showBubbleSize val="0"/>
        </c:dLbls>
        <c:gapWidth val="50"/>
        <c:axId val="267817728"/>
        <c:axId val="267819648"/>
      </c:barChart>
      <c:catAx>
        <c:axId val="267817728"/>
        <c:scaling>
          <c:orientation val="maxMin"/>
        </c:scaling>
        <c:delete val="0"/>
        <c:axPos val="r"/>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67819648"/>
        <c:crosses val="autoZero"/>
        <c:auto val="1"/>
        <c:lblAlgn val="ctr"/>
        <c:lblOffset val="100"/>
        <c:noMultiLvlLbl val="0"/>
      </c:catAx>
      <c:valAx>
        <c:axId val="267819648"/>
        <c:scaling>
          <c:orientation val="maxMin"/>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67817728"/>
        <c:crosses val="autoZero"/>
        <c:crossBetween val="between"/>
        <c:majorUnit val="10"/>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clustered"/>
        <c:varyColors val="0"/>
        <c:ser>
          <c:idx val="0"/>
          <c:order val="0"/>
          <c:tx>
            <c:strRef>
              <c:f>'Chart PF2.1.B'!$T$8</c:f>
              <c:strCache>
                <c:ptCount val="1"/>
                <c:pt idx="0">
                  <c:v>Payment rate (%)</c:v>
                </c:pt>
              </c:strCache>
            </c:strRef>
          </c:tx>
          <c:spPr>
            <a:solidFill>
              <a:srgbClr val="002F6C"/>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3"/>
            <c:invertIfNegative val="0"/>
            <c:bubble3D val="0"/>
            <c:spPr>
              <a:pattFill prst="wdUpDiag">
                <a:fgClr>
                  <a:srgbClr val="002060"/>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2-B5A1-433B-B63C-B20F96A4FB39}"/>
              </c:ext>
            </c:extLst>
          </c:dPt>
          <c:dPt>
            <c:idx val="9"/>
            <c:invertIfNegative val="0"/>
            <c:bubble3D val="0"/>
            <c:extLst>
              <c:ext xmlns:c16="http://schemas.microsoft.com/office/drawing/2014/chart" uri="{C3380CC4-5D6E-409C-BE32-E72D297353CC}">
                <c16:uniqueId val="{0000001D-7583-42E0-BE58-99DCF2613E57}"/>
              </c:ext>
            </c:extLst>
          </c:dPt>
          <c:dPt>
            <c:idx val="10"/>
            <c:invertIfNegative val="0"/>
            <c:bubble3D val="0"/>
            <c:spPr>
              <a:pattFill prst="wdUpDiag">
                <a:fgClr>
                  <a:srgbClr val="002060"/>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0-EA35-4900-9D7C-5652AD79D4FF}"/>
              </c:ext>
            </c:extLst>
          </c:dPt>
          <c:dPt>
            <c:idx val="11"/>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1-EA35-4900-9D7C-5652AD79D4FF}"/>
              </c:ext>
            </c:extLst>
          </c:dPt>
          <c:dPt>
            <c:idx val="12"/>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3-B5A1-433B-B63C-B20F96A4FB39}"/>
              </c:ext>
            </c:extLst>
          </c:dPt>
          <c:dPt>
            <c:idx val="13"/>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2-EA35-4900-9D7C-5652AD79D4FF}"/>
              </c:ext>
            </c:extLst>
          </c:dPt>
          <c:dPt>
            <c:idx val="14"/>
            <c:invertIfNegative val="0"/>
            <c:bubble3D val="0"/>
            <c:extLst>
              <c:ext xmlns:c16="http://schemas.microsoft.com/office/drawing/2014/chart" uri="{C3380CC4-5D6E-409C-BE32-E72D297353CC}">
                <c16:uniqueId val="{00000003-EA35-4900-9D7C-5652AD79D4FF}"/>
              </c:ext>
            </c:extLst>
          </c:dPt>
          <c:dPt>
            <c:idx val="15"/>
            <c:invertIfNegative val="0"/>
            <c:bubble3D val="0"/>
            <c:extLst>
              <c:ext xmlns:c16="http://schemas.microsoft.com/office/drawing/2014/chart" uri="{C3380CC4-5D6E-409C-BE32-E72D297353CC}">
                <c16:uniqueId val="{00000004-EA35-4900-9D7C-5652AD79D4FF}"/>
              </c:ext>
            </c:extLst>
          </c:dPt>
          <c:dPt>
            <c:idx val="16"/>
            <c:invertIfNegative val="0"/>
            <c:bubble3D val="0"/>
            <c:extLst>
              <c:ext xmlns:c16="http://schemas.microsoft.com/office/drawing/2014/chart" uri="{C3380CC4-5D6E-409C-BE32-E72D297353CC}">
                <c16:uniqueId val="{00000005-EA35-4900-9D7C-5652AD79D4FF}"/>
              </c:ext>
            </c:extLst>
          </c:dPt>
          <c:dPt>
            <c:idx val="17"/>
            <c:invertIfNegative val="0"/>
            <c:bubble3D val="0"/>
            <c:extLst>
              <c:ext xmlns:c16="http://schemas.microsoft.com/office/drawing/2014/chart" uri="{C3380CC4-5D6E-409C-BE32-E72D297353CC}">
                <c16:uniqueId val="{00000006-EA35-4900-9D7C-5652AD79D4FF}"/>
              </c:ext>
            </c:extLst>
          </c:dPt>
          <c:dPt>
            <c:idx val="20"/>
            <c:invertIfNegative val="0"/>
            <c:bubble3D val="0"/>
            <c:extLst>
              <c:ext xmlns:c16="http://schemas.microsoft.com/office/drawing/2014/chart" uri="{C3380CC4-5D6E-409C-BE32-E72D297353CC}">
                <c16:uniqueId val="{00000007-EA35-4900-9D7C-5652AD79D4FF}"/>
              </c:ext>
            </c:extLst>
          </c:dPt>
          <c:dPt>
            <c:idx val="21"/>
            <c:invertIfNegative val="0"/>
            <c:bubble3D val="0"/>
            <c:extLst>
              <c:ext xmlns:c16="http://schemas.microsoft.com/office/drawing/2014/chart" uri="{C3380CC4-5D6E-409C-BE32-E72D297353CC}">
                <c16:uniqueId val="{00000008-EA35-4900-9D7C-5652AD79D4FF}"/>
              </c:ext>
            </c:extLst>
          </c:dPt>
          <c:dPt>
            <c:idx val="22"/>
            <c:invertIfNegative val="0"/>
            <c:bubble3D val="0"/>
            <c:extLst>
              <c:ext xmlns:c16="http://schemas.microsoft.com/office/drawing/2014/chart" uri="{C3380CC4-5D6E-409C-BE32-E72D297353CC}">
                <c16:uniqueId val="{00000009-EA35-4900-9D7C-5652AD79D4FF}"/>
              </c:ext>
            </c:extLst>
          </c:dPt>
          <c:dPt>
            <c:idx val="23"/>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A-EA35-4900-9D7C-5652AD79D4FF}"/>
              </c:ext>
            </c:extLst>
          </c:dPt>
          <c:dPt>
            <c:idx val="24"/>
            <c:invertIfNegative val="0"/>
            <c:bubble3D val="0"/>
            <c:extLst>
              <c:ext xmlns:c16="http://schemas.microsoft.com/office/drawing/2014/chart" uri="{C3380CC4-5D6E-409C-BE32-E72D297353CC}">
                <c16:uniqueId val="{0000000B-EA35-4900-9D7C-5652AD79D4FF}"/>
              </c:ext>
            </c:extLst>
          </c:dPt>
          <c:dPt>
            <c:idx val="25"/>
            <c:invertIfNegative val="0"/>
            <c:bubble3D val="0"/>
            <c:extLst>
              <c:ext xmlns:c16="http://schemas.microsoft.com/office/drawing/2014/chart" uri="{C3380CC4-5D6E-409C-BE32-E72D297353CC}">
                <c16:uniqueId val="{0000000C-EA35-4900-9D7C-5652AD79D4FF}"/>
              </c:ext>
            </c:extLst>
          </c:dPt>
          <c:dPt>
            <c:idx val="26"/>
            <c:invertIfNegative val="0"/>
            <c:bubble3D val="0"/>
            <c:extLst>
              <c:ext xmlns:c16="http://schemas.microsoft.com/office/drawing/2014/chart" uri="{C3380CC4-5D6E-409C-BE32-E72D297353CC}">
                <c16:uniqueId val="{0000000D-EA35-4900-9D7C-5652AD79D4FF}"/>
              </c:ext>
            </c:extLst>
          </c:dPt>
          <c:dPt>
            <c:idx val="27"/>
            <c:invertIfNegative val="0"/>
            <c:bubble3D val="0"/>
            <c:extLst>
              <c:ext xmlns:c16="http://schemas.microsoft.com/office/drawing/2014/chart" uri="{C3380CC4-5D6E-409C-BE32-E72D297353CC}">
                <c16:uniqueId val="{00000014-B5A1-433B-B63C-B20F96A4FB39}"/>
              </c:ext>
            </c:extLst>
          </c:dPt>
          <c:dPt>
            <c:idx val="28"/>
            <c:invertIfNegative val="0"/>
            <c:bubble3D val="0"/>
            <c:extLst>
              <c:ext xmlns:c16="http://schemas.microsoft.com/office/drawing/2014/chart" uri="{C3380CC4-5D6E-409C-BE32-E72D297353CC}">
                <c16:uniqueId val="{0000001E-0A3F-44EF-917D-B566F65EA771}"/>
              </c:ext>
            </c:extLst>
          </c:dPt>
          <c:dPt>
            <c:idx val="29"/>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E-5A9E-4281-A82A-B949E8F64750}"/>
              </c:ext>
            </c:extLst>
          </c:dPt>
          <c:dPt>
            <c:idx val="30"/>
            <c:invertIfNegative val="0"/>
            <c:bubble3D val="0"/>
            <c:extLst>
              <c:ext xmlns:c16="http://schemas.microsoft.com/office/drawing/2014/chart" uri="{C3380CC4-5D6E-409C-BE32-E72D297353CC}">
                <c16:uniqueId val="{0000000E-EA35-4900-9D7C-5652AD79D4FF}"/>
              </c:ext>
            </c:extLst>
          </c:dPt>
          <c:dPt>
            <c:idx val="32"/>
            <c:invertIfNegative val="0"/>
            <c:bubble3D val="0"/>
            <c:extLst>
              <c:ext xmlns:c16="http://schemas.microsoft.com/office/drawing/2014/chart" uri="{C3380CC4-5D6E-409C-BE32-E72D297353CC}">
                <c16:uniqueId val="{0000000F-EA35-4900-9D7C-5652AD79D4FF}"/>
              </c:ext>
            </c:extLst>
          </c:dPt>
          <c:dPt>
            <c:idx val="33"/>
            <c:invertIfNegative val="0"/>
            <c:bubble3D val="0"/>
            <c:extLst>
              <c:ext xmlns:c16="http://schemas.microsoft.com/office/drawing/2014/chart" uri="{C3380CC4-5D6E-409C-BE32-E72D297353CC}">
                <c16:uniqueId val="{00000010-EA35-4900-9D7C-5652AD79D4FF}"/>
              </c:ext>
            </c:extLst>
          </c:dPt>
          <c:dPt>
            <c:idx val="34"/>
            <c:invertIfNegative val="0"/>
            <c:bubble3D val="0"/>
            <c:extLst>
              <c:ext xmlns:c16="http://schemas.microsoft.com/office/drawing/2014/chart" uri="{C3380CC4-5D6E-409C-BE32-E72D297353CC}">
                <c16:uniqueId val="{00000011-EA35-4900-9D7C-5652AD79D4FF}"/>
              </c:ext>
            </c:extLst>
          </c:dPt>
          <c:cat>
            <c:strRef>
              <c:f>'Chart PF2.1.B'!$R$9:$R$53</c:f>
              <c:strCache>
                <c:ptCount val="45"/>
                <c:pt idx="0">
                  <c:v>Finland</c:v>
                </c:pt>
                <c:pt idx="1">
                  <c:v>Hungary</c:v>
                </c:pt>
                <c:pt idx="2">
                  <c:v>Slovak Republic</c:v>
                </c:pt>
                <c:pt idx="3">
                  <c:v>Romania</c:v>
                </c:pt>
                <c:pt idx="4">
                  <c:v>Latvia</c:v>
                </c:pt>
                <c:pt idx="5">
                  <c:v>Korea</c:v>
                </c:pt>
                <c:pt idx="6">
                  <c:v>Norway</c:v>
                </c:pt>
                <c:pt idx="7">
                  <c:v>Estonia</c:v>
                </c:pt>
                <c:pt idx="8">
                  <c:v>Lithuania</c:v>
                </c:pt>
                <c:pt idx="9">
                  <c:v>Bulgaria</c:v>
                </c:pt>
                <c:pt idx="10">
                  <c:v>EU average</c:v>
                </c:pt>
                <c:pt idx="11">
                  <c:v>Austria</c:v>
                </c:pt>
                <c:pt idx="12">
                  <c:v>Germany</c:v>
                </c:pt>
                <c:pt idx="13">
                  <c:v>Japan</c:v>
                </c:pt>
                <c:pt idx="14">
                  <c:v>Sweden</c:v>
                </c:pt>
                <c:pt idx="15">
                  <c:v>Czechia</c:v>
                </c:pt>
                <c:pt idx="16">
                  <c:v>Slovenia</c:v>
                </c:pt>
                <c:pt idx="17">
                  <c:v>Canada</c:v>
                </c:pt>
                <c:pt idx="18">
                  <c:v>OECD average</c:v>
                </c:pt>
                <c:pt idx="19">
                  <c:v>Poland</c:v>
                </c:pt>
                <c:pt idx="20">
                  <c:v>Luxembourg</c:v>
                </c:pt>
                <c:pt idx="21">
                  <c:v>Croatia</c:v>
                </c:pt>
                <c:pt idx="22">
                  <c:v>Italy</c:v>
                </c:pt>
                <c:pt idx="23">
                  <c:v>France</c:v>
                </c:pt>
                <c:pt idx="24">
                  <c:v>Portugal</c:v>
                </c:pt>
                <c:pt idx="25">
                  <c:v>Denmark</c:v>
                </c:pt>
                <c:pt idx="26">
                  <c:v>Australia</c:v>
                </c:pt>
                <c:pt idx="27">
                  <c:v>Belgium</c:v>
                </c:pt>
                <c:pt idx="28">
                  <c:v>Chile</c:v>
                </c:pt>
                <c:pt idx="29">
                  <c:v>Netherlands</c:v>
                </c:pt>
                <c:pt idx="30">
                  <c:v>Ireland</c:v>
                </c:pt>
                <c:pt idx="31">
                  <c:v>Greece</c:v>
                </c:pt>
                <c:pt idx="32">
                  <c:v>Malta</c:v>
                </c:pt>
                <c:pt idx="33">
                  <c:v>Cyprus</c:v>
                </c:pt>
                <c:pt idx="34">
                  <c:v>Iceland</c:v>
                </c:pt>
                <c:pt idx="35">
                  <c:v>United Kingdom</c:v>
                </c:pt>
                <c:pt idx="36">
                  <c:v>New Zealand</c:v>
                </c:pt>
                <c:pt idx="37">
                  <c:v>Costa Rica</c:v>
                </c:pt>
                <c:pt idx="38">
                  <c:v>Spain</c:v>
                </c:pt>
                <c:pt idx="39">
                  <c:v>Türkiye</c:v>
                </c:pt>
                <c:pt idx="40">
                  <c:v>Israel</c:v>
                </c:pt>
                <c:pt idx="41">
                  <c:v>Switzerland</c:v>
                </c:pt>
                <c:pt idx="42">
                  <c:v>Mexico</c:v>
                </c:pt>
                <c:pt idx="43">
                  <c:v>United States</c:v>
                </c:pt>
                <c:pt idx="44">
                  <c:v>Colombia</c:v>
                </c:pt>
              </c:strCache>
            </c:strRef>
          </c:cat>
          <c:val>
            <c:numRef>
              <c:f>'Chart PF2.1.B'!$T$9:$T$53</c:f>
              <c:numCache>
                <c:formatCode>0.0</c:formatCode>
                <c:ptCount val="45"/>
                <c:pt idx="0">
                  <c:v>22.059403699928019</c:v>
                </c:pt>
                <c:pt idx="1">
                  <c:v>38.148585577893272</c:v>
                </c:pt>
                <c:pt idx="2">
                  <c:v>31.216706766965984</c:v>
                </c:pt>
                <c:pt idx="3">
                  <c:v>85</c:v>
                </c:pt>
                <c:pt idx="4">
                  <c:v>39.900230099994957</c:v>
                </c:pt>
                <c:pt idx="5">
                  <c:v>47.494515635140004</c:v>
                </c:pt>
                <c:pt idx="6">
                  <c:v>31.938097441443357</c:v>
                </c:pt>
                <c:pt idx="7">
                  <c:v>100</c:v>
                </c:pt>
                <c:pt idx="8">
                  <c:v>62.469870753499535</c:v>
                </c:pt>
                <c:pt idx="9">
                  <c:v>33.535237437363271</c:v>
                </c:pt>
                <c:pt idx="10">
                  <c:v>0</c:v>
                </c:pt>
                <c:pt idx="11">
                  <c:v>69.36840214365705</c:v>
                </c:pt>
                <c:pt idx="12">
                  <c:v>55.049182366727457</c:v>
                </c:pt>
                <c:pt idx="13">
                  <c:v>61.116883116883123</c:v>
                </c:pt>
                <c:pt idx="14">
                  <c:v>56.933035937281517</c:v>
                </c:pt>
                <c:pt idx="15">
                  <c:v>62.552363362793393</c:v>
                </c:pt>
                <c:pt idx="16">
                  <c:v>100</c:v>
                </c:pt>
                <c:pt idx="17">
                  <c:v>40.900739908451364</c:v>
                </c:pt>
                <c:pt idx="18">
                  <c:v>0</c:v>
                </c:pt>
                <c:pt idx="19">
                  <c:v>63.437499999999993</c:v>
                </c:pt>
                <c:pt idx="20">
                  <c:v>71.007989163294098</c:v>
                </c:pt>
                <c:pt idx="21">
                  <c:v>100</c:v>
                </c:pt>
                <c:pt idx="22">
                  <c:v>55.000000000000007</c:v>
                </c:pt>
                <c:pt idx="23">
                  <c:v>13.722153422677739</c:v>
                </c:pt>
                <c:pt idx="24">
                  <c:v>67.688483844241915</c:v>
                </c:pt>
                <c:pt idx="25">
                  <c:v>49.691923419085207</c:v>
                </c:pt>
                <c:pt idx="26">
                  <c:v>45.885536389386672</c:v>
                </c:pt>
                <c:pt idx="27">
                  <c:v>20.475205864466396</c:v>
                </c:pt>
                <c:pt idx="28">
                  <c:v>100</c:v>
                </c:pt>
                <c:pt idx="29">
                  <c:v>70</c:v>
                </c:pt>
                <c:pt idx="30">
                  <c:v>23.423064352044445</c:v>
                </c:pt>
                <c:pt idx="31">
                  <c:v>41.924509148337918</c:v>
                </c:pt>
                <c:pt idx="32">
                  <c:v>46.157396722824828</c:v>
                </c:pt>
                <c:pt idx="33">
                  <c:v>64.643031094608489</c:v>
                </c:pt>
                <c:pt idx="34">
                  <c:v>80.000000000000014</c:v>
                </c:pt>
                <c:pt idx="35">
                  <c:v>0</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12-EA35-4900-9D7C-5652AD79D4FF}"/>
            </c:ext>
          </c:extLst>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58760704"/>
        <c:crosses val="autoZero"/>
        <c:auto val="1"/>
        <c:lblAlgn val="ctr"/>
        <c:lblOffset val="100"/>
        <c:noMultiLvlLbl val="0"/>
      </c:catAx>
      <c:valAx>
        <c:axId val="258760704"/>
        <c:scaling>
          <c:orientation val="minMax"/>
          <c:max val="100"/>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58660224"/>
        <c:crosses val="autoZero"/>
        <c:crossBetween val="between"/>
        <c:majorUnit val="10"/>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clustered"/>
        <c:varyColors val="0"/>
        <c:ser>
          <c:idx val="0"/>
          <c:order val="0"/>
          <c:tx>
            <c:strRef>
              <c:f>'Chart PF2.1.B'!$S$8</c:f>
              <c:strCache>
                <c:ptCount val="1"/>
                <c:pt idx="0">
                  <c:v>Length in weeks</c:v>
                </c:pt>
              </c:strCache>
            </c:strRef>
          </c:tx>
          <c:spPr>
            <a:solidFill>
              <a:srgbClr val="002F6C"/>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8"/>
            <c:invertIfNegative val="0"/>
            <c:bubble3D val="0"/>
            <c:extLst>
              <c:ext xmlns:c16="http://schemas.microsoft.com/office/drawing/2014/chart" uri="{C3380CC4-5D6E-409C-BE32-E72D297353CC}">
                <c16:uniqueId val="{00000000-2C2B-42A9-BFF4-C15E70A2378B}"/>
              </c:ext>
            </c:extLst>
          </c:dPt>
          <c:dPt>
            <c:idx val="10"/>
            <c:invertIfNegative val="0"/>
            <c:bubble3D val="0"/>
            <c:spPr>
              <a:solidFill>
                <a:srgbClr val="006BB6"/>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1-2C2B-42A9-BFF4-C15E70A2378B}"/>
              </c:ext>
            </c:extLst>
          </c:dPt>
          <c:dPt>
            <c:idx val="12"/>
            <c:invertIfNegative val="0"/>
            <c:bubble3D val="0"/>
            <c:extLst>
              <c:ext xmlns:c16="http://schemas.microsoft.com/office/drawing/2014/chart" uri="{C3380CC4-5D6E-409C-BE32-E72D297353CC}">
                <c16:uniqueId val="{00000002-2C2B-42A9-BFF4-C15E70A2378B}"/>
              </c:ext>
            </c:extLst>
          </c:dPt>
          <c:dPt>
            <c:idx val="13"/>
            <c:invertIfNegative val="0"/>
            <c:bubble3D val="0"/>
            <c:extLst>
              <c:ext xmlns:c16="http://schemas.microsoft.com/office/drawing/2014/chart" uri="{C3380CC4-5D6E-409C-BE32-E72D297353CC}">
                <c16:uniqueId val="{00000003-2C2B-42A9-BFF4-C15E70A2378B}"/>
              </c:ext>
            </c:extLst>
          </c:dPt>
          <c:dPt>
            <c:idx val="14"/>
            <c:invertIfNegative val="0"/>
            <c:bubble3D val="0"/>
            <c:extLst>
              <c:ext xmlns:c16="http://schemas.microsoft.com/office/drawing/2014/chart" uri="{C3380CC4-5D6E-409C-BE32-E72D297353CC}">
                <c16:uniqueId val="{0000000C-08AD-4A31-BFC2-1D48BA0F8E75}"/>
              </c:ext>
            </c:extLst>
          </c:dPt>
          <c:dPt>
            <c:idx val="15"/>
            <c:invertIfNegative val="0"/>
            <c:bubble3D val="0"/>
            <c:extLst>
              <c:ext xmlns:c16="http://schemas.microsoft.com/office/drawing/2014/chart" uri="{C3380CC4-5D6E-409C-BE32-E72D297353CC}">
                <c16:uniqueId val="{00000009-B038-4C38-B783-BBBB477EFDAB}"/>
              </c:ext>
            </c:extLst>
          </c:dPt>
          <c:dPt>
            <c:idx val="16"/>
            <c:invertIfNegative val="0"/>
            <c:bubble3D val="0"/>
            <c:extLst>
              <c:ext xmlns:c16="http://schemas.microsoft.com/office/drawing/2014/chart" uri="{C3380CC4-5D6E-409C-BE32-E72D297353CC}">
                <c16:uniqueId val="{00000004-2C2B-42A9-BFF4-C15E70A2378B}"/>
              </c:ext>
            </c:extLst>
          </c:dPt>
          <c:dPt>
            <c:idx val="17"/>
            <c:invertIfNegative val="0"/>
            <c:bubble3D val="0"/>
            <c:extLst>
              <c:ext xmlns:c16="http://schemas.microsoft.com/office/drawing/2014/chart" uri="{C3380CC4-5D6E-409C-BE32-E72D297353CC}">
                <c16:uniqueId val="{00000005-2C2B-42A9-BFF4-C15E70A2378B}"/>
              </c:ext>
            </c:extLst>
          </c:dPt>
          <c:dPt>
            <c:idx val="18"/>
            <c:invertIfNegative val="0"/>
            <c:bubble3D val="0"/>
            <c:spPr>
              <a:solidFill>
                <a:srgbClr val="006BB6"/>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6-2C2B-42A9-BFF4-C15E70A2378B}"/>
              </c:ext>
            </c:extLst>
          </c:dPt>
          <c:dPt>
            <c:idx val="20"/>
            <c:invertIfNegative val="0"/>
            <c:bubble3D val="0"/>
            <c:extLst>
              <c:ext xmlns:c16="http://schemas.microsoft.com/office/drawing/2014/chart" uri="{C3380CC4-5D6E-409C-BE32-E72D297353CC}">
                <c16:uniqueId val="{00000007-2C2B-42A9-BFF4-C15E70A2378B}"/>
              </c:ext>
            </c:extLst>
          </c:dPt>
          <c:dPt>
            <c:idx val="21"/>
            <c:invertIfNegative val="0"/>
            <c:bubble3D val="0"/>
            <c:extLst>
              <c:ext xmlns:c16="http://schemas.microsoft.com/office/drawing/2014/chart" uri="{C3380CC4-5D6E-409C-BE32-E72D297353CC}">
                <c16:uniqueId val="{00000008-2C2B-42A9-BFF4-C15E70A2378B}"/>
              </c:ext>
            </c:extLst>
          </c:dPt>
          <c:cat>
            <c:strRef>
              <c:f>'Chart PF2.1.B'!$R$9:$R$53</c:f>
              <c:strCache>
                <c:ptCount val="45"/>
                <c:pt idx="0">
                  <c:v>Finland</c:v>
                </c:pt>
                <c:pt idx="1">
                  <c:v>Hungary</c:v>
                </c:pt>
                <c:pt idx="2">
                  <c:v>Slovak Republic</c:v>
                </c:pt>
                <c:pt idx="3">
                  <c:v>Romania</c:v>
                </c:pt>
                <c:pt idx="4">
                  <c:v>Latvia</c:v>
                </c:pt>
                <c:pt idx="5">
                  <c:v>Korea</c:v>
                </c:pt>
                <c:pt idx="6">
                  <c:v>Norway</c:v>
                </c:pt>
                <c:pt idx="7">
                  <c:v>Estonia</c:v>
                </c:pt>
                <c:pt idx="8">
                  <c:v>Lithuania</c:v>
                </c:pt>
                <c:pt idx="9">
                  <c:v>Bulgaria</c:v>
                </c:pt>
                <c:pt idx="10">
                  <c:v>EU average</c:v>
                </c:pt>
                <c:pt idx="11">
                  <c:v>Austria</c:v>
                </c:pt>
                <c:pt idx="12">
                  <c:v>Germany</c:v>
                </c:pt>
                <c:pt idx="13">
                  <c:v>Japan</c:v>
                </c:pt>
                <c:pt idx="14">
                  <c:v>Sweden</c:v>
                </c:pt>
                <c:pt idx="15">
                  <c:v>Czechia</c:v>
                </c:pt>
                <c:pt idx="16">
                  <c:v>Slovenia</c:v>
                </c:pt>
                <c:pt idx="17">
                  <c:v>Canada</c:v>
                </c:pt>
                <c:pt idx="18">
                  <c:v>OECD average</c:v>
                </c:pt>
                <c:pt idx="19">
                  <c:v>Poland</c:v>
                </c:pt>
                <c:pt idx="20">
                  <c:v>Luxembourg</c:v>
                </c:pt>
                <c:pt idx="21">
                  <c:v>Croatia</c:v>
                </c:pt>
                <c:pt idx="22">
                  <c:v>Italy</c:v>
                </c:pt>
                <c:pt idx="23">
                  <c:v>France</c:v>
                </c:pt>
                <c:pt idx="24">
                  <c:v>Portugal</c:v>
                </c:pt>
                <c:pt idx="25">
                  <c:v>Denmark</c:v>
                </c:pt>
                <c:pt idx="26">
                  <c:v>Australia</c:v>
                </c:pt>
                <c:pt idx="27">
                  <c:v>Belgium</c:v>
                </c:pt>
                <c:pt idx="28">
                  <c:v>Chile</c:v>
                </c:pt>
                <c:pt idx="29">
                  <c:v>Netherlands</c:v>
                </c:pt>
                <c:pt idx="30">
                  <c:v>Ireland</c:v>
                </c:pt>
                <c:pt idx="31">
                  <c:v>Greece</c:v>
                </c:pt>
                <c:pt idx="32">
                  <c:v>Malta</c:v>
                </c:pt>
                <c:pt idx="33">
                  <c:v>Cyprus</c:v>
                </c:pt>
                <c:pt idx="34">
                  <c:v>Iceland</c:v>
                </c:pt>
                <c:pt idx="35">
                  <c:v>United Kingdom</c:v>
                </c:pt>
                <c:pt idx="36">
                  <c:v>New Zealand</c:v>
                </c:pt>
                <c:pt idx="37">
                  <c:v>Costa Rica</c:v>
                </c:pt>
                <c:pt idx="38">
                  <c:v>Spain</c:v>
                </c:pt>
                <c:pt idx="39">
                  <c:v>Türkiye</c:v>
                </c:pt>
                <c:pt idx="40">
                  <c:v>Israel</c:v>
                </c:pt>
                <c:pt idx="41">
                  <c:v>Switzerland</c:v>
                </c:pt>
                <c:pt idx="42">
                  <c:v>Mexico</c:v>
                </c:pt>
                <c:pt idx="43">
                  <c:v>United States</c:v>
                </c:pt>
                <c:pt idx="44">
                  <c:v>Colombia</c:v>
                </c:pt>
              </c:strCache>
            </c:strRef>
          </c:cat>
          <c:val>
            <c:numRef>
              <c:f>'Chart PF2.1.B'!$S$9:$S$53</c:f>
              <c:numCache>
                <c:formatCode>0.0</c:formatCode>
                <c:ptCount val="45"/>
                <c:pt idx="0">
                  <c:v>154.33000000000001</c:v>
                </c:pt>
                <c:pt idx="1">
                  <c:v>136</c:v>
                </c:pt>
                <c:pt idx="2">
                  <c:v>130</c:v>
                </c:pt>
                <c:pt idx="3">
                  <c:v>86.33</c:v>
                </c:pt>
                <c:pt idx="4">
                  <c:v>78</c:v>
                </c:pt>
                <c:pt idx="5">
                  <c:v>78</c:v>
                </c:pt>
                <c:pt idx="6">
                  <c:v>68</c:v>
                </c:pt>
                <c:pt idx="7">
                  <c:v>67.857142857142861</c:v>
                </c:pt>
                <c:pt idx="8">
                  <c:v>61.66666</c:v>
                </c:pt>
                <c:pt idx="9">
                  <c:v>51.86</c:v>
                </c:pt>
                <c:pt idx="10">
                  <c:v>44.843804606934043</c:v>
                </c:pt>
                <c:pt idx="11">
                  <c:v>44</c:v>
                </c:pt>
                <c:pt idx="12">
                  <c:v>44</c:v>
                </c:pt>
                <c:pt idx="13">
                  <c:v>44</c:v>
                </c:pt>
                <c:pt idx="14">
                  <c:v>42.857142857142854</c:v>
                </c:pt>
                <c:pt idx="15">
                  <c:v>37.80404772336783</c:v>
                </c:pt>
                <c:pt idx="16">
                  <c:v>37.142857142857146</c:v>
                </c:pt>
                <c:pt idx="17">
                  <c:v>35</c:v>
                </c:pt>
                <c:pt idx="18">
                  <c:v>33.971755904926823</c:v>
                </c:pt>
                <c:pt idx="19">
                  <c:v>32</c:v>
                </c:pt>
                <c:pt idx="20">
                  <c:v>26</c:v>
                </c:pt>
                <c:pt idx="21">
                  <c:v>26</c:v>
                </c:pt>
                <c:pt idx="22">
                  <c:v>26</c:v>
                </c:pt>
                <c:pt idx="23">
                  <c:v>26</c:v>
                </c:pt>
                <c:pt idx="24">
                  <c:v>24.14</c:v>
                </c:pt>
                <c:pt idx="25">
                  <c:v>19</c:v>
                </c:pt>
                <c:pt idx="26">
                  <c:v>18</c:v>
                </c:pt>
                <c:pt idx="27">
                  <c:v>17.333333333333332</c:v>
                </c:pt>
                <c:pt idx="28">
                  <c:v>12</c:v>
                </c:pt>
                <c:pt idx="29">
                  <c:v>9</c:v>
                </c:pt>
                <c:pt idx="30">
                  <c:v>9</c:v>
                </c:pt>
                <c:pt idx="31">
                  <c:v>8.6666659999999993</c:v>
                </c:pt>
                <c:pt idx="32">
                  <c:v>8.6660000000000004</c:v>
                </c:pt>
                <c:pt idx="33">
                  <c:v>8</c:v>
                </c:pt>
                <c:pt idx="34">
                  <c:v>6</c:v>
                </c:pt>
                <c:pt idx="35">
                  <c:v>0</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09-2C2B-42A9-BFF4-C15E70A2378B}"/>
            </c:ext>
          </c:extLst>
        </c:ser>
        <c:dLbls>
          <c:showLegendKey val="0"/>
          <c:showVal val="0"/>
          <c:showCatName val="0"/>
          <c:showSerName val="0"/>
          <c:showPercent val="0"/>
          <c:showBubbleSize val="0"/>
        </c:dLbls>
        <c:gapWidth val="50"/>
        <c:axId val="267817728"/>
        <c:axId val="267819648"/>
      </c:barChart>
      <c:catAx>
        <c:axId val="267817728"/>
        <c:scaling>
          <c:orientation val="maxMin"/>
        </c:scaling>
        <c:delete val="0"/>
        <c:axPos val="r"/>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67819648"/>
        <c:crosses val="autoZero"/>
        <c:auto val="1"/>
        <c:lblAlgn val="ctr"/>
        <c:lblOffset val="100"/>
        <c:noMultiLvlLbl val="0"/>
      </c:catAx>
      <c:valAx>
        <c:axId val="267819648"/>
        <c:scaling>
          <c:orientation val="maxMin"/>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67817728"/>
        <c:crosses val="autoZero"/>
        <c:crossBetween val="between"/>
        <c:majorUnit val="20"/>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clustered"/>
        <c:varyColors val="0"/>
        <c:ser>
          <c:idx val="0"/>
          <c:order val="0"/>
          <c:tx>
            <c:strRef>
              <c:f>'Chart PF2.1.C'!$U$6</c:f>
              <c:strCache>
                <c:ptCount val="1"/>
                <c:pt idx="0">
                  <c:v>Average payment rate (%) across father-specific leave</c:v>
                </c:pt>
              </c:strCache>
            </c:strRef>
          </c:tx>
          <c:spPr>
            <a:solidFill>
              <a:srgbClr val="002F6C"/>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2"/>
            <c:invertIfNegative val="0"/>
            <c:bubble3D val="0"/>
            <c:spPr>
              <a:pattFill prst="wdUpDiag">
                <a:fgClr>
                  <a:srgbClr val="002060"/>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22-4F30-45A7-9030-E65B1AE8DDEC}"/>
              </c:ext>
            </c:extLst>
          </c:dPt>
          <c:dPt>
            <c:idx val="3"/>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2-B4F1-463E-95F0-716A7EF9FA0C}"/>
              </c:ext>
            </c:extLst>
          </c:dPt>
          <c:dPt>
            <c:idx val="9"/>
            <c:invertIfNegative val="0"/>
            <c:bubble3D val="0"/>
            <c:spPr>
              <a:solidFill>
                <a:srgbClr val="002F6C"/>
              </a:solidFill>
              <a:ln w="9525">
                <a:noFill/>
              </a:ln>
              <a:effectLst/>
            </c:spPr>
            <c:extLst>
              <c:ext xmlns:c16="http://schemas.microsoft.com/office/drawing/2014/chart" uri="{C3380CC4-5D6E-409C-BE32-E72D297353CC}">
                <c16:uniqueId val="{00000013-B4F1-463E-95F0-716A7EF9FA0C}"/>
              </c:ext>
            </c:extLst>
          </c:dPt>
          <c:dPt>
            <c:idx val="10"/>
            <c:invertIfNegative val="0"/>
            <c:bubble3D val="0"/>
            <c:extLst>
              <c:ext xmlns:c16="http://schemas.microsoft.com/office/drawing/2014/chart" uri="{C3380CC4-5D6E-409C-BE32-E72D297353CC}">
                <c16:uniqueId val="{00000000-AA26-4541-A9FB-08F197D62F48}"/>
              </c:ext>
            </c:extLst>
          </c:dPt>
          <c:dPt>
            <c:idx val="11"/>
            <c:invertIfNegative val="0"/>
            <c:bubble3D val="0"/>
            <c:extLst>
              <c:ext xmlns:c16="http://schemas.microsoft.com/office/drawing/2014/chart" uri="{C3380CC4-5D6E-409C-BE32-E72D297353CC}">
                <c16:uniqueId val="{00000001-AA26-4541-A9FB-08F197D62F48}"/>
              </c:ext>
            </c:extLst>
          </c:dPt>
          <c:dPt>
            <c:idx val="13"/>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2-AA26-4541-A9FB-08F197D62F48}"/>
              </c:ext>
            </c:extLst>
          </c:dPt>
          <c:dPt>
            <c:idx val="14"/>
            <c:invertIfNegative val="0"/>
            <c:bubble3D val="0"/>
            <c:spPr>
              <a:pattFill prst="wdUpDiag">
                <a:fgClr>
                  <a:srgbClr val="002060"/>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3-AA26-4541-A9FB-08F197D62F48}"/>
              </c:ext>
            </c:extLst>
          </c:dPt>
          <c:dPt>
            <c:idx val="15"/>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4-AA26-4541-A9FB-08F197D62F48}"/>
              </c:ext>
            </c:extLst>
          </c:dPt>
          <c:dPt>
            <c:idx val="16"/>
            <c:invertIfNegative val="0"/>
            <c:bubble3D val="0"/>
            <c:extLst>
              <c:ext xmlns:c16="http://schemas.microsoft.com/office/drawing/2014/chart" uri="{C3380CC4-5D6E-409C-BE32-E72D297353CC}">
                <c16:uniqueId val="{00000005-AA26-4541-A9FB-08F197D62F48}"/>
              </c:ext>
            </c:extLst>
          </c:dPt>
          <c:dPt>
            <c:idx val="17"/>
            <c:invertIfNegative val="0"/>
            <c:bubble3D val="0"/>
            <c:extLst>
              <c:ext xmlns:c16="http://schemas.microsoft.com/office/drawing/2014/chart" uri="{C3380CC4-5D6E-409C-BE32-E72D297353CC}">
                <c16:uniqueId val="{00000006-AA26-4541-A9FB-08F197D62F48}"/>
              </c:ext>
            </c:extLst>
          </c:dPt>
          <c:dPt>
            <c:idx val="19"/>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4-B4F1-463E-95F0-716A7EF9FA0C}"/>
              </c:ext>
            </c:extLst>
          </c:dPt>
          <c:dPt>
            <c:idx val="20"/>
            <c:invertIfNegative val="0"/>
            <c:bubble3D val="0"/>
            <c:extLst>
              <c:ext xmlns:c16="http://schemas.microsoft.com/office/drawing/2014/chart" uri="{C3380CC4-5D6E-409C-BE32-E72D297353CC}">
                <c16:uniqueId val="{00000007-AA26-4541-A9FB-08F197D62F48}"/>
              </c:ext>
            </c:extLst>
          </c:dPt>
          <c:dPt>
            <c:idx val="21"/>
            <c:invertIfNegative val="0"/>
            <c:bubble3D val="0"/>
            <c:extLst>
              <c:ext xmlns:c16="http://schemas.microsoft.com/office/drawing/2014/chart" uri="{C3380CC4-5D6E-409C-BE32-E72D297353CC}">
                <c16:uniqueId val="{00000008-AA26-4541-A9FB-08F197D62F48}"/>
              </c:ext>
            </c:extLst>
          </c:dPt>
          <c:dPt>
            <c:idx val="22"/>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9-AA26-4541-A9FB-08F197D62F48}"/>
              </c:ext>
            </c:extLst>
          </c:dPt>
          <c:dPt>
            <c:idx val="23"/>
            <c:invertIfNegative val="0"/>
            <c:bubble3D val="0"/>
            <c:extLst>
              <c:ext xmlns:c16="http://schemas.microsoft.com/office/drawing/2014/chart" uri="{C3380CC4-5D6E-409C-BE32-E72D297353CC}">
                <c16:uniqueId val="{0000000A-AA26-4541-A9FB-08F197D62F48}"/>
              </c:ext>
            </c:extLst>
          </c:dPt>
          <c:dPt>
            <c:idx val="24"/>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B-AA26-4541-A9FB-08F197D62F48}"/>
              </c:ext>
            </c:extLst>
          </c:dPt>
          <c:dPt>
            <c:idx val="25"/>
            <c:invertIfNegative val="0"/>
            <c:bubble3D val="0"/>
            <c:extLst>
              <c:ext xmlns:c16="http://schemas.microsoft.com/office/drawing/2014/chart" uri="{C3380CC4-5D6E-409C-BE32-E72D297353CC}">
                <c16:uniqueId val="{0000000C-AA26-4541-A9FB-08F197D62F48}"/>
              </c:ext>
            </c:extLst>
          </c:dPt>
          <c:dPt>
            <c:idx val="26"/>
            <c:invertIfNegative val="0"/>
            <c:bubble3D val="0"/>
            <c:extLst>
              <c:ext xmlns:c16="http://schemas.microsoft.com/office/drawing/2014/chart" uri="{C3380CC4-5D6E-409C-BE32-E72D297353CC}">
                <c16:uniqueId val="{0000000D-AA26-4541-A9FB-08F197D62F48}"/>
              </c:ext>
            </c:extLst>
          </c:dPt>
          <c:dPt>
            <c:idx val="28"/>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27-B97E-4D37-A89B-E609D66E94C0}"/>
              </c:ext>
            </c:extLst>
          </c:dPt>
          <c:dPt>
            <c:idx val="30"/>
            <c:invertIfNegative val="0"/>
            <c:bubble3D val="0"/>
            <c:extLst>
              <c:ext xmlns:c16="http://schemas.microsoft.com/office/drawing/2014/chart" uri="{C3380CC4-5D6E-409C-BE32-E72D297353CC}">
                <c16:uniqueId val="{0000000E-AA26-4541-A9FB-08F197D62F48}"/>
              </c:ext>
            </c:extLst>
          </c:dPt>
          <c:dPt>
            <c:idx val="32"/>
            <c:invertIfNegative val="0"/>
            <c:bubble3D val="0"/>
            <c:extLst>
              <c:ext xmlns:c16="http://schemas.microsoft.com/office/drawing/2014/chart" uri="{C3380CC4-5D6E-409C-BE32-E72D297353CC}">
                <c16:uniqueId val="{0000000F-AA26-4541-A9FB-08F197D62F48}"/>
              </c:ext>
            </c:extLst>
          </c:dPt>
          <c:dPt>
            <c:idx val="33"/>
            <c:invertIfNegative val="0"/>
            <c:bubble3D val="0"/>
            <c:extLst>
              <c:ext xmlns:c16="http://schemas.microsoft.com/office/drawing/2014/chart" uri="{C3380CC4-5D6E-409C-BE32-E72D297353CC}">
                <c16:uniqueId val="{00000010-AA26-4541-A9FB-08F197D62F48}"/>
              </c:ext>
            </c:extLst>
          </c:dPt>
          <c:dPt>
            <c:idx val="34"/>
            <c:invertIfNegative val="0"/>
            <c:bubble3D val="0"/>
            <c:extLst>
              <c:ext xmlns:c16="http://schemas.microsoft.com/office/drawing/2014/chart" uri="{C3380CC4-5D6E-409C-BE32-E72D297353CC}">
                <c16:uniqueId val="{00000011-AA26-4541-A9FB-08F197D62F48}"/>
              </c:ext>
            </c:extLst>
          </c:dPt>
          <c:dPt>
            <c:idx val="35"/>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5-B4F1-463E-95F0-716A7EF9FA0C}"/>
              </c:ext>
            </c:extLst>
          </c:dPt>
          <c:dPt>
            <c:idx val="36"/>
            <c:invertIfNegative val="0"/>
            <c:bubble3D val="0"/>
            <c:extLst>
              <c:ext xmlns:c16="http://schemas.microsoft.com/office/drawing/2014/chart" uri="{C3380CC4-5D6E-409C-BE32-E72D297353CC}">
                <c16:uniqueId val="{0000001B-2532-48E3-8847-869E1F1C3C95}"/>
              </c:ext>
            </c:extLst>
          </c:dPt>
          <c:dPt>
            <c:idx val="37"/>
            <c:invertIfNegative val="0"/>
            <c:bubble3D val="0"/>
            <c:spPr>
              <a:pattFill prst="wdUpDiag">
                <a:fgClr>
                  <a:srgbClr val="002F6C"/>
                </a:fgClr>
                <a:bgClr>
                  <a:srgbClr val="002F6C"/>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D-A3DD-4315-8328-A044A194197C}"/>
              </c:ext>
            </c:extLst>
          </c:dPt>
          <c:dPt>
            <c:idx val="39"/>
            <c:invertIfNegative val="0"/>
            <c:bubble3D val="0"/>
            <c:extLst>
              <c:ext xmlns:c16="http://schemas.microsoft.com/office/drawing/2014/chart" uri="{C3380CC4-5D6E-409C-BE32-E72D297353CC}">
                <c16:uniqueId val="{00000023-4F30-45A7-9030-E65B1AE8DDEC}"/>
              </c:ext>
            </c:extLst>
          </c:dPt>
          <c:dPt>
            <c:idx val="41"/>
            <c:invertIfNegative val="0"/>
            <c:bubble3D val="0"/>
            <c:spPr>
              <a:pattFill prst="wdUpDiag">
                <a:fgClr>
                  <a:srgbClr val="002F6C"/>
                </a:fgClr>
                <a:bgClr>
                  <a:srgbClr val="7FA8D9"/>
                </a:bgClr>
              </a:patt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28-B97E-4D37-A89B-E609D66E94C0}"/>
              </c:ext>
            </c:extLst>
          </c:dPt>
          <c:cat>
            <c:strRef>
              <c:f>'Chart PF2.1.C'!$R$9:$R$53</c:f>
              <c:strCache>
                <c:ptCount val="45"/>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Italy</c:v>
                </c:pt>
                <c:pt idx="12">
                  <c:v>Netherlands</c:v>
                </c:pt>
                <c:pt idx="13">
                  <c:v>Sweden</c:v>
                </c:pt>
                <c:pt idx="14">
                  <c:v>OECD average</c:v>
                </c:pt>
                <c:pt idx="15">
                  <c:v>EU average</c:v>
                </c:pt>
                <c:pt idx="16">
                  <c:v>Austria</c:v>
                </c:pt>
                <c:pt idx="17">
                  <c:v>Croatia</c:v>
                </c:pt>
                <c:pt idx="18">
                  <c:v>Lithuania</c:v>
                </c:pt>
                <c:pt idx="19">
                  <c:v>Greece</c:v>
                </c:pt>
                <c:pt idx="20">
                  <c:v>Poland</c:v>
                </c:pt>
                <c:pt idx="21">
                  <c:v>Denmark</c:v>
                </c:pt>
                <c:pt idx="22">
                  <c:v>Hungary</c:v>
                </c:pt>
                <c:pt idx="23">
                  <c:v>Slovenia</c:v>
                </c:pt>
                <c:pt idx="24">
                  <c:v>Romania</c:v>
                </c:pt>
                <c:pt idx="25">
                  <c:v>Latvia</c:v>
                </c:pt>
                <c:pt idx="26">
                  <c:v>Malta</c:v>
                </c:pt>
                <c:pt idx="27">
                  <c:v>Ireland</c:v>
                </c:pt>
                <c:pt idx="28">
                  <c:v>Germany</c:v>
                </c:pt>
                <c:pt idx="29">
                  <c:v>Canada</c:v>
                </c:pt>
                <c:pt idx="30">
                  <c:v>Estonia</c:v>
                </c:pt>
                <c:pt idx="31">
                  <c:v>Colombia</c:v>
                </c:pt>
                <c:pt idx="32">
                  <c:v>Bulgaria</c:v>
                </c:pt>
                <c:pt idx="33">
                  <c:v>Cyprus</c:v>
                </c:pt>
                <c:pt idx="34">
                  <c:v>Australia</c:v>
                </c:pt>
                <c:pt idx="35">
                  <c:v>United Kingdom</c:v>
                </c:pt>
                <c:pt idx="36">
                  <c:v>Switzerland</c:v>
                </c:pt>
                <c:pt idx="37">
                  <c:v>Czechia</c:v>
                </c:pt>
                <c:pt idx="38">
                  <c:v>Costa Rica</c:v>
                </c:pt>
                <c:pt idx="39">
                  <c:v>Türkiye</c:v>
                </c:pt>
                <c:pt idx="40">
                  <c:v>Mexico</c:v>
                </c:pt>
                <c:pt idx="41">
                  <c:v>Chile</c:v>
                </c:pt>
                <c:pt idx="42">
                  <c:v>New Zealand</c:v>
                </c:pt>
                <c:pt idx="43">
                  <c:v>Israel</c:v>
                </c:pt>
                <c:pt idx="44">
                  <c:v>United States</c:v>
                </c:pt>
              </c:strCache>
            </c:strRef>
          </c:cat>
          <c:val>
            <c:numRef>
              <c:f>'Chart PF2.1.C'!$U$9:$U$53</c:f>
              <c:numCache>
                <c:formatCode>0.0</c:formatCode>
                <c:ptCount val="45"/>
                <c:pt idx="0">
                  <c:v>50.055758774889263</c:v>
                </c:pt>
                <c:pt idx="1">
                  <c:v>60.714285714285737</c:v>
                </c:pt>
                <c:pt idx="2">
                  <c:v>25.647198839563185</c:v>
                </c:pt>
                <c:pt idx="3">
                  <c:v>73.078847080201655</c:v>
                </c:pt>
                <c:pt idx="4">
                  <c:v>75</c:v>
                </c:pt>
                <c:pt idx="5">
                  <c:v>64.999999999999972</c:v>
                </c:pt>
                <c:pt idx="6">
                  <c:v>31.921100289792218</c:v>
                </c:pt>
                <c:pt idx="7">
                  <c:v>80</c:v>
                </c:pt>
                <c:pt idx="8">
                  <c:v>66.580357529876778</c:v>
                </c:pt>
                <c:pt idx="9">
                  <c:v>100</c:v>
                </c:pt>
                <c:pt idx="10">
                  <c:v>97.438203852551723</c:v>
                </c:pt>
                <c:pt idx="11">
                  <c:v>39.333333333333336</c:v>
                </c:pt>
                <c:pt idx="12">
                  <c:v>75.473293854244488</c:v>
                </c:pt>
                <c:pt idx="13">
                  <c:v>76.209156588332249</c:v>
                </c:pt>
                <c:pt idx="14">
                  <c:v>0</c:v>
                </c:pt>
                <c:pt idx="15">
                  <c:v>0</c:v>
                </c:pt>
                <c:pt idx="16">
                  <c:v>62.302474031410767</c:v>
                </c:pt>
                <c:pt idx="17">
                  <c:v>100</c:v>
                </c:pt>
                <c:pt idx="18">
                  <c:v>77.579999999999984</c:v>
                </c:pt>
                <c:pt idx="19">
                  <c:v>56.093549375144271</c:v>
                </c:pt>
                <c:pt idx="20">
                  <c:v>75.454545454545453</c:v>
                </c:pt>
                <c:pt idx="21">
                  <c:v>49.691923419085199</c:v>
                </c:pt>
                <c:pt idx="22">
                  <c:v>21.111111111111111</c:v>
                </c:pt>
                <c:pt idx="23">
                  <c:v>100</c:v>
                </c:pt>
                <c:pt idx="24">
                  <c:v>87.812675792237016</c:v>
                </c:pt>
                <c:pt idx="25">
                  <c:v>63.750234389649357</c:v>
                </c:pt>
                <c:pt idx="26">
                  <c:v>59.375585974123375</c:v>
                </c:pt>
                <c:pt idx="27">
                  <c:v>23.423064352044449</c:v>
                </c:pt>
                <c:pt idx="28">
                  <c:v>55.261335078407768</c:v>
                </c:pt>
                <c:pt idx="29">
                  <c:v>40.900739908451364</c:v>
                </c:pt>
                <c:pt idx="30">
                  <c:v>100</c:v>
                </c:pt>
                <c:pt idx="31">
                  <c:v>100</c:v>
                </c:pt>
                <c:pt idx="32">
                  <c:v>90</c:v>
                </c:pt>
                <c:pt idx="33">
                  <c:v>72</c:v>
                </c:pt>
                <c:pt idx="34">
                  <c:v>45.885536389386672</c:v>
                </c:pt>
                <c:pt idx="35">
                  <c:v>18.969560191167343</c:v>
                </c:pt>
                <c:pt idx="36">
                  <c:v>57.52738555934851</c:v>
                </c:pt>
                <c:pt idx="37">
                  <c:v>61.41350817645305</c:v>
                </c:pt>
                <c:pt idx="38">
                  <c:v>100</c:v>
                </c:pt>
                <c:pt idx="39">
                  <c:v>100</c:v>
                </c:pt>
                <c:pt idx="40">
                  <c:v>100</c:v>
                </c:pt>
                <c:pt idx="41">
                  <c:v>100</c:v>
                </c:pt>
                <c:pt idx="42">
                  <c:v>0</c:v>
                </c:pt>
                <c:pt idx="43">
                  <c:v>0</c:v>
                </c:pt>
                <c:pt idx="44">
                  <c:v>0</c:v>
                </c:pt>
              </c:numCache>
            </c:numRef>
          </c:val>
          <c:extLst>
            <c:ext xmlns:c16="http://schemas.microsoft.com/office/drawing/2014/chart" uri="{C3380CC4-5D6E-409C-BE32-E72D297353CC}">
              <c16:uniqueId val="{00000012-AA26-4541-A9FB-08F197D62F48}"/>
            </c:ext>
          </c:extLst>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58760704"/>
        <c:crosses val="autoZero"/>
        <c:auto val="1"/>
        <c:lblAlgn val="ctr"/>
        <c:lblOffset val="100"/>
        <c:noMultiLvlLbl val="0"/>
      </c:catAx>
      <c:valAx>
        <c:axId val="258760704"/>
        <c:scaling>
          <c:orientation val="minMax"/>
          <c:max val="100"/>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58660224"/>
        <c:crosses val="autoZero"/>
        <c:crossBetween val="between"/>
        <c:majorUnit val="10"/>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7950517349457705E-2"/>
          <c:y val="1.1829282037095511E-2"/>
          <c:w val="0.97756185331317791"/>
          <c:h val="0.98225607694435668"/>
        </c:manualLayout>
      </c:layout>
      <c:barChart>
        <c:barDir val="bar"/>
        <c:grouping val="stacked"/>
        <c:varyColors val="0"/>
        <c:ser>
          <c:idx val="0"/>
          <c:order val="0"/>
          <c:tx>
            <c:strRef>
              <c:f>'Chart PF2.1.C'!$S$8</c:f>
              <c:strCache>
                <c:ptCount val="1"/>
              </c:strCache>
            </c:strRef>
          </c:tx>
          <c:spPr>
            <a:solidFill>
              <a:srgbClr val="7FA8D9"/>
            </a:solidFill>
            <a:ln w="9525">
              <a:noFill/>
            </a:ln>
            <a:effectLst/>
            <a:extLst>
              <a:ext uri="{91240B29-F687-4F45-9708-019B960494DF}">
                <a14:hiddenLine xmlns:a14="http://schemas.microsoft.com/office/drawing/2010/main" w="9525">
                  <a:solidFill>
                    <a:sysClr val="windowText" lastClr="000000"/>
                  </a:solidFill>
                </a14:hiddenLine>
              </a:ext>
            </a:extLst>
          </c:spPr>
          <c:invertIfNegative val="0"/>
          <c:dPt>
            <c:idx val="8"/>
            <c:invertIfNegative val="0"/>
            <c:bubble3D val="0"/>
            <c:extLst>
              <c:ext xmlns:c16="http://schemas.microsoft.com/office/drawing/2014/chart" uri="{C3380CC4-5D6E-409C-BE32-E72D297353CC}">
                <c16:uniqueId val="{00000000-5A32-4880-93B9-E5B7A9E84AF9}"/>
              </c:ext>
            </c:extLst>
          </c:dPt>
          <c:dPt>
            <c:idx val="10"/>
            <c:invertIfNegative val="0"/>
            <c:bubble3D val="0"/>
            <c:extLst>
              <c:ext xmlns:c16="http://schemas.microsoft.com/office/drawing/2014/chart" uri="{C3380CC4-5D6E-409C-BE32-E72D297353CC}">
                <c16:uniqueId val="{00000001-5A32-4880-93B9-E5B7A9E84AF9}"/>
              </c:ext>
            </c:extLst>
          </c:dPt>
          <c:dPt>
            <c:idx val="11"/>
            <c:invertIfNegative val="0"/>
            <c:bubble3D val="0"/>
            <c:extLst>
              <c:ext xmlns:c16="http://schemas.microsoft.com/office/drawing/2014/chart" uri="{C3380CC4-5D6E-409C-BE32-E72D297353CC}">
                <c16:uniqueId val="{00000011-B71E-4C54-80AF-288EB0C69513}"/>
              </c:ext>
            </c:extLst>
          </c:dPt>
          <c:dPt>
            <c:idx val="12"/>
            <c:invertIfNegative val="0"/>
            <c:bubble3D val="0"/>
            <c:extLst>
              <c:ext xmlns:c16="http://schemas.microsoft.com/office/drawing/2014/chart" uri="{C3380CC4-5D6E-409C-BE32-E72D297353CC}">
                <c16:uniqueId val="{00000002-5A32-4880-93B9-E5B7A9E84AF9}"/>
              </c:ext>
            </c:extLst>
          </c:dPt>
          <c:dPt>
            <c:idx val="13"/>
            <c:invertIfNegative val="0"/>
            <c:bubble3D val="0"/>
            <c:extLst>
              <c:ext xmlns:c16="http://schemas.microsoft.com/office/drawing/2014/chart" uri="{C3380CC4-5D6E-409C-BE32-E72D297353CC}">
                <c16:uniqueId val="{00000003-5A32-4880-93B9-E5B7A9E84AF9}"/>
              </c:ext>
            </c:extLst>
          </c:dPt>
          <c:dPt>
            <c:idx val="14"/>
            <c:invertIfNegative val="0"/>
            <c:bubble3D val="0"/>
            <c:spPr>
              <a:solidFill>
                <a:srgbClr val="83D2E3"/>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14-AECE-4012-99D3-E92BA638BB5B}"/>
              </c:ext>
            </c:extLst>
          </c:dPt>
          <c:dPt>
            <c:idx val="15"/>
            <c:invertIfNegative val="0"/>
            <c:bubble3D val="0"/>
            <c:extLst>
              <c:ext xmlns:c16="http://schemas.microsoft.com/office/drawing/2014/chart" uri="{C3380CC4-5D6E-409C-BE32-E72D297353CC}">
                <c16:uniqueId val="{0000000B-2384-4A19-AB6F-0848C54D20C2}"/>
              </c:ext>
            </c:extLst>
          </c:dPt>
          <c:dPt>
            <c:idx val="16"/>
            <c:invertIfNegative val="0"/>
            <c:bubble3D val="0"/>
            <c:spPr>
              <a:solidFill>
                <a:srgbClr val="83D2E3"/>
              </a:solidFill>
              <a:ln w="9525">
                <a:noFill/>
              </a:ln>
              <a:effectLst/>
              <a:extLst>
                <a:ext uri="{91240B29-F687-4F45-9708-019B960494DF}">
                  <a14:hiddenLine xmlns:a14="http://schemas.microsoft.com/office/drawing/2010/main" w="9525">
                    <a:solidFill>
                      <a:sysClr val="windowText" lastClr="000000"/>
                    </a:solidFill>
                  </a14:hiddenLine>
                </a:ext>
              </a:extLst>
            </c:spPr>
            <c:extLst>
              <c:ext xmlns:c16="http://schemas.microsoft.com/office/drawing/2014/chart" uri="{C3380CC4-5D6E-409C-BE32-E72D297353CC}">
                <c16:uniqueId val="{00000004-5A32-4880-93B9-E5B7A9E84AF9}"/>
              </c:ext>
            </c:extLst>
          </c:dPt>
          <c:dPt>
            <c:idx val="17"/>
            <c:invertIfNegative val="0"/>
            <c:bubble3D val="0"/>
            <c:extLst>
              <c:ext xmlns:c16="http://schemas.microsoft.com/office/drawing/2014/chart" uri="{C3380CC4-5D6E-409C-BE32-E72D297353CC}">
                <c16:uniqueId val="{00000005-5A32-4880-93B9-E5B7A9E84AF9}"/>
              </c:ext>
            </c:extLst>
          </c:dPt>
          <c:dPt>
            <c:idx val="18"/>
            <c:invertIfNegative val="0"/>
            <c:bubble3D val="0"/>
            <c:extLst>
              <c:ext xmlns:c16="http://schemas.microsoft.com/office/drawing/2014/chart" uri="{C3380CC4-5D6E-409C-BE32-E72D297353CC}">
                <c16:uniqueId val="{00000006-5A32-4880-93B9-E5B7A9E84AF9}"/>
              </c:ext>
            </c:extLst>
          </c:dPt>
          <c:dPt>
            <c:idx val="20"/>
            <c:invertIfNegative val="0"/>
            <c:bubble3D val="0"/>
            <c:extLst>
              <c:ext xmlns:c16="http://schemas.microsoft.com/office/drawing/2014/chart" uri="{C3380CC4-5D6E-409C-BE32-E72D297353CC}">
                <c16:uniqueId val="{00000007-5A32-4880-93B9-E5B7A9E84AF9}"/>
              </c:ext>
            </c:extLst>
          </c:dPt>
          <c:dPt>
            <c:idx val="21"/>
            <c:invertIfNegative val="0"/>
            <c:bubble3D val="0"/>
            <c:extLst>
              <c:ext xmlns:c16="http://schemas.microsoft.com/office/drawing/2014/chart" uri="{C3380CC4-5D6E-409C-BE32-E72D297353CC}">
                <c16:uniqueId val="{00000008-5A32-4880-93B9-E5B7A9E84AF9}"/>
              </c:ext>
            </c:extLst>
          </c:dPt>
          <c:cat>
            <c:strRef>
              <c:f>'Chart PF2.1.C'!$R$9:$R$52</c:f>
              <c:strCache>
                <c:ptCount val="44"/>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Italy</c:v>
                </c:pt>
                <c:pt idx="12">
                  <c:v>Netherlands</c:v>
                </c:pt>
                <c:pt idx="13">
                  <c:v>Sweden</c:v>
                </c:pt>
                <c:pt idx="14">
                  <c:v>OECD average</c:v>
                </c:pt>
                <c:pt idx="15">
                  <c:v>EU average</c:v>
                </c:pt>
                <c:pt idx="16">
                  <c:v>Austria</c:v>
                </c:pt>
                <c:pt idx="17">
                  <c:v>Croatia</c:v>
                </c:pt>
                <c:pt idx="18">
                  <c:v>Lithuania</c:v>
                </c:pt>
                <c:pt idx="19">
                  <c:v>Greece</c:v>
                </c:pt>
                <c:pt idx="20">
                  <c:v>Poland</c:v>
                </c:pt>
                <c:pt idx="21">
                  <c:v>Denmark</c:v>
                </c:pt>
                <c:pt idx="22">
                  <c:v>Hungary</c:v>
                </c:pt>
                <c:pt idx="23">
                  <c:v>Slovenia</c:v>
                </c:pt>
                <c:pt idx="24">
                  <c:v>Romania</c:v>
                </c:pt>
                <c:pt idx="25">
                  <c:v>Latvia</c:v>
                </c:pt>
                <c:pt idx="26">
                  <c:v>Malta</c:v>
                </c:pt>
                <c:pt idx="27">
                  <c:v>Ireland</c:v>
                </c:pt>
                <c:pt idx="28">
                  <c:v>Germany</c:v>
                </c:pt>
                <c:pt idx="29">
                  <c:v>Canada</c:v>
                </c:pt>
                <c:pt idx="30">
                  <c:v>Estonia</c:v>
                </c:pt>
                <c:pt idx="31">
                  <c:v>Colombia</c:v>
                </c:pt>
                <c:pt idx="32">
                  <c:v>Bulgaria</c:v>
                </c:pt>
                <c:pt idx="33">
                  <c:v>Cyprus</c:v>
                </c:pt>
                <c:pt idx="34">
                  <c:v>Australia</c:v>
                </c:pt>
                <c:pt idx="35">
                  <c:v>United Kingdom</c:v>
                </c:pt>
                <c:pt idx="36">
                  <c:v>Switzerland</c:v>
                </c:pt>
                <c:pt idx="37">
                  <c:v>Czechia</c:v>
                </c:pt>
                <c:pt idx="38">
                  <c:v>Costa Rica</c:v>
                </c:pt>
                <c:pt idx="39">
                  <c:v>Türkiye</c:v>
                </c:pt>
                <c:pt idx="40">
                  <c:v>Mexico</c:v>
                </c:pt>
                <c:pt idx="41">
                  <c:v>Chile</c:v>
                </c:pt>
                <c:pt idx="42">
                  <c:v>New Zealand</c:v>
                </c:pt>
                <c:pt idx="43">
                  <c:v>Israel</c:v>
                </c:pt>
              </c:strCache>
            </c:strRef>
          </c:cat>
          <c:val>
            <c:numRef>
              <c:f>'Chart PF2.1.C'!$S$9:$S$52</c:f>
              <c:numCache>
                <c:formatCode>0.0</c:formatCode>
                <c:ptCount val="44"/>
                <c:pt idx="0">
                  <c:v>4</c:v>
                </c:pt>
                <c:pt idx="1">
                  <c:v>4</c:v>
                </c:pt>
                <c:pt idx="2">
                  <c:v>4.17</c:v>
                </c:pt>
                <c:pt idx="3">
                  <c:v>2</c:v>
                </c:pt>
                <c:pt idx="4">
                  <c:v>2</c:v>
                </c:pt>
                <c:pt idx="5">
                  <c:v>5</c:v>
                </c:pt>
                <c:pt idx="6">
                  <c:v>4</c:v>
                </c:pt>
                <c:pt idx="7">
                  <c:v>0</c:v>
                </c:pt>
                <c:pt idx="8">
                  <c:v>3</c:v>
                </c:pt>
                <c:pt idx="9">
                  <c:v>16</c:v>
                </c:pt>
                <c:pt idx="10">
                  <c:v>0</c:v>
                </c:pt>
                <c:pt idx="11">
                  <c:v>2</c:v>
                </c:pt>
                <c:pt idx="12">
                  <c:v>6</c:v>
                </c:pt>
                <c:pt idx="13">
                  <c:v>1.4285714285714286</c:v>
                </c:pt>
                <c:pt idx="14">
                  <c:v>2.4883458646616541</c:v>
                </c:pt>
                <c:pt idx="15">
                  <c:v>3.2333333333333334</c:v>
                </c:pt>
                <c:pt idx="16">
                  <c:v>4.33</c:v>
                </c:pt>
                <c:pt idx="17">
                  <c:v>4</c:v>
                </c:pt>
                <c:pt idx="18">
                  <c:v>4</c:v>
                </c:pt>
                <c:pt idx="19">
                  <c:v>2.8</c:v>
                </c:pt>
                <c:pt idx="20">
                  <c:v>2</c:v>
                </c:pt>
                <c:pt idx="21">
                  <c:v>2</c:v>
                </c:pt>
                <c:pt idx="22">
                  <c:v>2</c:v>
                </c:pt>
                <c:pt idx="23">
                  <c:v>2.1428571428571428</c:v>
                </c:pt>
                <c:pt idx="24">
                  <c:v>2</c:v>
                </c:pt>
                <c:pt idx="25">
                  <c:v>2</c:v>
                </c:pt>
                <c:pt idx="26">
                  <c:v>2</c:v>
                </c:pt>
                <c:pt idx="27">
                  <c:v>2</c:v>
                </c:pt>
                <c:pt idx="28">
                  <c:v>0</c:v>
                </c:pt>
                <c:pt idx="29">
                  <c:v>0</c:v>
                </c:pt>
                <c:pt idx="30">
                  <c:v>4.2857142857142856</c:v>
                </c:pt>
                <c:pt idx="31">
                  <c:v>2.8</c:v>
                </c:pt>
                <c:pt idx="32">
                  <c:v>2.1428571428571428</c:v>
                </c:pt>
                <c:pt idx="33">
                  <c:v>2</c:v>
                </c:pt>
                <c:pt idx="34">
                  <c:v>0</c:v>
                </c:pt>
                <c:pt idx="35">
                  <c:v>2</c:v>
                </c:pt>
                <c:pt idx="36">
                  <c:v>2</c:v>
                </c:pt>
                <c:pt idx="37">
                  <c:v>2</c:v>
                </c:pt>
                <c:pt idx="38">
                  <c:v>1.6</c:v>
                </c:pt>
                <c:pt idx="39">
                  <c:v>1</c:v>
                </c:pt>
                <c:pt idx="40">
                  <c:v>1</c:v>
                </c:pt>
                <c:pt idx="41">
                  <c:v>1</c:v>
                </c:pt>
                <c:pt idx="42">
                  <c:v>0</c:v>
                </c:pt>
                <c:pt idx="43">
                  <c:v>0</c:v>
                </c:pt>
              </c:numCache>
            </c:numRef>
          </c:val>
          <c:extLst>
            <c:ext xmlns:c16="http://schemas.microsoft.com/office/drawing/2014/chart" uri="{C3380CC4-5D6E-409C-BE32-E72D297353CC}">
              <c16:uniqueId val="{00000009-5A32-4880-93B9-E5B7A9E84AF9}"/>
            </c:ext>
          </c:extLst>
        </c:ser>
        <c:ser>
          <c:idx val="1"/>
          <c:order val="1"/>
          <c:spPr>
            <a:solidFill>
              <a:srgbClr val="002F6C"/>
            </a:solidFill>
          </c:spPr>
          <c:invertIfNegative val="0"/>
          <c:dPt>
            <c:idx val="11"/>
            <c:invertIfNegative val="0"/>
            <c:bubble3D val="0"/>
            <c:extLst>
              <c:ext xmlns:c16="http://schemas.microsoft.com/office/drawing/2014/chart" uri="{C3380CC4-5D6E-409C-BE32-E72D297353CC}">
                <c16:uniqueId val="{00000010-B71E-4C54-80AF-288EB0C69513}"/>
              </c:ext>
            </c:extLst>
          </c:dPt>
          <c:dPt>
            <c:idx val="12"/>
            <c:invertIfNegative val="0"/>
            <c:bubble3D val="0"/>
            <c:extLst>
              <c:ext xmlns:c16="http://schemas.microsoft.com/office/drawing/2014/chart" uri="{C3380CC4-5D6E-409C-BE32-E72D297353CC}">
                <c16:uniqueId val="{00000009-2384-4A19-AB6F-0848C54D20C2}"/>
              </c:ext>
            </c:extLst>
          </c:dPt>
          <c:dPt>
            <c:idx val="14"/>
            <c:invertIfNegative val="0"/>
            <c:bubble3D val="0"/>
            <c:spPr>
              <a:solidFill>
                <a:srgbClr val="00AACC"/>
              </a:solidFill>
            </c:spPr>
            <c:extLst>
              <c:ext xmlns:c16="http://schemas.microsoft.com/office/drawing/2014/chart" uri="{C3380CC4-5D6E-409C-BE32-E72D297353CC}">
                <c16:uniqueId val="{00000013-AECE-4012-99D3-E92BA638BB5B}"/>
              </c:ext>
            </c:extLst>
          </c:dPt>
          <c:dPt>
            <c:idx val="15"/>
            <c:invertIfNegative val="0"/>
            <c:bubble3D val="0"/>
            <c:extLst>
              <c:ext xmlns:c16="http://schemas.microsoft.com/office/drawing/2014/chart" uri="{C3380CC4-5D6E-409C-BE32-E72D297353CC}">
                <c16:uniqueId val="{0000000A-2384-4A19-AB6F-0848C54D20C2}"/>
              </c:ext>
            </c:extLst>
          </c:dPt>
          <c:dPt>
            <c:idx val="16"/>
            <c:invertIfNegative val="0"/>
            <c:bubble3D val="0"/>
            <c:spPr>
              <a:solidFill>
                <a:srgbClr val="00AACC"/>
              </a:solidFill>
            </c:spPr>
            <c:extLst>
              <c:ext xmlns:c16="http://schemas.microsoft.com/office/drawing/2014/chart" uri="{C3380CC4-5D6E-409C-BE32-E72D297353CC}">
                <c16:uniqueId val="{00000013-B796-47AF-BB61-20D716B6CFBE}"/>
              </c:ext>
            </c:extLst>
          </c:dPt>
          <c:val>
            <c:numRef>
              <c:f>'Chart PF2.1.C'!$T$9:$T$53</c:f>
              <c:numCache>
                <c:formatCode>0.0</c:formatCode>
                <c:ptCount val="45"/>
                <c:pt idx="0">
                  <c:v>78</c:v>
                </c:pt>
                <c:pt idx="1">
                  <c:v>48</c:v>
                </c:pt>
                <c:pt idx="2">
                  <c:v>26</c:v>
                </c:pt>
                <c:pt idx="3">
                  <c:v>26</c:v>
                </c:pt>
                <c:pt idx="4">
                  <c:v>26</c:v>
                </c:pt>
                <c:pt idx="5">
                  <c:v>17.285714285714299</c:v>
                </c:pt>
                <c:pt idx="6">
                  <c:v>17.333333333333332</c:v>
                </c:pt>
                <c:pt idx="7">
                  <c:v>20</c:v>
                </c:pt>
                <c:pt idx="8">
                  <c:v>13.166</c:v>
                </c:pt>
                <c:pt idx="9">
                  <c:v>0</c:v>
                </c:pt>
                <c:pt idx="10">
                  <c:v>15</c:v>
                </c:pt>
                <c:pt idx="11">
                  <c:v>13</c:v>
                </c:pt>
                <c:pt idx="12">
                  <c:v>9</c:v>
                </c:pt>
                <c:pt idx="13">
                  <c:v>12.857142857142858</c:v>
                </c:pt>
                <c:pt idx="14">
                  <c:v>10.903830290726816</c:v>
                </c:pt>
                <c:pt idx="15">
                  <c:v>10.086820409171079</c:v>
                </c:pt>
                <c:pt idx="16">
                  <c:v>8.6666659999999993</c:v>
                </c:pt>
                <c:pt idx="17">
                  <c:v>8.6666000000000007</c:v>
                </c:pt>
                <c:pt idx="18">
                  <c:v>8.6660000000000004</c:v>
                </c:pt>
                <c:pt idx="19">
                  <c:v>8.6666659999999993</c:v>
                </c:pt>
                <c:pt idx="20">
                  <c:v>9</c:v>
                </c:pt>
                <c:pt idx="21">
                  <c:v>9</c:v>
                </c:pt>
                <c:pt idx="22">
                  <c:v>8.8000000000000007</c:v>
                </c:pt>
                <c:pt idx="23">
                  <c:v>8.5714285714285712</c:v>
                </c:pt>
                <c:pt idx="24">
                  <c:v>8.6660000000000004</c:v>
                </c:pt>
                <c:pt idx="25">
                  <c:v>8.6660000000000004</c:v>
                </c:pt>
                <c:pt idx="26">
                  <c:v>8.6660000000000004</c:v>
                </c:pt>
                <c:pt idx="27">
                  <c:v>7</c:v>
                </c:pt>
                <c:pt idx="28">
                  <c:v>8.6666000000000007</c:v>
                </c:pt>
                <c:pt idx="29">
                  <c:v>5</c:v>
                </c:pt>
                <c:pt idx="30">
                  <c:v>0</c:v>
                </c:pt>
                <c:pt idx="31">
                  <c:v>0</c:v>
                </c:pt>
                <c:pt idx="32">
                  <c:v>0</c:v>
                </c:pt>
                <c:pt idx="33">
                  <c:v>0</c:v>
                </c:pt>
                <c:pt idx="34">
                  <c:v>2</c:v>
                </c:pt>
                <c:pt idx="35">
                  <c:v>0</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0B-5A32-4880-93B9-E5B7A9E84AF9}"/>
            </c:ext>
          </c:extLst>
        </c:ser>
        <c:dLbls>
          <c:showLegendKey val="0"/>
          <c:showVal val="0"/>
          <c:showCatName val="0"/>
          <c:showSerName val="0"/>
          <c:showPercent val="0"/>
          <c:showBubbleSize val="0"/>
        </c:dLbls>
        <c:gapWidth val="50"/>
        <c:overlap val="100"/>
        <c:axId val="267817728"/>
        <c:axId val="267819648"/>
      </c:barChart>
      <c:catAx>
        <c:axId val="267817728"/>
        <c:scaling>
          <c:orientation val="maxMin"/>
        </c:scaling>
        <c:delete val="0"/>
        <c:axPos val="r"/>
        <c:majorGridlines>
          <c:spPr>
            <a:ln w="9525" cmpd="sng">
              <a:solidFill>
                <a:srgbClr val="FFFFFF"/>
              </a:solidFill>
              <a:prstDash val="solid"/>
            </a:ln>
          </c:spPr>
        </c:majorGridlines>
        <c:numFmt formatCode="General" sourceLinked="1"/>
        <c:majorTickMark val="in"/>
        <c:minorTickMark val="none"/>
        <c:tickLblPos val="none"/>
        <c:spPr>
          <a:noFill/>
          <a:ln w="9525">
            <a:solidFill>
              <a:srgbClr val="000000"/>
            </a:solidFill>
            <a:prstDash val="solid"/>
          </a:ln>
          <a:extLst>
            <a:ext uri="{909E8E84-426E-40DD-AFC4-6F175D3DCCD1}">
              <a14:hiddenFill xmlns:a14="http://schemas.microsoft.com/office/drawing/2010/main">
                <a:noFill/>
              </a14:hiddenFill>
            </a:ext>
          </a:extLst>
        </c:spPr>
        <c:crossAx val="267819648"/>
        <c:crosses val="autoZero"/>
        <c:auto val="1"/>
        <c:lblAlgn val="ctr"/>
        <c:lblOffset val="100"/>
        <c:noMultiLvlLbl val="0"/>
      </c:catAx>
      <c:valAx>
        <c:axId val="267819648"/>
        <c:scaling>
          <c:orientation val="maxMin"/>
        </c:scaling>
        <c:delete val="0"/>
        <c:axPos val="t"/>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67817728"/>
        <c:crosses val="autoZero"/>
        <c:crossBetween val="between"/>
      </c:valAx>
      <c:spPr>
        <a:solidFill>
          <a:srgbClr val="EAEAEA"/>
        </a:solidFill>
        <a:ln w="9525">
          <a:noFill/>
        </a:ln>
        <a:effectLst/>
        <a:extLst>
          <a:ext uri="{91240B29-F687-4F45-9708-019B960494DF}">
            <a14:hiddenLine xmlns:a14="http://schemas.microsoft.com/office/drawing/2010/main" w="9525">
              <a:solidFill>
                <a:sysClr val="windowText" lastClr="000000"/>
              </a:solidFill>
            </a14:hiddenLine>
          </a:ext>
        </a:extLst>
      </c:spPr>
    </c:plotArea>
    <c:plotVisOnly val="1"/>
    <c:dispBlanksAs val="gap"/>
    <c:showDLblsOverMax val="1"/>
  </c:chart>
  <c:spPr>
    <a:noFill/>
    <a:ln>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19926130719364"/>
          <c:w val="0.98691174341245891"/>
          <c:h val="0.85293417488247081"/>
        </c:manualLayout>
      </c:layout>
      <c:barChart>
        <c:barDir val="col"/>
        <c:grouping val="stacked"/>
        <c:varyColors val="0"/>
        <c:ser>
          <c:idx val="0"/>
          <c:order val="0"/>
          <c:tx>
            <c:strRef>
              <c:f>'Chart PF2.1.D'!$O$6:$O$6</c:f>
              <c:strCache>
                <c:ptCount val="1"/>
                <c:pt idx="0">
                  <c:v>Earmarked for mothers</c:v>
                </c:pt>
              </c:strCache>
            </c:strRef>
          </c:tx>
          <c:spPr>
            <a:solidFill>
              <a:srgbClr val="002F6C"/>
            </a:solidFill>
            <a:ln>
              <a:noFill/>
            </a:ln>
            <a:effectLst/>
            <a:extLst>
              <a:ext uri="{91240B29-F687-4F45-9708-019B960494DF}">
                <a14:hiddenLine xmlns:a14="http://schemas.microsoft.com/office/drawing/2010/main">
                  <a:noFill/>
                </a14:hiddenLine>
              </a:ext>
            </a:extLst>
          </c:spPr>
          <c:invertIfNegative val="0"/>
          <c:dPt>
            <c:idx val="7"/>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96CE-495B-A6F5-24978E0C571C}"/>
              </c:ext>
            </c:extLst>
          </c:dPt>
          <c:dPt>
            <c:idx val="15"/>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96CE-495B-A6F5-24978E0C571C}"/>
              </c:ext>
            </c:extLst>
          </c:dPt>
          <c:dPt>
            <c:idx val="16"/>
            <c:invertIfNegative val="0"/>
            <c:bubble3D val="0"/>
            <c:spPr>
              <a:solidFill>
                <a:srgbClr val="C0000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96CE-495B-A6F5-24978E0C571C}"/>
              </c:ext>
            </c:extLst>
          </c:dPt>
          <c:dPt>
            <c:idx val="17"/>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96CE-495B-A6F5-24978E0C571C}"/>
              </c:ext>
            </c:extLst>
          </c:dPt>
          <c:dPt>
            <c:idx val="19"/>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8-A007-4C1C-ABF4-9375488AFAC4}"/>
              </c:ext>
            </c:extLst>
          </c:dPt>
          <c:cat>
            <c:strRef>
              <c:f>'Chart PF2.1.D'!$N$8:$N$46</c:f>
              <c:strCache>
                <c:ptCount val="39"/>
                <c:pt idx="0">
                  <c:v>Slovak Republic</c:v>
                </c:pt>
                <c:pt idx="1">
                  <c:v>Finland</c:v>
                </c:pt>
                <c:pt idx="2">
                  <c:v>Korea</c:v>
                </c:pt>
                <c:pt idx="3">
                  <c:v>Hungary</c:v>
                </c:pt>
                <c:pt idx="4">
                  <c:v>Latvia</c:v>
                </c:pt>
                <c:pt idx="5">
                  <c:v>Norway</c:v>
                </c:pt>
                <c:pt idx="6">
                  <c:v>Lithuania</c:v>
                </c:pt>
                <c:pt idx="7">
                  <c:v>Estonia</c:v>
                </c:pt>
                <c:pt idx="8">
                  <c:v>Greece</c:v>
                </c:pt>
                <c:pt idx="9">
                  <c:v>Luxembourg</c:v>
                </c:pt>
                <c:pt idx="10">
                  <c:v>Austria</c:v>
                </c:pt>
                <c:pt idx="11">
                  <c:v>France </c:v>
                </c:pt>
                <c:pt idx="12">
                  <c:v>Sweden</c:v>
                </c:pt>
                <c:pt idx="13">
                  <c:v>Czechia</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Australia</c:v>
                </c:pt>
                <c:pt idx="32">
                  <c:v>Colombia</c:v>
                </c:pt>
                <c:pt idx="33">
                  <c:v>Costa Rica</c:v>
                </c:pt>
                <c:pt idx="34">
                  <c:v>Türkiye</c:v>
                </c:pt>
                <c:pt idx="35">
                  <c:v>Switzerland</c:v>
                </c:pt>
                <c:pt idx="36">
                  <c:v>Israel</c:v>
                </c:pt>
                <c:pt idx="37">
                  <c:v>Mexico</c:v>
                </c:pt>
                <c:pt idx="38">
                  <c:v>United States</c:v>
                </c:pt>
              </c:strCache>
            </c:strRef>
          </c:cat>
          <c:val>
            <c:numRef>
              <c:f>('Chart PF2.1.D'!$O$8:$O$22,'Chart PF2.1.D'!$S$23,'Chart PF2.1.D'!$O$24:$O$46)</c:f>
              <c:numCache>
                <c:formatCode>0.0</c:formatCode>
                <c:ptCount val="39"/>
                <c:pt idx="0">
                  <c:v>34</c:v>
                </c:pt>
                <c:pt idx="1">
                  <c:v>22.836599999999997</c:v>
                </c:pt>
                <c:pt idx="2">
                  <c:v>90.857142857142861</c:v>
                </c:pt>
                <c:pt idx="3">
                  <c:v>24</c:v>
                </c:pt>
                <c:pt idx="4">
                  <c:v>24.666</c:v>
                </c:pt>
                <c:pt idx="5">
                  <c:v>18</c:v>
                </c:pt>
                <c:pt idx="6">
                  <c:v>26.666</c:v>
                </c:pt>
                <c:pt idx="7">
                  <c:v>14.285714285714286</c:v>
                </c:pt>
                <c:pt idx="8">
                  <c:v>56</c:v>
                </c:pt>
                <c:pt idx="9">
                  <c:v>46</c:v>
                </c:pt>
                <c:pt idx="10">
                  <c:v>24.666665999999999</c:v>
                </c:pt>
                <c:pt idx="11">
                  <c:v>42</c:v>
                </c:pt>
                <c:pt idx="12">
                  <c:v>12.857142857142858</c:v>
                </c:pt>
                <c:pt idx="13">
                  <c:v>28</c:v>
                </c:pt>
                <c:pt idx="14">
                  <c:v>22.666600000000003</c:v>
                </c:pt>
                <c:pt idx="15" formatCode=";;;">
                  <c:v>14</c:v>
                </c:pt>
                <c:pt idx="16">
                  <c:v>26.729272162907275</c:v>
                </c:pt>
                <c:pt idx="17">
                  <c:v>29</c:v>
                </c:pt>
                <c:pt idx="18">
                  <c:v>23.571428571428569</c:v>
                </c:pt>
                <c:pt idx="19">
                  <c:v>34.700000000000003</c:v>
                </c:pt>
                <c:pt idx="20">
                  <c:v>21</c:v>
                </c:pt>
                <c:pt idx="21">
                  <c:v>32.333333333333329</c:v>
                </c:pt>
                <c:pt idx="22">
                  <c:v>23.285714285714299</c:v>
                </c:pt>
                <c:pt idx="23">
                  <c:v>15</c:v>
                </c:pt>
                <c:pt idx="24">
                  <c:v>26</c:v>
                </c:pt>
                <c:pt idx="25">
                  <c:v>35</c:v>
                </c:pt>
                <c:pt idx="26">
                  <c:v>39</c:v>
                </c:pt>
                <c:pt idx="27">
                  <c:v>25</c:v>
                </c:pt>
                <c:pt idx="28">
                  <c:v>16</c:v>
                </c:pt>
                <c:pt idx="29">
                  <c:v>30</c:v>
                </c:pt>
                <c:pt idx="30">
                  <c:v>26</c:v>
                </c:pt>
                <c:pt idx="31">
                  <c:v>2</c:v>
                </c:pt>
                <c:pt idx="32">
                  <c:v>18</c:v>
                </c:pt>
                <c:pt idx="33">
                  <c:v>17.32</c:v>
                </c:pt>
                <c:pt idx="34">
                  <c:v>16</c:v>
                </c:pt>
                <c:pt idx="35">
                  <c:v>14</c:v>
                </c:pt>
                <c:pt idx="36">
                  <c:v>15</c:v>
                </c:pt>
                <c:pt idx="37">
                  <c:v>12</c:v>
                </c:pt>
                <c:pt idx="38">
                  <c:v>0</c:v>
                </c:pt>
              </c:numCache>
            </c:numRef>
          </c:val>
          <c:extLst>
            <c:ext xmlns:c16="http://schemas.microsoft.com/office/drawing/2014/chart" uri="{C3380CC4-5D6E-409C-BE32-E72D297353CC}">
              <c16:uniqueId val="{00000006-96CE-495B-A6F5-24978E0C571C}"/>
            </c:ext>
          </c:extLst>
        </c:ser>
        <c:ser>
          <c:idx val="1"/>
          <c:order val="1"/>
          <c:tx>
            <c:strRef>
              <c:f>'Chart PF2.1.D'!$P$6:$P$6</c:f>
              <c:strCache>
                <c:ptCount val="1"/>
                <c:pt idx="0">
                  <c:v>Earmarked for fathers</c:v>
                </c:pt>
              </c:strCache>
            </c:strRef>
          </c:tx>
          <c:spPr>
            <a:solidFill>
              <a:srgbClr val="7FA8D9"/>
            </a:solidFill>
            <a:ln>
              <a:noFill/>
            </a:ln>
            <a:effectLst/>
            <a:extLst>
              <a:ext uri="{91240B29-F687-4F45-9708-019B960494DF}">
                <a14:hiddenLine xmlns:a14="http://schemas.microsoft.com/office/drawing/2010/main">
                  <a:noFill/>
                </a14:hiddenLine>
              </a:ext>
            </a:extLst>
          </c:spPr>
          <c:invertIfNegative val="0"/>
          <c:dPt>
            <c:idx val="15"/>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96CE-495B-A6F5-24978E0C571C}"/>
              </c:ext>
            </c:extLst>
          </c:dPt>
          <c:dPt>
            <c:idx val="16"/>
            <c:invertIfNegative val="0"/>
            <c:bubble3D val="0"/>
            <c:spPr>
              <a:solidFill>
                <a:schemeClr val="accent6">
                  <a:lumMod val="60000"/>
                  <a:lumOff val="40000"/>
                </a:scheme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5-96CE-495B-A6F5-24978E0C571C}"/>
              </c:ext>
            </c:extLst>
          </c:dPt>
          <c:dPt>
            <c:idx val="17"/>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96CE-495B-A6F5-24978E0C571C}"/>
              </c:ext>
            </c:extLst>
          </c:dPt>
          <c:dPt>
            <c:idx val="19"/>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9-A007-4C1C-ABF4-9375488AFAC4}"/>
              </c:ext>
            </c:extLst>
          </c:dPt>
          <c:cat>
            <c:strRef>
              <c:f>'Chart PF2.1.D'!$N$8:$N$46</c:f>
              <c:strCache>
                <c:ptCount val="39"/>
                <c:pt idx="0">
                  <c:v>Slovak Republic</c:v>
                </c:pt>
                <c:pt idx="1">
                  <c:v>Finland</c:v>
                </c:pt>
                <c:pt idx="2">
                  <c:v>Korea</c:v>
                </c:pt>
                <c:pt idx="3">
                  <c:v>Hungary</c:v>
                </c:pt>
                <c:pt idx="4">
                  <c:v>Latvia</c:v>
                </c:pt>
                <c:pt idx="5">
                  <c:v>Norway</c:v>
                </c:pt>
                <c:pt idx="6">
                  <c:v>Lithuania</c:v>
                </c:pt>
                <c:pt idx="7">
                  <c:v>Estonia</c:v>
                </c:pt>
                <c:pt idx="8">
                  <c:v>Greece</c:v>
                </c:pt>
                <c:pt idx="9">
                  <c:v>Luxembourg</c:v>
                </c:pt>
                <c:pt idx="10">
                  <c:v>Austria</c:v>
                </c:pt>
                <c:pt idx="11">
                  <c:v>France </c:v>
                </c:pt>
                <c:pt idx="12">
                  <c:v>Sweden</c:v>
                </c:pt>
                <c:pt idx="13">
                  <c:v>Czechia</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Australia</c:v>
                </c:pt>
                <c:pt idx="32">
                  <c:v>Colombia</c:v>
                </c:pt>
                <c:pt idx="33">
                  <c:v>Costa Rica</c:v>
                </c:pt>
                <c:pt idx="34">
                  <c:v>Türkiye</c:v>
                </c:pt>
                <c:pt idx="35">
                  <c:v>Switzerland</c:v>
                </c:pt>
                <c:pt idx="36">
                  <c:v>Israel</c:v>
                </c:pt>
                <c:pt idx="37">
                  <c:v>Mexico</c:v>
                </c:pt>
                <c:pt idx="38">
                  <c:v>United States</c:v>
                </c:pt>
              </c:strCache>
            </c:strRef>
          </c:cat>
          <c:val>
            <c:numRef>
              <c:f>('Chart PF2.1.D'!$P$8:$P$22,'Chart PF2.1.D'!$T$23,'Chart PF2.1.D'!$P$24:$P$46)</c:f>
              <c:numCache>
                <c:formatCode>0.0</c:formatCode>
                <c:ptCount val="39"/>
                <c:pt idx="0">
                  <c:v>28</c:v>
                </c:pt>
                <c:pt idx="1">
                  <c:v>16.166600000000003</c:v>
                </c:pt>
                <c:pt idx="2">
                  <c:v>82</c:v>
                </c:pt>
                <c:pt idx="3">
                  <c:v>10.8</c:v>
                </c:pt>
                <c:pt idx="4">
                  <c:v>10.666</c:v>
                </c:pt>
                <c:pt idx="5">
                  <c:v>15</c:v>
                </c:pt>
                <c:pt idx="6">
                  <c:v>12.666</c:v>
                </c:pt>
                <c:pt idx="7">
                  <c:v>4.2857142857142856</c:v>
                </c:pt>
                <c:pt idx="8">
                  <c:v>11.4666</c:v>
                </c:pt>
                <c:pt idx="9">
                  <c:v>28</c:v>
                </c:pt>
                <c:pt idx="10">
                  <c:v>12.996665999999999</c:v>
                </c:pt>
                <c:pt idx="11">
                  <c:v>30.17</c:v>
                </c:pt>
                <c:pt idx="12">
                  <c:v>14.285714285714286</c:v>
                </c:pt>
                <c:pt idx="13">
                  <c:v>2</c:v>
                </c:pt>
                <c:pt idx="14">
                  <c:v>8.6999999999999993</c:v>
                </c:pt>
                <c:pt idx="15" formatCode=";;;">
                  <c:v>8</c:v>
                </c:pt>
                <c:pt idx="16">
                  <c:v>13.445691962406014</c:v>
                </c:pt>
                <c:pt idx="17">
                  <c:v>11</c:v>
                </c:pt>
                <c:pt idx="18">
                  <c:v>10.714285714285714</c:v>
                </c:pt>
                <c:pt idx="19">
                  <c:v>15</c:v>
                </c:pt>
                <c:pt idx="20">
                  <c:v>5</c:v>
                </c:pt>
                <c:pt idx="21">
                  <c:v>21.332999999999998</c:v>
                </c:pt>
                <c:pt idx="22">
                  <c:v>22.285714285714299</c:v>
                </c:pt>
                <c:pt idx="23">
                  <c:v>11</c:v>
                </c:pt>
                <c:pt idx="24">
                  <c:v>20</c:v>
                </c:pt>
                <c:pt idx="25">
                  <c:v>11</c:v>
                </c:pt>
                <c:pt idx="26">
                  <c:v>2</c:v>
                </c:pt>
                <c:pt idx="27">
                  <c:v>15</c:v>
                </c:pt>
                <c:pt idx="28">
                  <c:v>16</c:v>
                </c:pt>
                <c:pt idx="29">
                  <c:v>1</c:v>
                </c:pt>
                <c:pt idx="30">
                  <c:v>0</c:v>
                </c:pt>
                <c:pt idx="31">
                  <c:v>2</c:v>
                </c:pt>
                <c:pt idx="32">
                  <c:v>2.8</c:v>
                </c:pt>
                <c:pt idx="33">
                  <c:v>1.6</c:v>
                </c:pt>
                <c:pt idx="34">
                  <c:v>1</c:v>
                </c:pt>
                <c:pt idx="35">
                  <c:v>2</c:v>
                </c:pt>
                <c:pt idx="36">
                  <c:v>0</c:v>
                </c:pt>
                <c:pt idx="37">
                  <c:v>1</c:v>
                </c:pt>
                <c:pt idx="38">
                  <c:v>0</c:v>
                </c:pt>
              </c:numCache>
            </c:numRef>
          </c:val>
          <c:extLst>
            <c:ext xmlns:c16="http://schemas.microsoft.com/office/drawing/2014/chart" uri="{C3380CC4-5D6E-409C-BE32-E72D297353CC}">
              <c16:uniqueId val="{0000000B-96CE-495B-A6F5-24978E0C571C}"/>
            </c:ext>
          </c:extLst>
        </c:ser>
        <c:ser>
          <c:idx val="2"/>
          <c:order val="2"/>
          <c:tx>
            <c:strRef>
              <c:f>'Chart PF2.1.D'!$Q$6:$Q$6</c:f>
              <c:strCache>
                <c:ptCount val="1"/>
                <c:pt idx="0">
                  <c:v>Shareable (most often taken by mothers)</c:v>
                </c:pt>
              </c:strCache>
            </c:strRef>
          </c:tx>
          <c:spPr>
            <a:solidFill>
              <a:srgbClr val="006BB6"/>
            </a:solidFill>
            <a:ln>
              <a:noFill/>
            </a:ln>
            <a:effectLst/>
            <a:extLst>
              <a:ext uri="{91240B29-F687-4F45-9708-019B960494DF}">
                <a14:hiddenLine xmlns:a14="http://schemas.microsoft.com/office/drawing/2010/main">
                  <a:noFill/>
                </a14:hiddenLine>
              </a:ext>
            </a:extLst>
          </c:spPr>
          <c:invertIfNegative val="0"/>
          <c:dPt>
            <c:idx val="13"/>
            <c:invertIfNegative val="0"/>
            <c:bubble3D val="0"/>
            <c:spPr>
              <a:solidFill>
                <a:srgbClr val="006BB6"/>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96CE-495B-A6F5-24978E0C571C}"/>
              </c:ext>
            </c:extLst>
          </c:dPt>
          <c:dPt>
            <c:idx val="14"/>
            <c:invertIfNegative val="0"/>
            <c:bubble3D val="0"/>
            <c:spPr>
              <a:solidFill>
                <a:srgbClr val="006BB6"/>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7-A007-4C1C-ABF4-9375488AFAC4}"/>
              </c:ext>
            </c:extLst>
          </c:dPt>
          <c:dPt>
            <c:idx val="15"/>
            <c:invertIfNegative val="0"/>
            <c:bubble3D val="0"/>
            <c:spPr>
              <a:pattFill prst="wdUpDiag">
                <a:fgClr>
                  <a:schemeClr val="tx1"/>
                </a:fgClr>
                <a:bgClr>
                  <a:srgbClr val="006BB6"/>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96CE-495B-A6F5-24978E0C571C}"/>
              </c:ext>
            </c:extLst>
          </c:dPt>
          <c:dPt>
            <c:idx val="16"/>
            <c:invertIfNegative val="0"/>
            <c:bubble3D val="0"/>
            <c:spPr>
              <a:solidFill>
                <a:srgbClr val="FF000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6-96CE-495B-A6F5-24978E0C571C}"/>
              </c:ext>
            </c:extLst>
          </c:dPt>
          <c:dPt>
            <c:idx val="17"/>
            <c:invertIfNegative val="0"/>
            <c:bubble3D val="0"/>
            <c:spPr>
              <a:solidFill>
                <a:srgbClr val="006BB6"/>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1-96CE-495B-A6F5-24978E0C571C}"/>
              </c:ext>
            </c:extLst>
          </c:dPt>
          <c:dPt>
            <c:idx val="19"/>
            <c:invertIfNegative val="0"/>
            <c:bubble3D val="0"/>
            <c:spPr>
              <a:solidFill>
                <a:srgbClr val="006BB6"/>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A-A007-4C1C-ABF4-9375488AFAC4}"/>
              </c:ext>
            </c:extLst>
          </c:dPt>
          <c:cat>
            <c:strRef>
              <c:f>'Chart PF2.1.D'!$N$8:$N$46</c:f>
              <c:strCache>
                <c:ptCount val="39"/>
                <c:pt idx="0">
                  <c:v>Slovak Republic</c:v>
                </c:pt>
                <c:pt idx="1">
                  <c:v>Finland</c:v>
                </c:pt>
                <c:pt idx="2">
                  <c:v>Korea</c:v>
                </c:pt>
                <c:pt idx="3">
                  <c:v>Hungary</c:v>
                </c:pt>
                <c:pt idx="4">
                  <c:v>Latvia</c:v>
                </c:pt>
                <c:pt idx="5">
                  <c:v>Norway</c:v>
                </c:pt>
                <c:pt idx="6">
                  <c:v>Lithuania</c:v>
                </c:pt>
                <c:pt idx="7">
                  <c:v>Estonia</c:v>
                </c:pt>
                <c:pt idx="8">
                  <c:v>Greece</c:v>
                </c:pt>
                <c:pt idx="9">
                  <c:v>Luxembourg</c:v>
                </c:pt>
                <c:pt idx="10">
                  <c:v>Austria</c:v>
                </c:pt>
                <c:pt idx="11">
                  <c:v>France </c:v>
                </c:pt>
                <c:pt idx="12">
                  <c:v>Sweden</c:v>
                </c:pt>
                <c:pt idx="13">
                  <c:v>Czechia</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Australia</c:v>
                </c:pt>
                <c:pt idx="32">
                  <c:v>Colombia</c:v>
                </c:pt>
                <c:pt idx="33">
                  <c:v>Costa Rica</c:v>
                </c:pt>
                <c:pt idx="34">
                  <c:v>Türkiye</c:v>
                </c:pt>
                <c:pt idx="35">
                  <c:v>Switzerland</c:v>
                </c:pt>
                <c:pt idx="36">
                  <c:v>Israel</c:v>
                </c:pt>
                <c:pt idx="37">
                  <c:v>Mexico</c:v>
                </c:pt>
                <c:pt idx="38">
                  <c:v>United States</c:v>
                </c:pt>
              </c:strCache>
            </c:strRef>
          </c:cat>
          <c:val>
            <c:numRef>
              <c:f>('Chart PF2.1.D'!$Q$8:$Q$22,'Chart PF2.1.D'!$U$23,'Chart PF2.1.D'!$Q$24:$Q$46)</c:f>
              <c:numCache>
                <c:formatCode>0.0</c:formatCode>
                <c:ptCount val="39"/>
                <c:pt idx="0">
                  <c:v>130</c:v>
                </c:pt>
                <c:pt idx="1">
                  <c:v>138.16666000000001</c:v>
                </c:pt>
                <c:pt idx="2">
                  <c:v>0</c:v>
                </c:pt>
                <c:pt idx="3">
                  <c:v>136</c:v>
                </c:pt>
                <c:pt idx="4">
                  <c:v>69.332999999999998</c:v>
                </c:pt>
                <c:pt idx="5">
                  <c:v>68</c:v>
                </c:pt>
                <c:pt idx="6">
                  <c:v>52.666600000000003</c:v>
                </c:pt>
                <c:pt idx="7">
                  <c:v>67.857142857142861</c:v>
                </c:pt>
                <c:pt idx="8">
                  <c:v>8.6666000000000007</c:v>
                </c:pt>
                <c:pt idx="9">
                  <c:v>0</c:v>
                </c:pt>
                <c:pt idx="10">
                  <c:v>35.33</c:v>
                </c:pt>
                <c:pt idx="11">
                  <c:v>0</c:v>
                </c:pt>
                <c:pt idx="12">
                  <c:v>42.857142857142854</c:v>
                </c:pt>
                <c:pt idx="13">
                  <c:v>37.80404772336783</c:v>
                </c:pt>
                <c:pt idx="14">
                  <c:v>35.333399999999997</c:v>
                </c:pt>
                <c:pt idx="15" formatCode=";;;">
                  <c:v>44</c:v>
                </c:pt>
                <c:pt idx="16">
                  <c:v>25.686690742368068</c:v>
                </c:pt>
                <c:pt idx="17">
                  <c:v>23</c:v>
                </c:pt>
                <c:pt idx="18">
                  <c:v>28.571428571428573</c:v>
                </c:pt>
                <c:pt idx="19">
                  <c:v>13</c:v>
                </c:pt>
                <c:pt idx="20">
                  <c:v>30</c:v>
                </c:pt>
                <c:pt idx="21">
                  <c:v>0</c:v>
                </c:pt>
                <c:pt idx="22">
                  <c:v>6.8542857142857017</c:v>
                </c:pt>
                <c:pt idx="23">
                  <c:v>26</c:v>
                </c:pt>
                <c:pt idx="24">
                  <c:v>6</c:v>
                </c:pt>
                <c:pt idx="25">
                  <c:v>0</c:v>
                </c:pt>
                <c:pt idx="26">
                  <c:v>0</c:v>
                </c:pt>
                <c:pt idx="27">
                  <c:v>0</c:v>
                </c:pt>
                <c:pt idx="28">
                  <c:v>0</c:v>
                </c:pt>
                <c:pt idx="29">
                  <c:v>0</c:v>
                </c:pt>
                <c:pt idx="30">
                  <c:v>0</c:v>
                </c:pt>
                <c:pt idx="31">
                  <c:v>18</c:v>
                </c:pt>
                <c:pt idx="32">
                  <c:v>0</c:v>
                </c:pt>
                <c:pt idx="33">
                  <c:v>0</c:v>
                </c:pt>
                <c:pt idx="34">
                  <c:v>0</c:v>
                </c:pt>
                <c:pt idx="35">
                  <c:v>0</c:v>
                </c:pt>
                <c:pt idx="36">
                  <c:v>0</c:v>
                </c:pt>
                <c:pt idx="37">
                  <c:v>0</c:v>
                </c:pt>
                <c:pt idx="38">
                  <c:v>0</c:v>
                </c:pt>
              </c:numCache>
            </c:numRef>
          </c:val>
          <c:extLst>
            <c:ext xmlns:c16="http://schemas.microsoft.com/office/drawing/2014/chart" uri="{C3380CC4-5D6E-409C-BE32-E72D297353CC}">
              <c16:uniqueId val="{00000012-96CE-495B-A6F5-24978E0C571C}"/>
            </c:ext>
          </c:extLst>
        </c:ser>
        <c:dLbls>
          <c:showLegendKey val="0"/>
          <c:showVal val="0"/>
          <c:showCatName val="0"/>
          <c:showSerName val="0"/>
          <c:showPercent val="0"/>
          <c:showBubbleSize val="0"/>
        </c:dLbls>
        <c:gapWidth val="150"/>
        <c:overlap val="100"/>
        <c:axId val="967891600"/>
        <c:axId val="967893896"/>
      </c:barChart>
      <c:catAx>
        <c:axId val="96789160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967893896"/>
        <c:crosses val="autoZero"/>
        <c:auto val="1"/>
        <c:lblAlgn val="ctr"/>
        <c:lblOffset val="0"/>
        <c:tickLblSkip val="1"/>
        <c:noMultiLvlLbl val="0"/>
      </c:catAx>
      <c:valAx>
        <c:axId val="967893896"/>
        <c:scaling>
          <c:orientation val="minMax"/>
          <c:max val="200"/>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967891600"/>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4.8671825363495402E-2"/>
          <c:y val="1.9822085080447228E-2"/>
          <c:w val="0.93342663439604134"/>
          <c:h val="7.4332819051677115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zero"/>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xMode val="edge"/>
          <c:yMode val="edge"/>
          <c:x val="8.7445796086387494E-3"/>
          <c:y val="0.12501127407652571"/>
          <c:w val="0.98906927548920154"/>
          <c:h val="0.86502832440165045"/>
        </c:manualLayout>
      </c:layout>
      <c:barChart>
        <c:barDir val="col"/>
        <c:grouping val="stacked"/>
        <c:varyColors val="0"/>
        <c:ser>
          <c:idx val="1"/>
          <c:order val="0"/>
          <c:tx>
            <c:strRef>
              <c:f>'Chart PF2.1.E'!$M$6</c:f>
              <c:strCache>
                <c:ptCount val="1"/>
                <c:pt idx="0">
                  <c:v>2021</c:v>
                </c:pt>
              </c:strCache>
            </c:strRef>
          </c:tx>
          <c:spPr>
            <a:solidFill>
              <a:srgbClr val="002F6C"/>
            </a:solidFill>
            <a:ln w="3175">
              <a:noFill/>
              <a:prstDash val="solid"/>
            </a:ln>
            <a:effectLst/>
            <a:extLst>
              <a:ext uri="{91240B29-F687-4F45-9708-019B960494DF}">
                <a14:hiddenLine xmlns:a14="http://schemas.microsoft.com/office/drawing/2010/main" w="3175">
                  <a:solidFill>
                    <a:srgbClr val="000000"/>
                  </a:solidFill>
                  <a:prstDash val="solid"/>
                </a14:hiddenLine>
              </a:ext>
            </a:extLst>
          </c:spPr>
          <c:invertIfNegative val="0"/>
          <c:dPt>
            <c:idx val="10"/>
            <c:invertIfNegative val="0"/>
            <c:bubble3D val="0"/>
            <c:extLst>
              <c:ext xmlns:c16="http://schemas.microsoft.com/office/drawing/2014/chart" uri="{C3380CC4-5D6E-409C-BE32-E72D297353CC}">
                <c16:uniqueId val="{00000000-E5E3-4454-804B-6D9D0877E7F6}"/>
              </c:ext>
            </c:extLst>
          </c:dPt>
          <c:dPt>
            <c:idx val="11"/>
            <c:invertIfNegative val="0"/>
            <c:bubble3D val="0"/>
            <c:extLst>
              <c:ext xmlns:c16="http://schemas.microsoft.com/office/drawing/2014/chart" uri="{C3380CC4-5D6E-409C-BE32-E72D297353CC}">
                <c16:uniqueId val="{00000001-E5E3-4454-804B-6D9D0877E7F6}"/>
              </c:ext>
            </c:extLst>
          </c:dPt>
          <c:dPt>
            <c:idx val="12"/>
            <c:invertIfNegative val="0"/>
            <c:bubble3D val="0"/>
            <c:extLst>
              <c:ext xmlns:c16="http://schemas.microsoft.com/office/drawing/2014/chart" uri="{C3380CC4-5D6E-409C-BE32-E72D297353CC}">
                <c16:uniqueId val="{00000002-E5E3-4454-804B-6D9D0877E7F6}"/>
              </c:ext>
            </c:extLst>
          </c:dPt>
          <c:dPt>
            <c:idx val="14"/>
            <c:invertIfNegative val="0"/>
            <c:bubble3D val="0"/>
            <c:spPr>
              <a:solidFill>
                <a:srgbClr val="006BB6"/>
              </a:solidFill>
              <a:ln w="3175">
                <a:noFill/>
                <a:prstDash val="solid"/>
              </a:ln>
              <a:effectLst/>
              <a:extLst>
                <a:ext uri="{91240B29-F687-4F45-9708-019B960494DF}">
                  <a14:hiddenLine xmlns:a14="http://schemas.microsoft.com/office/drawing/2010/main" w="3175">
                    <a:solidFill>
                      <a:srgbClr val="000000"/>
                    </a:solidFill>
                    <a:prstDash val="solid"/>
                  </a14:hiddenLine>
                </a:ext>
              </a:extLst>
            </c:spPr>
            <c:extLst>
              <c:ext xmlns:c16="http://schemas.microsoft.com/office/drawing/2014/chart" uri="{C3380CC4-5D6E-409C-BE32-E72D297353CC}">
                <c16:uniqueId val="{00000004-E5E3-4454-804B-6D9D0877E7F6}"/>
              </c:ext>
            </c:extLst>
          </c:dPt>
          <c:dPt>
            <c:idx val="16"/>
            <c:invertIfNegative val="0"/>
            <c:bubble3D val="0"/>
            <c:extLst>
              <c:ext xmlns:c16="http://schemas.microsoft.com/office/drawing/2014/chart" uri="{C3380CC4-5D6E-409C-BE32-E72D297353CC}">
                <c16:uniqueId val="{00000005-E5E3-4454-804B-6D9D0877E7F6}"/>
              </c:ext>
            </c:extLst>
          </c:dPt>
          <c:dPt>
            <c:idx val="20"/>
            <c:invertIfNegative val="0"/>
            <c:bubble3D val="0"/>
            <c:extLst>
              <c:ext xmlns:c16="http://schemas.microsoft.com/office/drawing/2014/chart" uri="{C3380CC4-5D6E-409C-BE32-E72D297353CC}">
                <c16:uniqueId val="{00000006-E5E3-4454-804B-6D9D0877E7F6}"/>
              </c:ext>
            </c:extLst>
          </c:dPt>
          <c:dPt>
            <c:idx val="29"/>
            <c:invertIfNegative val="0"/>
            <c:bubble3D val="0"/>
            <c:extLst>
              <c:ext xmlns:c16="http://schemas.microsoft.com/office/drawing/2014/chart" uri="{C3380CC4-5D6E-409C-BE32-E72D297353CC}">
                <c16:uniqueId val="{00000007-E5E3-4454-804B-6D9D0877E7F6}"/>
              </c:ext>
            </c:extLst>
          </c:dPt>
          <c:cat>
            <c:strRef>
              <c:f>'Chart PF2.1.E'!$L$7:$L$42</c:f>
              <c:strCache>
                <c:ptCount val="36"/>
                <c:pt idx="0">
                  <c:v>Luxembourg</c:v>
                </c:pt>
                <c:pt idx="1">
                  <c:v>Estonia</c:v>
                </c:pt>
                <c:pt idx="2">
                  <c:v>Norway</c:v>
                </c:pt>
                <c:pt idx="3">
                  <c:v>Lithuania</c:v>
                </c:pt>
                <c:pt idx="4">
                  <c:v>Slovak Republic</c:v>
                </c:pt>
                <c:pt idx="5">
                  <c:v>Sweden</c:v>
                </c:pt>
                <c:pt idx="6">
                  <c:v>Czechia</c:v>
                </c:pt>
                <c:pt idx="7">
                  <c:v>Finland</c:v>
                </c:pt>
                <c:pt idx="8">
                  <c:v>Slovenia</c:v>
                </c:pt>
                <c:pt idx="9">
                  <c:v>Denmark</c:v>
                </c:pt>
                <c:pt idx="10">
                  <c:v>Hungary</c:v>
                </c:pt>
                <c:pt idx="11">
                  <c:v>Latvia</c:v>
                </c:pt>
                <c:pt idx="12">
                  <c:v>Iceland</c:v>
                </c:pt>
                <c:pt idx="13">
                  <c:v>Poland</c:v>
                </c:pt>
                <c:pt idx="14">
                  <c:v>OECD-35 average </c:v>
                </c:pt>
                <c:pt idx="15">
                  <c:v>Spain</c:v>
                </c:pt>
                <c:pt idx="16">
                  <c:v>Portugal</c:v>
                </c:pt>
                <c:pt idx="17">
                  <c:v>Canada</c:v>
                </c:pt>
                <c:pt idx="18">
                  <c:v>Germany</c:v>
                </c:pt>
                <c:pt idx="19">
                  <c:v>Italy</c:v>
                </c:pt>
                <c:pt idx="20">
                  <c:v>Belgium</c:v>
                </c:pt>
                <c:pt idx="21">
                  <c:v>Switzerland</c:v>
                </c:pt>
                <c:pt idx="22">
                  <c:v>Japan</c:v>
                </c:pt>
                <c:pt idx="23">
                  <c:v>Greece</c:v>
                </c:pt>
                <c:pt idx="24">
                  <c:v>France</c:v>
                </c:pt>
                <c:pt idx="25">
                  <c:v>Austria</c:v>
                </c:pt>
                <c:pt idx="26">
                  <c:v>Israel</c:v>
                </c:pt>
                <c:pt idx="27">
                  <c:v>Korea</c:v>
                </c:pt>
                <c:pt idx="28">
                  <c:v>New Zealand</c:v>
                </c:pt>
                <c:pt idx="29">
                  <c:v>Ireland</c:v>
                </c:pt>
                <c:pt idx="30">
                  <c:v>United Kingdom</c:v>
                </c:pt>
                <c:pt idx="31">
                  <c:v>Chile</c:v>
                </c:pt>
                <c:pt idx="32">
                  <c:v>Australia</c:v>
                </c:pt>
                <c:pt idx="33">
                  <c:v>Netherlands</c:v>
                </c:pt>
                <c:pt idx="34">
                  <c:v>Colombia</c:v>
                </c:pt>
                <c:pt idx="35">
                  <c:v>Türkiye</c:v>
                </c:pt>
              </c:strCache>
            </c:strRef>
          </c:cat>
          <c:val>
            <c:numRef>
              <c:f>'Chart PF2.1.E'!$M$7:$M$42</c:f>
              <c:numCache>
                <c:formatCode>0</c:formatCode>
                <c:ptCount val="36"/>
                <c:pt idx="0">
                  <c:v>82347.395626100028</c:v>
                </c:pt>
                <c:pt idx="1">
                  <c:v>49816.233324980298</c:v>
                </c:pt>
                <c:pt idx="2">
                  <c:v>49028.899993405095</c:v>
                </c:pt>
                <c:pt idx="3">
                  <c:v>35990.531114834586</c:v>
                </c:pt>
                <c:pt idx="4">
                  <c:v>35003.398092720839</c:v>
                </c:pt>
                <c:pt idx="5">
                  <c:v>34936.818094510163</c:v>
                </c:pt>
                <c:pt idx="6">
                  <c:v>33581.68704375533</c:v>
                </c:pt>
                <c:pt idx="7">
                  <c:v>32384.147648055179</c:v>
                </c:pt>
                <c:pt idx="8">
                  <c:v>31430.957050178884</c:v>
                </c:pt>
                <c:pt idx="9">
                  <c:v>30193.20183635534</c:v>
                </c:pt>
                <c:pt idx="10">
                  <c:v>30081.630517254911</c:v>
                </c:pt>
                <c:pt idx="11">
                  <c:v>29562.358961162357</c:v>
                </c:pt>
                <c:pt idx="12">
                  <c:v>29028.09242407521</c:v>
                </c:pt>
                <c:pt idx="13">
                  <c:v>20938.258028068019</c:v>
                </c:pt>
                <c:pt idx="14">
                  <c:v>20834.037843721628</c:v>
                </c:pt>
                <c:pt idx="15">
                  <c:v>18260.105365096075</c:v>
                </c:pt>
                <c:pt idx="16">
                  <c:v>18030.156642531299</c:v>
                </c:pt>
                <c:pt idx="17">
                  <c:v>16357.749476780851</c:v>
                </c:pt>
                <c:pt idx="18">
                  <c:v>16070.358450064132</c:v>
                </c:pt>
                <c:pt idx="19">
                  <c:v>15070.618539958876</c:v>
                </c:pt>
                <c:pt idx="20">
                  <c:v>13867.483272167723</c:v>
                </c:pt>
                <c:pt idx="21">
                  <c:v>13690.789900175369</c:v>
                </c:pt>
                <c:pt idx="22">
                  <c:v>11672.603410516742</c:v>
                </c:pt>
                <c:pt idx="23">
                  <c:v>10963.973542854776</c:v>
                </c:pt>
                <c:pt idx="24">
                  <c:v>9947.9944414125184</c:v>
                </c:pt>
                <c:pt idx="25">
                  <c:v>9762.6409896966834</c:v>
                </c:pt>
                <c:pt idx="26">
                  <c:v>7768.5327121363243</c:v>
                </c:pt>
                <c:pt idx="27">
                  <c:v>7384.9806067940444</c:v>
                </c:pt>
                <c:pt idx="28">
                  <c:v>7036.6527506201974</c:v>
                </c:pt>
                <c:pt idx="29">
                  <c:v>6962.4473513795374</c:v>
                </c:pt>
                <c:pt idx="30">
                  <c:v>6446.1730076098238</c:v>
                </c:pt>
                <c:pt idx="31">
                  <c:v>6326.4222225925496</c:v>
                </c:pt>
                <c:pt idx="32">
                  <c:v>6138.2902383279852</c:v>
                </c:pt>
                <c:pt idx="33">
                  <c:v>1547.1828196733941</c:v>
                </c:pt>
                <c:pt idx="34">
                  <c:v>1007.6933478322051</c:v>
                </c:pt>
                <c:pt idx="35">
                  <c:v>554.86568657940029</c:v>
                </c:pt>
              </c:numCache>
            </c:numRef>
          </c:val>
          <c:extLst>
            <c:ext xmlns:c16="http://schemas.microsoft.com/office/drawing/2014/chart" uri="{C3380CC4-5D6E-409C-BE32-E72D297353CC}">
              <c16:uniqueId val="{00000008-E5E3-4454-804B-6D9D0877E7F6}"/>
            </c:ext>
          </c:extLst>
        </c:ser>
        <c:dLbls>
          <c:showLegendKey val="0"/>
          <c:showVal val="0"/>
          <c:showCatName val="0"/>
          <c:showSerName val="0"/>
          <c:showPercent val="0"/>
          <c:showBubbleSize val="0"/>
        </c:dLbls>
        <c:gapWidth val="150"/>
        <c:overlap val="100"/>
        <c:axId val="278326656"/>
        <c:axId val="278332544"/>
      </c:barChart>
      <c:catAx>
        <c:axId val="2783266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78332544"/>
        <c:crosses val="autoZero"/>
        <c:auto val="1"/>
        <c:lblAlgn val="ctr"/>
        <c:lblOffset val="0"/>
        <c:tickLblSkip val="1"/>
        <c:noMultiLvlLbl val="0"/>
      </c:catAx>
      <c:valAx>
        <c:axId val="278332544"/>
        <c:scaling>
          <c:orientation val="minMax"/>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panose="020B0606020202030204" pitchFamily="34" charset="0"/>
                    <a:ea typeface="Arial Narrow"/>
                    <a:cs typeface="Arial Narrow"/>
                  </a:defRPr>
                </a:pPr>
                <a:r>
                  <a:rPr lang="en-GB" sz="750" b="0" i="0">
                    <a:solidFill>
                      <a:srgbClr val="000000"/>
                    </a:solidFill>
                    <a:latin typeface="Arial Narrow" panose="020B0606020202030204" pitchFamily="34" charset="0"/>
                  </a:rPr>
                  <a:t>USD PPP</a:t>
                </a:r>
              </a:p>
            </c:rich>
          </c:tx>
          <c:layout>
            <c:manualLayout>
              <c:xMode val="edge"/>
              <c:yMode val="edge"/>
              <c:x val="8.7445796086387494E-3"/>
              <c:y val="6.4742609891855138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7832665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60631</xdr:colOff>
      <xdr:row>6</xdr:row>
      <xdr:rowOff>90769</xdr:rowOff>
    </xdr:from>
    <xdr:to>
      <xdr:col>14</xdr:col>
      <xdr:colOff>2924</xdr:colOff>
      <xdr:row>53</xdr:row>
      <xdr:rowOff>2617</xdr:rowOff>
    </xdr:to>
    <xdr:graphicFrame macro="">
      <xdr:nvGraphicFramePr>
        <xdr:cNvPr id="1276291" name="Chart 3">
          <a:extLst>
            <a:ext uri="{FF2B5EF4-FFF2-40B4-BE49-F238E27FC236}">
              <a16:creationId xmlns:a16="http://schemas.microsoft.com/office/drawing/2014/main" id="{00000000-0008-0000-0200-000083791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120682</xdr:colOff>
      <xdr:row>6</xdr:row>
      <xdr:rowOff>93743</xdr:rowOff>
    </xdr:from>
    <xdr:to>
      <xdr:col>6</xdr:col>
      <xdr:colOff>483690</xdr:colOff>
      <xdr:row>53</xdr:row>
      <xdr:rowOff>5591</xdr:rowOff>
    </xdr:to>
    <xdr:graphicFrame macro="">
      <xdr:nvGraphicFramePr>
        <xdr:cNvPr id="1276292" name="Chart 4">
          <a:extLst>
            <a:ext uri="{FF2B5EF4-FFF2-40B4-BE49-F238E27FC236}">
              <a16:creationId xmlns:a16="http://schemas.microsoft.com/office/drawing/2014/main" id="{00000000-0008-0000-0200-000084791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6</xdr:row>
      <xdr:rowOff>75141</xdr:rowOff>
    </xdr:from>
    <xdr:to>
      <xdr:col>13</xdr:col>
      <xdr:colOff>295717</xdr:colOff>
      <xdr:row>52</xdr:row>
      <xdr:rowOff>158141</xdr:rowOff>
    </xdr:to>
    <xdr:graphicFrame macro="">
      <xdr:nvGraphicFramePr>
        <xdr:cNvPr id="2" name="Chart 3">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113240</xdr:colOff>
      <xdr:row>6</xdr:row>
      <xdr:rowOff>75139</xdr:rowOff>
    </xdr:from>
    <xdr:to>
      <xdr:col>6</xdr:col>
      <xdr:colOff>476248</xdr:colOff>
      <xdr:row>52</xdr:row>
      <xdr:rowOff>158139</xdr:rowOff>
    </xdr:to>
    <xdr:graphicFrame macro="">
      <xdr:nvGraphicFramePr>
        <xdr:cNvPr id="3" name="Chart 4">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xdr:row>
      <xdr:rowOff>102097</xdr:rowOff>
    </xdr:from>
    <xdr:to>
      <xdr:col>13</xdr:col>
      <xdr:colOff>295717</xdr:colOff>
      <xdr:row>52</xdr:row>
      <xdr:rowOff>164729</xdr:rowOff>
    </xdr:to>
    <xdr:graphicFrame macro="">
      <xdr:nvGraphicFramePr>
        <xdr:cNvPr id="2" name="Chart 3">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113240</xdr:colOff>
      <xdr:row>6</xdr:row>
      <xdr:rowOff>93111</xdr:rowOff>
    </xdr:from>
    <xdr:to>
      <xdr:col>6</xdr:col>
      <xdr:colOff>476248</xdr:colOff>
      <xdr:row>52</xdr:row>
      <xdr:rowOff>155743</xdr:rowOff>
    </xdr:to>
    <xdr:graphicFrame macro="">
      <xdr:nvGraphicFramePr>
        <xdr:cNvPr id="3" name="Chart 4">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241039</xdr:colOff>
      <xdr:row>5</xdr:row>
      <xdr:rowOff>205390</xdr:rowOff>
    </xdr:from>
    <xdr:to>
      <xdr:col>4</xdr:col>
      <xdr:colOff>1023</xdr:colOff>
      <xdr:row>5</xdr:row>
      <xdr:rowOff>365807</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90937" y="1016959"/>
          <a:ext cx="751362" cy="160417"/>
        </a:xfrm>
        <a:prstGeom prst="rect">
          <a:avLst/>
        </a:prstGeom>
        <a:solidFill>
          <a:srgbClr val="EAEA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700">
              <a:solidFill>
                <a:sysClr val="windowText" lastClr="000000"/>
              </a:solidFill>
              <a:latin typeface="Arial Narrow" panose="020B0606020202030204" pitchFamily="34" charset="0"/>
            </a:rPr>
            <a:t>  Paternity leave</a:t>
          </a:r>
          <a:r>
            <a:rPr lang="en-GB" sz="700" baseline="0">
              <a:solidFill>
                <a:sysClr val="windowText" lastClr="000000"/>
              </a:solidFill>
              <a:latin typeface="Arial Narrow" panose="020B0606020202030204" pitchFamily="34" charset="0"/>
            </a:rPr>
            <a:t>              </a:t>
          </a:r>
          <a:endParaRPr lang="en-GB" sz="700">
            <a:solidFill>
              <a:sysClr val="windowText" lastClr="000000"/>
            </a:solidFill>
            <a:latin typeface="Arial Narrow" panose="020B0606020202030204" pitchFamily="34" charset="0"/>
          </a:endParaRPr>
        </a:p>
      </xdr:txBody>
    </xdr:sp>
    <xdr:clientData/>
  </xdr:twoCellAnchor>
  <xdr:twoCellAnchor>
    <xdr:from>
      <xdr:col>2</xdr:col>
      <xdr:colOff>273654</xdr:colOff>
      <xdr:row>5</xdr:row>
      <xdr:rowOff>240756</xdr:rowOff>
    </xdr:from>
    <xdr:to>
      <xdr:col>2</xdr:col>
      <xdr:colOff>358321</xdr:colOff>
      <xdr:row>5</xdr:row>
      <xdr:rowOff>325423</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623552" y="1052325"/>
          <a:ext cx="84667" cy="84667"/>
        </a:xfrm>
        <a:prstGeom prst="rect">
          <a:avLst/>
        </a:prstGeom>
        <a:solidFill>
          <a:srgbClr val="7FA8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495484</xdr:colOff>
      <xdr:row>5</xdr:row>
      <xdr:rowOff>205384</xdr:rowOff>
    </xdr:from>
    <xdr:to>
      <xdr:col>6</xdr:col>
      <xdr:colOff>218687</xdr:colOff>
      <xdr:row>5</xdr:row>
      <xdr:rowOff>365801</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341071" y="1016953"/>
          <a:ext cx="1210269" cy="160417"/>
        </a:xfrm>
        <a:prstGeom prst="rect">
          <a:avLst/>
        </a:prstGeom>
        <a:solidFill>
          <a:srgbClr val="EAEA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700">
              <a:solidFill>
                <a:sysClr val="windowText" lastClr="000000"/>
              </a:solidFill>
              <a:latin typeface="Arial Narrow" panose="020B0606020202030204" pitchFamily="34" charset="0"/>
            </a:rPr>
            <a:t>  Parental and home care leave</a:t>
          </a:r>
        </a:p>
      </xdr:txBody>
    </xdr:sp>
    <xdr:clientData/>
  </xdr:twoCellAnchor>
  <xdr:twoCellAnchor>
    <xdr:from>
      <xdr:col>4</xdr:col>
      <xdr:colOff>3574</xdr:colOff>
      <xdr:row>5</xdr:row>
      <xdr:rowOff>245308</xdr:rowOff>
    </xdr:from>
    <xdr:to>
      <xdr:col>4</xdr:col>
      <xdr:colOff>91006</xdr:colOff>
      <xdr:row>5</xdr:row>
      <xdr:rowOff>333150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1422471" y="1066429"/>
          <a:ext cx="87432" cy="87842"/>
        </a:xfrm>
        <a:prstGeom prst="rect">
          <a:avLst/>
        </a:prstGeom>
        <a:solidFill>
          <a:srgbClr val="002F6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0</xdr:rowOff>
    </xdr:from>
    <xdr:to>
      <xdr:col>9</xdr:col>
      <xdr:colOff>332438</xdr:colOff>
      <xdr:row>19</xdr:row>
      <xdr:rowOff>83123</xdr:rowOff>
    </xdr:to>
    <xdr:graphicFrame macro="">
      <xdr:nvGraphicFramePr>
        <xdr:cNvPr id="2" name="Chart 1">
          <a:extLst>
            <a:ext uri="{FF2B5EF4-FFF2-40B4-BE49-F238E27FC236}">
              <a16:creationId xmlns:a16="http://schemas.microsoft.com/office/drawing/2014/main" id="{3D608244-7060-4C16-A1C6-5B8D5D06D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57150</xdr:rowOff>
    </xdr:from>
    <xdr:to>
      <xdr:col>9</xdr:col>
      <xdr:colOff>65738</xdr:colOff>
      <xdr:row>20</xdr:row>
      <xdr:rowOff>16448</xdr:rowOff>
    </xdr:to>
    <xdr:graphicFrame macro="">
      <xdr:nvGraphicFramePr>
        <xdr:cNvPr id="2" name="Chart 1">
          <a:extLst>
            <a:ext uri="{FF2B5EF4-FFF2-40B4-BE49-F238E27FC236}">
              <a16:creationId xmlns:a16="http://schemas.microsoft.com/office/drawing/2014/main" id="{CF550847-5821-451C-9308-30D816071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un.org/Program%20Files/mapland/MAPS/WORL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C/C/C/S/APPLIC/SID/EDUCAT/EAG/IND/1997/DATA/ENGLISH/E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ecdshare.oecd.org/C/C/C/A/WorldWtPrevalence_Overall_AllAsiaOceania"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portal.oecd.org/eshare/els/pc/Deliverables/Family/5_Family_Database/3_PF/1_sources-raw-data-working-files/PF2.1-PF2.4-PF2.5/LeavePolicies-BackgroundSpreadsheet-2025-%20Dec.xlsx" TargetMode="External"/><Relationship Id="rId1" Type="http://schemas.openxmlformats.org/officeDocument/2006/relationships/externalLinkPath" Target="/eshare/els/pc/Deliverables/Family/5_Family_Database/3_PF/1_sources-raw-data-working-files/PF2.1-PF2.4-PF2.5/LeavePolicies-BackgroundSpreadsheet-2025-%20D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Land"/>
      <sheetName val="World"/>
      <sheetName val="Tables"/>
      <sheetName val="Chart 5"/>
    </sheet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
      <sheetName val="\APPLIC\SID\EDUCAT\EAG\IND\1997"/>
      <sheetName val="\S\APPLIC\SID\EDUCAT\EAG\IND\19"/>
      <sheetName val="\C\S\APPLIC\SID\EDUCAT\EAG\IND\"/>
      <sheetName val="\C\C\S\APPLIC\SID\EDUCAT\EAG\IN"/>
    </sheetNames>
    <definedNames>
      <definedName name="Country_Mean"/>
    </defined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ldLatestPrevalence"/>
      <sheetName val="CPChart"/>
      <sheetName val="WorldLatestPrevalence (2)"/>
      <sheetName val="FigureIII.2"/>
      <sheetName val="SummaryScore"/>
      <sheetName val="Africa"/>
      <sheetName val="Asia"/>
      <sheetName val="Latin America &amp; Caribbean"/>
      <sheetName val="MDCs"/>
      <sheetName val="LDCs"/>
      <sheetName val="World"/>
      <sheetName val="Summary"/>
    </sheetNames>
    <sheetDataSet>
      <sheetData sheetId="0">
        <row r="1">
          <cell r="A1" t="str">
            <v>Country</v>
          </cell>
          <cell r="B1" t="str">
            <v>Year</v>
          </cell>
          <cell r="C1" t="str">
            <v>Age Range</v>
          </cell>
          <cell r="D1" t="str">
            <v>Population</v>
          </cell>
          <cell r="E1" t="str">
            <v>All Methods</v>
          </cell>
          <cell r="F1" t="str">
            <v>Modern Methods</v>
          </cell>
          <cell r="G1" t="str">
            <v>Source</v>
          </cell>
          <cell r="H1" t="str">
            <v>Region</v>
          </cell>
          <cell r="I1" t="str">
            <v>Area</v>
          </cell>
        </row>
        <row r="2">
          <cell r="A2" t="str">
            <v>Burundi</v>
          </cell>
          <cell r="B2">
            <v>1987</v>
          </cell>
          <cell r="C2" t="str">
            <v>15-49</v>
          </cell>
          <cell r="D2" t="str">
            <v>MW</v>
          </cell>
          <cell r="E2">
            <v>8.6999999999999993</v>
          </cell>
          <cell r="F2">
            <v>1.2</v>
          </cell>
          <cell r="G2" t="str">
            <v>DHS</v>
          </cell>
          <cell r="H2" t="str">
            <v>Eastern Africa</v>
          </cell>
          <cell r="I2" t="str">
            <v>Africa</v>
          </cell>
        </row>
        <row r="3">
          <cell r="A3" t="str">
            <v>Comoros</v>
          </cell>
          <cell r="B3">
            <v>1996</v>
          </cell>
          <cell r="C3" t="str">
            <v>15-49</v>
          </cell>
          <cell r="D3" t="str">
            <v>MW</v>
          </cell>
          <cell r="E3">
            <v>21</v>
          </cell>
          <cell r="F3">
            <v>11.4</v>
          </cell>
          <cell r="G3" t="str">
            <v>DHS</v>
          </cell>
          <cell r="H3" t="str">
            <v>Eastern Africa</v>
          </cell>
          <cell r="I3" t="str">
            <v>Africa</v>
          </cell>
        </row>
        <row r="4">
          <cell r="A4" t="str">
            <v>Eritrea</v>
          </cell>
          <cell r="B4">
            <v>1995</v>
          </cell>
          <cell r="C4" t="str">
            <v>15-49</v>
          </cell>
          <cell r="D4" t="str">
            <v>MW</v>
          </cell>
          <cell r="E4">
            <v>5</v>
          </cell>
          <cell r="F4">
            <v>4</v>
          </cell>
          <cell r="G4" t="str">
            <v>DHS</v>
          </cell>
          <cell r="H4" t="str">
            <v>Eastern Africa</v>
          </cell>
          <cell r="I4" t="str">
            <v>Africa</v>
          </cell>
        </row>
        <row r="5">
          <cell r="A5" t="str">
            <v>Ethiopia</v>
          </cell>
          <cell r="B5">
            <v>2000</v>
          </cell>
          <cell r="C5" t="str">
            <v>15-49</v>
          </cell>
          <cell r="D5" t="str">
            <v>MW</v>
          </cell>
          <cell r="E5">
            <v>8.1</v>
          </cell>
          <cell r="F5">
            <v>6.3</v>
          </cell>
          <cell r="G5" t="str">
            <v>DHS</v>
          </cell>
          <cell r="H5" t="str">
            <v>Eastern Africa</v>
          </cell>
          <cell r="I5" t="str">
            <v>Africa</v>
          </cell>
        </row>
        <row r="6">
          <cell r="A6" t="str">
            <v>Kenya</v>
          </cell>
          <cell r="B6">
            <v>1998</v>
          </cell>
          <cell r="C6" t="str">
            <v>15-49</v>
          </cell>
          <cell r="D6" t="str">
            <v>MW</v>
          </cell>
          <cell r="E6">
            <v>39</v>
          </cell>
          <cell r="F6">
            <v>31.5</v>
          </cell>
          <cell r="G6" t="str">
            <v>DHS</v>
          </cell>
          <cell r="H6" t="str">
            <v>Eastern Africa</v>
          </cell>
          <cell r="I6" t="str">
            <v>Africa</v>
          </cell>
        </row>
        <row r="7">
          <cell r="A7" t="str">
            <v>Madagascar</v>
          </cell>
          <cell r="B7">
            <v>1997</v>
          </cell>
          <cell r="C7" t="str">
            <v>15-49</v>
          </cell>
          <cell r="D7" t="str">
            <v>MW</v>
          </cell>
          <cell r="E7">
            <v>19.399999999999999</v>
          </cell>
          <cell r="F7">
            <v>9.6999999999999993</v>
          </cell>
          <cell r="G7" t="str">
            <v>DHS</v>
          </cell>
          <cell r="H7" t="str">
            <v>Eastern Africa</v>
          </cell>
          <cell r="I7" t="str">
            <v>Africa</v>
          </cell>
        </row>
        <row r="8">
          <cell r="A8" t="str">
            <v>Malawi</v>
          </cell>
          <cell r="B8">
            <v>2000</v>
          </cell>
          <cell r="C8" t="str">
            <v>15-49</v>
          </cell>
          <cell r="D8" t="str">
            <v>MW</v>
          </cell>
          <cell r="E8">
            <v>30.6</v>
          </cell>
          <cell r="F8">
            <v>26.1</v>
          </cell>
          <cell r="G8" t="str">
            <v>DHS</v>
          </cell>
          <cell r="H8" t="str">
            <v>Eastern Africa</v>
          </cell>
          <cell r="I8" t="str">
            <v>Africa</v>
          </cell>
        </row>
        <row r="9">
          <cell r="A9" t="str">
            <v>Mauritius</v>
          </cell>
          <cell r="B9">
            <v>1991</v>
          </cell>
          <cell r="C9" t="str">
            <v>15-44</v>
          </cell>
          <cell r="D9" t="str">
            <v>MW</v>
          </cell>
          <cell r="E9">
            <v>74.7</v>
          </cell>
          <cell r="F9">
            <v>48.9</v>
          </cell>
          <cell r="G9" t="str">
            <v>CPS</v>
          </cell>
          <cell r="H9" t="str">
            <v>Eastern Africa</v>
          </cell>
          <cell r="I9" t="str">
            <v>Africa</v>
          </cell>
        </row>
        <row r="10">
          <cell r="A10" t="str">
            <v>Mozambique</v>
          </cell>
          <cell r="B10">
            <v>1997</v>
          </cell>
          <cell r="C10" t="str">
            <v>15-49</v>
          </cell>
          <cell r="D10" t="str">
            <v>MW</v>
          </cell>
          <cell r="E10">
            <v>5.6</v>
          </cell>
          <cell r="F10">
            <v>5.0999999999999996</v>
          </cell>
          <cell r="G10" t="str">
            <v>DHS</v>
          </cell>
          <cell r="H10" t="str">
            <v>Eastern Africa</v>
          </cell>
          <cell r="I10" t="str">
            <v>Africa</v>
          </cell>
        </row>
        <row r="11">
          <cell r="A11" t="str">
            <v>Reunion</v>
          </cell>
          <cell r="B11">
            <v>1990</v>
          </cell>
          <cell r="C11" t="str">
            <v>15-49</v>
          </cell>
          <cell r="D11" t="str">
            <v>MW</v>
          </cell>
          <cell r="E11">
            <v>66.599999999999994</v>
          </cell>
          <cell r="F11">
            <v>61.7</v>
          </cell>
          <cell r="G11" t="str">
            <v>RES</v>
          </cell>
          <cell r="H11" t="str">
            <v>Eastern Africa</v>
          </cell>
          <cell r="I11" t="str">
            <v>Africa</v>
          </cell>
        </row>
        <row r="12">
          <cell r="A12" t="str">
            <v>Rwanda</v>
          </cell>
          <cell r="B12">
            <v>2000</v>
          </cell>
          <cell r="C12" t="str">
            <v>15-49</v>
          </cell>
          <cell r="D12" t="str">
            <v>MW</v>
          </cell>
          <cell r="E12">
            <v>13.2</v>
          </cell>
          <cell r="F12">
            <v>4.3</v>
          </cell>
          <cell r="G12" t="str">
            <v>DHS</v>
          </cell>
          <cell r="H12" t="str">
            <v>Eastern Africa</v>
          </cell>
          <cell r="I12" t="str">
            <v>Africa</v>
          </cell>
        </row>
        <row r="13">
          <cell r="A13" t="str">
            <v>Uganda</v>
          </cell>
          <cell r="B13">
            <v>1995</v>
          </cell>
          <cell r="C13" t="str">
            <v>15-49</v>
          </cell>
          <cell r="D13" t="str">
            <v>MW</v>
          </cell>
          <cell r="E13">
            <v>14.8</v>
          </cell>
          <cell r="F13">
            <v>7.8</v>
          </cell>
          <cell r="G13" t="str">
            <v>DHS</v>
          </cell>
          <cell r="H13" t="str">
            <v>Eastern Africa</v>
          </cell>
          <cell r="I13" t="str">
            <v>Africa</v>
          </cell>
        </row>
        <row r="14">
          <cell r="A14" t="str">
            <v>United Republic of Tanzania</v>
          </cell>
          <cell r="B14">
            <v>1999</v>
          </cell>
          <cell r="C14" t="str">
            <v>15-49</v>
          </cell>
          <cell r="D14" t="str">
            <v>MW</v>
          </cell>
          <cell r="E14">
            <v>24.2</v>
          </cell>
          <cell r="F14">
            <v>16.2</v>
          </cell>
          <cell r="G14" t="str">
            <v>DHS</v>
          </cell>
          <cell r="H14" t="str">
            <v>Eastern Africa</v>
          </cell>
          <cell r="I14" t="str">
            <v>Africa</v>
          </cell>
        </row>
        <row r="15">
          <cell r="A15" t="str">
            <v>Zambia</v>
          </cell>
          <cell r="B15">
            <v>1996</v>
          </cell>
          <cell r="C15" t="str">
            <v>15-49</v>
          </cell>
          <cell r="D15" t="str">
            <v>MW</v>
          </cell>
          <cell r="E15">
            <v>25</v>
          </cell>
          <cell r="F15">
            <v>14.4</v>
          </cell>
          <cell r="G15" t="str">
            <v>DHS</v>
          </cell>
          <cell r="H15" t="str">
            <v>Eastern Africa</v>
          </cell>
          <cell r="I15" t="str">
            <v>Africa</v>
          </cell>
        </row>
        <row r="16">
          <cell r="A16" t="str">
            <v>Zimbabwe</v>
          </cell>
          <cell r="B16">
            <v>1999</v>
          </cell>
          <cell r="C16" t="str">
            <v>15-49</v>
          </cell>
          <cell r="D16" t="str">
            <v>MW</v>
          </cell>
          <cell r="E16">
            <v>53.5</v>
          </cell>
          <cell r="F16">
            <v>50.4</v>
          </cell>
          <cell r="G16" t="str">
            <v>DHS</v>
          </cell>
          <cell r="H16" t="str">
            <v>Eastern Africa</v>
          </cell>
          <cell r="I16" t="str">
            <v>Africa</v>
          </cell>
        </row>
        <row r="19">
          <cell r="A19" t="str">
            <v>Cameroon</v>
          </cell>
          <cell r="B19">
            <v>1998</v>
          </cell>
          <cell r="C19" t="str">
            <v>15-49</v>
          </cell>
          <cell r="D19" t="str">
            <v>MW</v>
          </cell>
          <cell r="E19">
            <v>19.3</v>
          </cell>
          <cell r="F19">
            <v>7.1</v>
          </cell>
          <cell r="G19" t="str">
            <v>DHS</v>
          </cell>
          <cell r="H19" t="str">
            <v>Middle Africa</v>
          </cell>
          <cell r="I19" t="str">
            <v>Africa</v>
          </cell>
        </row>
        <row r="20">
          <cell r="A20" t="str">
            <v>Central African Republic</v>
          </cell>
          <cell r="B20">
            <v>1995</v>
          </cell>
          <cell r="C20" t="str">
            <v>15-49</v>
          </cell>
          <cell r="D20" t="str">
            <v>MW</v>
          </cell>
          <cell r="E20">
            <v>14.8</v>
          </cell>
          <cell r="F20">
            <v>3.3</v>
          </cell>
          <cell r="G20" t="str">
            <v>DHS</v>
          </cell>
          <cell r="H20" t="str">
            <v>Middle Africa</v>
          </cell>
          <cell r="I20" t="str">
            <v>Africa</v>
          </cell>
        </row>
        <row r="21">
          <cell r="A21" t="str">
            <v>Chad</v>
          </cell>
          <cell r="B21">
            <v>1997</v>
          </cell>
          <cell r="C21" t="str">
            <v>15-49</v>
          </cell>
          <cell r="D21" t="str">
            <v>MW</v>
          </cell>
          <cell r="E21">
            <v>4.0999999999999996</v>
          </cell>
          <cell r="F21">
            <v>1.2</v>
          </cell>
          <cell r="G21" t="str">
            <v>DHS</v>
          </cell>
          <cell r="H21" t="str">
            <v>Middle Africa</v>
          </cell>
          <cell r="I21" t="str">
            <v>Africa</v>
          </cell>
        </row>
        <row r="22">
          <cell r="A22" t="str">
            <v>Democratic Republic of the Congo</v>
          </cell>
          <cell r="B22">
            <v>1991</v>
          </cell>
          <cell r="C22" t="str">
            <v>15-49</v>
          </cell>
          <cell r="D22" t="str">
            <v>MW</v>
          </cell>
          <cell r="E22">
            <v>7.7</v>
          </cell>
          <cell r="F22">
            <v>2</v>
          </cell>
          <cell r="G22" t="str">
            <v>CDC</v>
          </cell>
          <cell r="H22" t="str">
            <v>Middle Africa</v>
          </cell>
          <cell r="I22" t="str">
            <v>Africa</v>
          </cell>
        </row>
        <row r="23">
          <cell r="A23" t="str">
            <v>Gabon</v>
          </cell>
          <cell r="B23">
            <v>2000</v>
          </cell>
          <cell r="C23" t="str">
            <v>15-49</v>
          </cell>
          <cell r="D23" t="str">
            <v>MW</v>
          </cell>
          <cell r="E23">
            <v>32.700000000000003</v>
          </cell>
          <cell r="F23">
            <v>11.8</v>
          </cell>
          <cell r="G23" t="str">
            <v>DHS</v>
          </cell>
          <cell r="H23" t="str">
            <v>Middle Africa</v>
          </cell>
          <cell r="I23" t="str">
            <v>Africa</v>
          </cell>
        </row>
        <row r="26">
          <cell r="A26" t="str">
            <v>Algeria</v>
          </cell>
          <cell r="B26">
            <v>1995</v>
          </cell>
          <cell r="C26" t="str">
            <v>15-49</v>
          </cell>
          <cell r="D26" t="str">
            <v>EM</v>
          </cell>
          <cell r="E26">
            <v>52.4</v>
          </cell>
          <cell r="F26">
            <v>49.4</v>
          </cell>
          <cell r="G26" t="str">
            <v>FHS</v>
          </cell>
          <cell r="H26" t="str">
            <v>Northern Africa</v>
          </cell>
          <cell r="I26" t="str">
            <v>Africa</v>
          </cell>
        </row>
        <row r="27">
          <cell r="A27" t="str">
            <v>Egypt</v>
          </cell>
          <cell r="B27">
            <v>2000</v>
          </cell>
          <cell r="C27" t="str">
            <v>15-49</v>
          </cell>
          <cell r="D27" t="str">
            <v>MW</v>
          </cell>
          <cell r="E27">
            <v>56.1</v>
          </cell>
          <cell r="F27">
            <v>53.9</v>
          </cell>
          <cell r="G27" t="str">
            <v>DHS</v>
          </cell>
          <cell r="H27" t="str">
            <v>Northern Africa</v>
          </cell>
          <cell r="I27" t="str">
            <v>Africa</v>
          </cell>
        </row>
        <row r="28">
          <cell r="A28" t="str">
            <v>Libyan Arab Jamahiriha</v>
          </cell>
          <cell r="B28">
            <v>1995</v>
          </cell>
          <cell r="C28" t="str">
            <v>15-49</v>
          </cell>
          <cell r="D28" t="str">
            <v>MW</v>
          </cell>
          <cell r="E28">
            <v>39.700000000000003</v>
          </cell>
          <cell r="F28">
            <v>25.6</v>
          </cell>
          <cell r="G28" t="str">
            <v>AHS</v>
          </cell>
          <cell r="H28" t="str">
            <v>Northern Africa</v>
          </cell>
          <cell r="I28" t="str">
            <v>Africa</v>
          </cell>
        </row>
        <row r="29">
          <cell r="A29" t="str">
            <v>Morocco</v>
          </cell>
          <cell r="B29">
            <v>1995</v>
          </cell>
          <cell r="C29" t="str">
            <v>15-49</v>
          </cell>
          <cell r="D29" t="str">
            <v>MW</v>
          </cell>
          <cell r="E29">
            <v>50.3</v>
          </cell>
          <cell r="F29">
            <v>42.4</v>
          </cell>
          <cell r="G29" t="str">
            <v>DHS</v>
          </cell>
          <cell r="H29" t="str">
            <v>Northern Africa</v>
          </cell>
          <cell r="I29" t="str">
            <v>Africa</v>
          </cell>
        </row>
        <row r="30">
          <cell r="A30" t="str">
            <v>Sudan</v>
          </cell>
          <cell r="B30">
            <v>1993</v>
          </cell>
          <cell r="C30" t="str">
            <v>15-49</v>
          </cell>
          <cell r="D30" t="str">
            <v>MW</v>
          </cell>
          <cell r="E30">
            <v>8.3000000000000007</v>
          </cell>
          <cell r="F30">
            <v>6.9</v>
          </cell>
          <cell r="G30" t="str">
            <v>AHS</v>
          </cell>
          <cell r="H30" t="str">
            <v>Northern Africa</v>
          </cell>
          <cell r="I30" t="str">
            <v>Africa</v>
          </cell>
        </row>
        <row r="31">
          <cell r="A31" t="str">
            <v>Tunisia</v>
          </cell>
          <cell r="B31">
            <v>1994</v>
          </cell>
          <cell r="C31" t="str">
            <v>15-49</v>
          </cell>
          <cell r="D31" t="str">
            <v>MW</v>
          </cell>
          <cell r="E31">
            <v>60</v>
          </cell>
          <cell r="F31">
            <v>51</v>
          </cell>
          <cell r="G31" t="str">
            <v>AHS</v>
          </cell>
          <cell r="H31" t="str">
            <v>Northern Africa</v>
          </cell>
          <cell r="I31" t="str">
            <v>Africa</v>
          </cell>
        </row>
        <row r="34">
          <cell r="A34" t="str">
            <v>Botswana</v>
          </cell>
          <cell r="B34">
            <v>1988</v>
          </cell>
          <cell r="C34" t="str">
            <v>15-49</v>
          </cell>
          <cell r="D34" t="str">
            <v>MW</v>
          </cell>
          <cell r="E34">
            <v>33</v>
          </cell>
          <cell r="F34">
            <v>31.7</v>
          </cell>
          <cell r="G34" t="str">
            <v>FHS</v>
          </cell>
          <cell r="H34" t="str">
            <v>Southern Africa</v>
          </cell>
          <cell r="I34" t="str">
            <v>Africa</v>
          </cell>
        </row>
        <row r="35">
          <cell r="A35" t="str">
            <v>Lesotho</v>
          </cell>
          <cell r="B35">
            <v>1992</v>
          </cell>
          <cell r="C35" t="str">
            <v>15-49</v>
          </cell>
          <cell r="D35" t="str">
            <v>AL</v>
          </cell>
          <cell r="E35">
            <v>23.2</v>
          </cell>
          <cell r="F35">
            <v>18.899999999999999</v>
          </cell>
          <cell r="G35" t="str">
            <v>DHS</v>
          </cell>
          <cell r="H35" t="str">
            <v>Southern Africa</v>
          </cell>
          <cell r="I35" t="str">
            <v>Africa</v>
          </cell>
        </row>
        <row r="36">
          <cell r="A36" t="str">
            <v>Namibia</v>
          </cell>
          <cell r="B36">
            <v>1992</v>
          </cell>
          <cell r="C36" t="str">
            <v>15-49</v>
          </cell>
          <cell r="D36" t="str">
            <v>MW</v>
          </cell>
          <cell r="E36">
            <v>28.9</v>
          </cell>
          <cell r="F36">
            <v>26</v>
          </cell>
          <cell r="G36" t="str">
            <v>DHS</v>
          </cell>
          <cell r="H36" t="str">
            <v>Southern Africa</v>
          </cell>
          <cell r="I36" t="str">
            <v>Africa</v>
          </cell>
        </row>
        <row r="37">
          <cell r="A37" t="str">
            <v>South Africa</v>
          </cell>
          <cell r="B37">
            <v>1998</v>
          </cell>
          <cell r="C37" t="str">
            <v>15-49</v>
          </cell>
          <cell r="D37" t="str">
            <v>MW</v>
          </cell>
          <cell r="E37">
            <v>56.3</v>
          </cell>
          <cell r="F37">
            <v>55.1</v>
          </cell>
          <cell r="G37" t="str">
            <v>DHS</v>
          </cell>
          <cell r="H37" t="str">
            <v>Southern Africa</v>
          </cell>
          <cell r="I37" t="str">
            <v>Africa</v>
          </cell>
        </row>
        <row r="38">
          <cell r="A38" t="str">
            <v>Swaziland</v>
          </cell>
          <cell r="B38">
            <v>1988</v>
          </cell>
          <cell r="C38" t="str">
            <v>15-49</v>
          </cell>
          <cell r="D38" t="str">
            <v>MW</v>
          </cell>
          <cell r="E38">
            <v>19.899999999999999</v>
          </cell>
          <cell r="F38">
            <v>17.2</v>
          </cell>
          <cell r="G38" t="str">
            <v>DHS</v>
          </cell>
          <cell r="H38" t="str">
            <v>Southern Africa</v>
          </cell>
          <cell r="I38" t="str">
            <v>Africa</v>
          </cell>
        </row>
        <row r="41">
          <cell r="A41" t="str">
            <v>Benin</v>
          </cell>
          <cell r="B41">
            <v>1996</v>
          </cell>
          <cell r="C41" t="str">
            <v>15-49</v>
          </cell>
          <cell r="D41" t="str">
            <v>MW</v>
          </cell>
          <cell r="E41">
            <v>16.399999999999999</v>
          </cell>
          <cell r="F41">
            <v>3.4</v>
          </cell>
          <cell r="G41" t="str">
            <v>DHS</v>
          </cell>
          <cell r="H41" t="str">
            <v>Western Africa</v>
          </cell>
          <cell r="I41" t="str">
            <v>Africa</v>
          </cell>
        </row>
        <row r="42">
          <cell r="A42" t="str">
            <v>Burkina Faso</v>
          </cell>
          <cell r="B42">
            <v>1999</v>
          </cell>
          <cell r="C42" t="str">
            <v>15-49</v>
          </cell>
          <cell r="D42" t="str">
            <v>MW</v>
          </cell>
          <cell r="E42">
            <v>11.9</v>
          </cell>
          <cell r="F42">
            <v>4.8</v>
          </cell>
          <cell r="G42" t="str">
            <v>DHS</v>
          </cell>
          <cell r="H42" t="str">
            <v>Western Africa</v>
          </cell>
          <cell r="I42" t="str">
            <v>Africa</v>
          </cell>
        </row>
        <row r="43">
          <cell r="A43" t="str">
            <v>Cape Verde</v>
          </cell>
          <cell r="B43">
            <v>1998</v>
          </cell>
          <cell r="C43" t="str">
            <v>15-49</v>
          </cell>
          <cell r="D43" t="str">
            <v>MW</v>
          </cell>
          <cell r="E43">
            <v>52.9</v>
          </cell>
          <cell r="F43">
            <v>46</v>
          </cell>
          <cell r="G43" t="str">
            <v>CDC</v>
          </cell>
          <cell r="H43" t="str">
            <v>Western Africa</v>
          </cell>
          <cell r="I43" t="str">
            <v>Africa</v>
          </cell>
        </row>
        <row r="44">
          <cell r="A44" t="str">
            <v>Cote d'Ivoire</v>
          </cell>
          <cell r="B44">
            <v>1999</v>
          </cell>
          <cell r="C44" t="str">
            <v>15-49</v>
          </cell>
          <cell r="D44" t="str">
            <v>MW</v>
          </cell>
          <cell r="E44">
            <v>15</v>
          </cell>
          <cell r="F44">
            <v>7.3</v>
          </cell>
          <cell r="G44" t="str">
            <v>DHS</v>
          </cell>
          <cell r="H44" t="str">
            <v>Western Africa</v>
          </cell>
          <cell r="I44" t="str">
            <v>Africa</v>
          </cell>
        </row>
        <row r="45">
          <cell r="A45" t="str">
            <v>Gambia</v>
          </cell>
          <cell r="B45">
            <v>1990</v>
          </cell>
          <cell r="C45" t="str">
            <v>15-49</v>
          </cell>
          <cell r="D45" t="str">
            <v>MW</v>
          </cell>
          <cell r="E45">
            <v>11.8</v>
          </cell>
          <cell r="F45">
            <v>6.7</v>
          </cell>
          <cell r="G45" t="str">
            <v>FHS</v>
          </cell>
          <cell r="H45" t="str">
            <v>Western Africa</v>
          </cell>
          <cell r="I45" t="str">
            <v>Africa</v>
          </cell>
        </row>
        <row r="46">
          <cell r="A46" t="str">
            <v>Ghana</v>
          </cell>
          <cell r="B46">
            <v>1999</v>
          </cell>
          <cell r="C46" t="str">
            <v>15-49</v>
          </cell>
          <cell r="D46" t="str">
            <v>MW</v>
          </cell>
          <cell r="E46">
            <v>22</v>
          </cell>
          <cell r="F46">
            <v>13.3</v>
          </cell>
          <cell r="G46" t="str">
            <v>DHS</v>
          </cell>
          <cell r="H46" t="str">
            <v>Western Africa</v>
          </cell>
          <cell r="I46" t="str">
            <v>Africa</v>
          </cell>
        </row>
        <row r="47">
          <cell r="A47" t="str">
            <v>Guinea</v>
          </cell>
          <cell r="B47">
            <v>1999</v>
          </cell>
          <cell r="C47" t="str">
            <v>15-49</v>
          </cell>
          <cell r="D47" t="str">
            <v>MW</v>
          </cell>
          <cell r="E47">
            <v>6.2</v>
          </cell>
          <cell r="F47">
            <v>4.2</v>
          </cell>
          <cell r="G47" t="str">
            <v>DHS</v>
          </cell>
          <cell r="H47" t="str">
            <v>Western Africa</v>
          </cell>
          <cell r="I47" t="str">
            <v>Africa</v>
          </cell>
        </row>
        <row r="48">
          <cell r="A48" t="str">
            <v>Liberia</v>
          </cell>
          <cell r="B48">
            <v>1986</v>
          </cell>
          <cell r="C48" t="str">
            <v>15-49</v>
          </cell>
          <cell r="D48" t="str">
            <v>MW</v>
          </cell>
          <cell r="E48">
            <v>6.4</v>
          </cell>
          <cell r="F48">
            <v>5.5</v>
          </cell>
          <cell r="G48" t="str">
            <v>DHS</v>
          </cell>
          <cell r="H48" t="str">
            <v>Western Africa</v>
          </cell>
          <cell r="I48" t="str">
            <v>Africa</v>
          </cell>
        </row>
        <row r="49">
          <cell r="A49" t="str">
            <v>Mali</v>
          </cell>
          <cell r="B49">
            <v>1996</v>
          </cell>
          <cell r="C49" t="str">
            <v>15-49</v>
          </cell>
          <cell r="D49" t="str">
            <v>MW</v>
          </cell>
          <cell r="E49">
            <v>6.7</v>
          </cell>
          <cell r="F49">
            <v>4.5</v>
          </cell>
          <cell r="G49" t="str">
            <v>DHS</v>
          </cell>
          <cell r="H49" t="str">
            <v>Western Africa</v>
          </cell>
          <cell r="I49" t="str">
            <v>Africa</v>
          </cell>
        </row>
        <row r="50">
          <cell r="A50" t="str">
            <v>Mauritania</v>
          </cell>
          <cell r="B50">
            <v>1991</v>
          </cell>
          <cell r="C50" t="str">
            <v>15-49</v>
          </cell>
          <cell r="D50" t="str">
            <v>MW</v>
          </cell>
          <cell r="E50">
            <v>3.3</v>
          </cell>
          <cell r="F50">
            <v>1.2</v>
          </cell>
          <cell r="G50" t="str">
            <v>AHS</v>
          </cell>
          <cell r="H50" t="str">
            <v>Western Africa</v>
          </cell>
          <cell r="I50" t="str">
            <v>Africa</v>
          </cell>
        </row>
        <row r="51">
          <cell r="A51" t="str">
            <v>Niger</v>
          </cell>
          <cell r="B51">
            <v>1998</v>
          </cell>
          <cell r="C51" t="str">
            <v>15-49</v>
          </cell>
          <cell r="D51" t="str">
            <v>MW</v>
          </cell>
          <cell r="E51">
            <v>8.1999999999999993</v>
          </cell>
          <cell r="F51">
            <v>4.5999999999999996</v>
          </cell>
          <cell r="G51" t="str">
            <v>DHS</v>
          </cell>
          <cell r="H51" t="str">
            <v>Western Africa</v>
          </cell>
          <cell r="I51" t="str">
            <v>Africa</v>
          </cell>
        </row>
        <row r="52">
          <cell r="A52" t="str">
            <v>Nigeria</v>
          </cell>
          <cell r="B52">
            <v>1999</v>
          </cell>
          <cell r="C52" t="str">
            <v>15-49</v>
          </cell>
          <cell r="D52" t="str">
            <v>MW</v>
          </cell>
          <cell r="E52">
            <v>15.3</v>
          </cell>
          <cell r="F52">
            <v>8.6</v>
          </cell>
          <cell r="G52" t="str">
            <v>DHS</v>
          </cell>
          <cell r="H52" t="str">
            <v>Western Africa</v>
          </cell>
          <cell r="I52" t="str">
            <v>Africa</v>
          </cell>
        </row>
        <row r="53">
          <cell r="A53" t="str">
            <v>Senegal</v>
          </cell>
          <cell r="B53">
            <v>1997</v>
          </cell>
          <cell r="C53" t="str">
            <v>15-49</v>
          </cell>
          <cell r="D53" t="str">
            <v>MW</v>
          </cell>
          <cell r="E53">
            <v>12.9</v>
          </cell>
          <cell r="F53">
            <v>8.1</v>
          </cell>
          <cell r="G53" t="str">
            <v>DHS</v>
          </cell>
          <cell r="H53" t="str">
            <v>Western Africa</v>
          </cell>
          <cell r="I53" t="str">
            <v>Africa</v>
          </cell>
        </row>
        <row r="54">
          <cell r="A54" t="str">
            <v>Togo</v>
          </cell>
          <cell r="B54">
            <v>1998</v>
          </cell>
          <cell r="C54" t="str">
            <v>15-49</v>
          </cell>
          <cell r="D54" t="str">
            <v>MW</v>
          </cell>
          <cell r="E54">
            <v>23.5</v>
          </cell>
          <cell r="F54">
            <v>7</v>
          </cell>
          <cell r="G54" t="str">
            <v>DHS</v>
          </cell>
          <cell r="H54" t="str">
            <v>Western Africa</v>
          </cell>
          <cell r="I54" t="str">
            <v>Africa</v>
          </cell>
        </row>
        <row r="57">
          <cell r="A57" t="str">
            <v>China</v>
          </cell>
          <cell r="B57">
            <v>1997</v>
          </cell>
          <cell r="C57" t="str">
            <v>15-49</v>
          </cell>
          <cell r="D57" t="str">
            <v>MW</v>
          </cell>
          <cell r="E57">
            <v>83.8</v>
          </cell>
          <cell r="F57">
            <v>83.3</v>
          </cell>
          <cell r="G57" t="str">
            <v>FHS</v>
          </cell>
          <cell r="H57" t="str">
            <v>Eastern Asia</v>
          </cell>
          <cell r="I57" t="str">
            <v>Asia</v>
          </cell>
        </row>
        <row r="58">
          <cell r="A58" t="str">
            <v>Democratic People's Republic of Korea</v>
          </cell>
          <cell r="B58">
            <v>1992</v>
          </cell>
          <cell r="C58" t="str">
            <v>15-49</v>
          </cell>
          <cell r="D58" t="str">
            <v>MW</v>
          </cell>
          <cell r="E58">
            <v>61.8</v>
          </cell>
          <cell r="F58">
            <v>53</v>
          </cell>
          <cell r="G58" t="str">
            <v>RES</v>
          </cell>
          <cell r="H58" t="str">
            <v>Eastern Asia</v>
          </cell>
          <cell r="I58" t="str">
            <v>Asia</v>
          </cell>
        </row>
        <row r="59">
          <cell r="A59" t="str">
            <v>Hong Kong, China SAR</v>
          </cell>
          <cell r="B59">
            <v>1992</v>
          </cell>
          <cell r="C59" t="str">
            <v>15-49</v>
          </cell>
          <cell r="D59" t="str">
            <v>MW</v>
          </cell>
          <cell r="E59">
            <v>86.2</v>
          </cell>
          <cell r="F59">
            <v>79.7</v>
          </cell>
          <cell r="G59" t="str">
            <v>RES</v>
          </cell>
          <cell r="H59" t="str">
            <v>Eastern Asia</v>
          </cell>
          <cell r="I59" t="str">
            <v>Asia</v>
          </cell>
        </row>
        <row r="60">
          <cell r="A60" t="str">
            <v>Mongolia</v>
          </cell>
          <cell r="B60">
            <v>1998</v>
          </cell>
          <cell r="C60" t="str">
            <v>15-49</v>
          </cell>
          <cell r="D60" t="str">
            <v>MW</v>
          </cell>
          <cell r="E60">
            <v>59.9</v>
          </cell>
          <cell r="F60">
            <v>45.7</v>
          </cell>
          <cell r="G60" t="str">
            <v>FHS</v>
          </cell>
          <cell r="H60" t="str">
            <v>Eastern Asia</v>
          </cell>
          <cell r="I60" t="str">
            <v>Asia</v>
          </cell>
        </row>
        <row r="61">
          <cell r="A61" t="str">
            <v>Republic of Korea</v>
          </cell>
          <cell r="B61">
            <v>1997</v>
          </cell>
          <cell r="C61" t="str">
            <v>15-44</v>
          </cell>
          <cell r="D61" t="str">
            <v>MW</v>
          </cell>
          <cell r="E61">
            <v>80.5</v>
          </cell>
          <cell r="F61">
            <v>66.900000000000006</v>
          </cell>
          <cell r="G61" t="str">
            <v>RES</v>
          </cell>
          <cell r="H61" t="str">
            <v>Eastern Asia</v>
          </cell>
          <cell r="I61" t="str">
            <v>Asia</v>
          </cell>
        </row>
        <row r="64">
          <cell r="A64" t="str">
            <v>Japan</v>
          </cell>
          <cell r="B64">
            <v>1994</v>
          </cell>
          <cell r="C64" t="str">
            <v>15-49</v>
          </cell>
          <cell r="D64" t="str">
            <v>MW</v>
          </cell>
          <cell r="E64">
            <v>58.6</v>
          </cell>
          <cell r="F64">
            <v>52.8</v>
          </cell>
          <cell r="G64" t="str">
            <v>FHS</v>
          </cell>
          <cell r="H64" t="str">
            <v>Eastern Asia</v>
          </cell>
          <cell r="I64" t="str">
            <v>Asia</v>
          </cell>
        </row>
        <row r="67">
          <cell r="A67" t="str">
            <v>Afghanistan</v>
          </cell>
          <cell r="B67">
            <v>1973</v>
          </cell>
          <cell r="C67" t="str">
            <v>15-44</v>
          </cell>
          <cell r="D67" t="str">
            <v>EM</v>
          </cell>
          <cell r="E67">
            <v>1.6</v>
          </cell>
          <cell r="F67">
            <v>1.6</v>
          </cell>
          <cell r="G67" t="str">
            <v>FHS</v>
          </cell>
          <cell r="H67" t="str">
            <v>South-central Asia</v>
          </cell>
          <cell r="I67" t="str">
            <v>Asia</v>
          </cell>
        </row>
        <row r="68">
          <cell r="A68" t="str">
            <v>Bangladesh</v>
          </cell>
          <cell r="B68">
            <v>2000</v>
          </cell>
          <cell r="C68" t="str">
            <v>10-49</v>
          </cell>
          <cell r="D68" t="str">
            <v>MW</v>
          </cell>
          <cell r="E68">
            <v>53.8</v>
          </cell>
          <cell r="F68">
            <v>43.4</v>
          </cell>
          <cell r="G68" t="str">
            <v>DHS</v>
          </cell>
          <cell r="H68" t="str">
            <v>South-central Asia</v>
          </cell>
          <cell r="I68" t="str">
            <v>Asia</v>
          </cell>
        </row>
        <row r="69">
          <cell r="A69" t="str">
            <v>Bhutan</v>
          </cell>
          <cell r="B69">
            <v>1994</v>
          </cell>
          <cell r="C69" t="str">
            <v>15-49</v>
          </cell>
          <cell r="D69" t="str">
            <v>AL</v>
          </cell>
          <cell r="E69">
            <v>18.8</v>
          </cell>
          <cell r="F69">
            <v>18.8</v>
          </cell>
          <cell r="G69" t="str">
            <v>FHS</v>
          </cell>
          <cell r="H69" t="str">
            <v>South-central Asia</v>
          </cell>
          <cell r="I69" t="str">
            <v>Asia</v>
          </cell>
        </row>
        <row r="70">
          <cell r="A70" t="str">
            <v>India</v>
          </cell>
          <cell r="B70">
            <v>1999</v>
          </cell>
          <cell r="C70" t="str">
            <v>15-49</v>
          </cell>
          <cell r="D70" t="str">
            <v>MW</v>
          </cell>
          <cell r="E70">
            <v>48.2</v>
          </cell>
          <cell r="F70">
            <v>42.8</v>
          </cell>
          <cell r="G70" t="str">
            <v>FHS</v>
          </cell>
          <cell r="H70" t="str">
            <v>South-central Asia</v>
          </cell>
          <cell r="I70" t="str">
            <v>Asia</v>
          </cell>
        </row>
        <row r="71">
          <cell r="A71" t="str">
            <v>Iran (Islamic Republic of)</v>
          </cell>
          <cell r="B71">
            <v>1997</v>
          </cell>
          <cell r="C71" t="str">
            <v>15-49</v>
          </cell>
          <cell r="D71" t="str">
            <v>MW</v>
          </cell>
          <cell r="E71">
            <v>72.900000000000006</v>
          </cell>
          <cell r="F71">
            <v>56</v>
          </cell>
          <cell r="G71" t="str">
            <v>RES</v>
          </cell>
          <cell r="H71" t="str">
            <v>South-central Asia</v>
          </cell>
          <cell r="I71" t="str">
            <v>Asia</v>
          </cell>
        </row>
        <row r="72">
          <cell r="A72" t="str">
            <v>Kazakhstan</v>
          </cell>
          <cell r="B72">
            <v>1999</v>
          </cell>
          <cell r="C72" t="str">
            <v>15-49</v>
          </cell>
          <cell r="D72" t="str">
            <v>MW</v>
          </cell>
          <cell r="E72">
            <v>66.099999999999994</v>
          </cell>
          <cell r="F72">
            <v>52.7</v>
          </cell>
          <cell r="G72" t="str">
            <v>DHS</v>
          </cell>
          <cell r="H72" t="str">
            <v>South-central Asia</v>
          </cell>
          <cell r="I72" t="str">
            <v>Asia</v>
          </cell>
        </row>
        <row r="73">
          <cell r="A73" t="str">
            <v>Kyrgystan</v>
          </cell>
          <cell r="B73">
            <v>1997</v>
          </cell>
          <cell r="C73" t="str">
            <v>15-49</v>
          </cell>
          <cell r="D73" t="str">
            <v>MW</v>
          </cell>
          <cell r="E73">
            <v>59.5</v>
          </cell>
          <cell r="F73">
            <v>48.9</v>
          </cell>
          <cell r="G73" t="str">
            <v>DHS</v>
          </cell>
          <cell r="H73" t="str">
            <v>South-central Asia</v>
          </cell>
          <cell r="I73" t="str">
            <v>Asia</v>
          </cell>
        </row>
        <row r="74">
          <cell r="A74" t="str">
            <v>Nepal</v>
          </cell>
          <cell r="B74">
            <v>1996</v>
          </cell>
          <cell r="C74" t="str">
            <v>15-49</v>
          </cell>
          <cell r="D74" t="str">
            <v>MW</v>
          </cell>
          <cell r="E74">
            <v>28.5</v>
          </cell>
          <cell r="F74">
            <v>26</v>
          </cell>
          <cell r="G74" t="str">
            <v>DHS</v>
          </cell>
          <cell r="H74" t="str">
            <v>South-central Asia</v>
          </cell>
          <cell r="I74" t="str">
            <v>Asia</v>
          </cell>
        </row>
        <row r="75">
          <cell r="A75" t="str">
            <v>Pakistan</v>
          </cell>
          <cell r="B75">
            <v>1997</v>
          </cell>
          <cell r="C75" t="str">
            <v>15-49</v>
          </cell>
          <cell r="D75" t="str">
            <v>MW</v>
          </cell>
          <cell r="E75">
            <v>23.9</v>
          </cell>
          <cell r="F75">
            <v>16.899999999999999</v>
          </cell>
          <cell r="G75" t="str">
            <v>FHS</v>
          </cell>
          <cell r="H75" t="str">
            <v>South-central Asia</v>
          </cell>
          <cell r="I75" t="str">
            <v>Asia</v>
          </cell>
        </row>
        <row r="76">
          <cell r="A76" t="str">
            <v>Sri Lanka</v>
          </cell>
          <cell r="B76">
            <v>1993</v>
          </cell>
          <cell r="C76" t="str">
            <v>15-49</v>
          </cell>
          <cell r="D76" t="str">
            <v>MW</v>
          </cell>
          <cell r="E76">
            <v>66.099999999999994</v>
          </cell>
          <cell r="F76">
            <v>43.6</v>
          </cell>
          <cell r="G76" t="str">
            <v>DHS</v>
          </cell>
          <cell r="H76" t="str">
            <v>South-central Asia</v>
          </cell>
          <cell r="I76" t="str">
            <v>Asia</v>
          </cell>
        </row>
        <row r="77">
          <cell r="A77" t="str">
            <v>Turkmenistan</v>
          </cell>
          <cell r="B77">
            <v>2000</v>
          </cell>
          <cell r="C77" t="str">
            <v>15-49</v>
          </cell>
          <cell r="D77" t="str">
            <v>MW</v>
          </cell>
          <cell r="E77">
            <v>61.8</v>
          </cell>
          <cell r="F77">
            <v>53.1</v>
          </cell>
          <cell r="G77" t="str">
            <v>DHS</v>
          </cell>
          <cell r="H77" t="str">
            <v>South-central Asia</v>
          </cell>
          <cell r="I77" t="str">
            <v>Asia</v>
          </cell>
        </row>
        <row r="78">
          <cell r="A78" t="str">
            <v>Uzbekistan</v>
          </cell>
          <cell r="B78">
            <v>1996</v>
          </cell>
          <cell r="C78" t="str">
            <v>15-49</v>
          </cell>
          <cell r="D78" t="str">
            <v>MW</v>
          </cell>
          <cell r="E78">
            <v>55.6</v>
          </cell>
          <cell r="F78">
            <v>51.3</v>
          </cell>
          <cell r="G78" t="str">
            <v>DHS</v>
          </cell>
          <cell r="H78" t="str">
            <v>South-central Asia</v>
          </cell>
          <cell r="I78" t="str">
            <v>Asia</v>
          </cell>
        </row>
        <row r="81">
          <cell r="A81" t="str">
            <v>Cambodia</v>
          </cell>
          <cell r="B81">
            <v>2000</v>
          </cell>
          <cell r="C81" t="str">
            <v>15-49</v>
          </cell>
          <cell r="D81" t="str">
            <v>MW</v>
          </cell>
          <cell r="E81">
            <v>23.8</v>
          </cell>
          <cell r="F81">
            <v>18.5</v>
          </cell>
          <cell r="G81" t="str">
            <v>DHS</v>
          </cell>
          <cell r="H81" t="str">
            <v>South-eastern Asia</v>
          </cell>
          <cell r="I81" t="str">
            <v>Asia</v>
          </cell>
        </row>
        <row r="82">
          <cell r="A82" t="str">
            <v>Indonesia</v>
          </cell>
          <cell r="B82">
            <v>1997</v>
          </cell>
          <cell r="C82" t="str">
            <v>15-49</v>
          </cell>
          <cell r="D82" t="str">
            <v>MW</v>
          </cell>
          <cell r="E82">
            <v>57.4</v>
          </cell>
          <cell r="F82">
            <v>54.7</v>
          </cell>
          <cell r="G82" t="str">
            <v>DHS</v>
          </cell>
          <cell r="H82" t="str">
            <v>South-eastern Asia</v>
          </cell>
          <cell r="I82" t="str">
            <v>Asia</v>
          </cell>
        </row>
        <row r="83">
          <cell r="A83" t="str">
            <v>Lao People's Democratic Republic</v>
          </cell>
          <cell r="B83">
            <v>1993</v>
          </cell>
          <cell r="C83" t="str">
            <v>15-49</v>
          </cell>
          <cell r="D83" t="str">
            <v>MW</v>
          </cell>
          <cell r="E83">
            <v>18.600000000000001</v>
          </cell>
          <cell r="F83">
            <v>15</v>
          </cell>
          <cell r="G83" t="str">
            <v>FHS</v>
          </cell>
          <cell r="H83" t="str">
            <v>South-eastern Asia</v>
          </cell>
          <cell r="I83" t="str">
            <v>Asia</v>
          </cell>
        </row>
        <row r="84">
          <cell r="A84" t="str">
            <v>Malaysia</v>
          </cell>
          <cell r="B84">
            <v>1994</v>
          </cell>
          <cell r="C84" t="str">
            <v>15-49</v>
          </cell>
          <cell r="D84" t="str">
            <v>MW</v>
          </cell>
          <cell r="E84">
            <v>54.5</v>
          </cell>
          <cell r="F84">
            <v>29.8</v>
          </cell>
          <cell r="G84" t="str">
            <v>SES</v>
          </cell>
          <cell r="H84" t="str">
            <v>South-eastern Asia</v>
          </cell>
          <cell r="I84" t="str">
            <v>Asia</v>
          </cell>
        </row>
        <row r="85">
          <cell r="A85" t="str">
            <v>Myanmar</v>
          </cell>
          <cell r="B85">
            <v>1997</v>
          </cell>
          <cell r="C85" t="str">
            <v>15-49</v>
          </cell>
          <cell r="D85" t="str">
            <v>MW</v>
          </cell>
          <cell r="E85">
            <v>32.700000000000003</v>
          </cell>
          <cell r="F85">
            <v>28.4</v>
          </cell>
          <cell r="G85" t="str">
            <v>FHS</v>
          </cell>
          <cell r="H85" t="str">
            <v>South-eastern Asia</v>
          </cell>
          <cell r="I85" t="str">
            <v>Asia</v>
          </cell>
        </row>
        <row r="86">
          <cell r="A86" t="str">
            <v>Philippines</v>
          </cell>
          <cell r="B86">
            <v>1998</v>
          </cell>
          <cell r="C86" t="str">
            <v>15-49</v>
          </cell>
          <cell r="D86" t="str">
            <v>MW</v>
          </cell>
          <cell r="E86">
            <v>46</v>
          </cell>
          <cell r="F86">
            <v>28.2</v>
          </cell>
          <cell r="G86" t="str">
            <v>DHS</v>
          </cell>
          <cell r="H86" t="str">
            <v>South-eastern Asia</v>
          </cell>
          <cell r="I86" t="str">
            <v>Asia</v>
          </cell>
        </row>
        <row r="87">
          <cell r="A87" t="str">
            <v>Singapore</v>
          </cell>
          <cell r="B87">
            <v>1982</v>
          </cell>
          <cell r="C87" t="str">
            <v>15-44</v>
          </cell>
          <cell r="D87" t="str">
            <v>MW</v>
          </cell>
          <cell r="E87">
            <v>74.2</v>
          </cell>
          <cell r="F87">
            <v>73</v>
          </cell>
          <cell r="G87" t="str">
            <v>FHS</v>
          </cell>
          <cell r="H87" t="str">
            <v>South-eastern Asia</v>
          </cell>
          <cell r="I87" t="str">
            <v>Asia</v>
          </cell>
        </row>
        <row r="88">
          <cell r="A88" t="str">
            <v>Thailand</v>
          </cell>
          <cell r="B88">
            <v>1997</v>
          </cell>
          <cell r="C88" t="str">
            <v>15-44</v>
          </cell>
          <cell r="D88" t="str">
            <v>MW</v>
          </cell>
          <cell r="E88">
            <v>72.2</v>
          </cell>
          <cell r="F88">
            <v>69.8</v>
          </cell>
          <cell r="G88" t="str">
            <v>CPS</v>
          </cell>
          <cell r="H88" t="str">
            <v>South-eastern Asia</v>
          </cell>
          <cell r="I88" t="str">
            <v>Asia</v>
          </cell>
        </row>
        <row r="89">
          <cell r="A89" t="str">
            <v>Viet Nam</v>
          </cell>
          <cell r="B89">
            <v>1997</v>
          </cell>
          <cell r="C89" t="str">
            <v>15-49</v>
          </cell>
          <cell r="D89" t="str">
            <v>MW</v>
          </cell>
          <cell r="E89">
            <v>75.3</v>
          </cell>
          <cell r="F89">
            <v>55.8</v>
          </cell>
          <cell r="G89" t="str">
            <v>DHS</v>
          </cell>
          <cell r="H89" t="str">
            <v>South-eastern Asia</v>
          </cell>
          <cell r="I89" t="str">
            <v>Asia</v>
          </cell>
        </row>
        <row r="92">
          <cell r="A92" t="str">
            <v>Armenia</v>
          </cell>
          <cell r="B92">
            <v>2000</v>
          </cell>
          <cell r="C92" t="str">
            <v>15-49</v>
          </cell>
          <cell r="D92" t="str">
            <v>MW</v>
          </cell>
          <cell r="E92">
            <v>60.5</v>
          </cell>
          <cell r="F92">
            <v>22.3</v>
          </cell>
          <cell r="G92" t="str">
            <v>DHS</v>
          </cell>
          <cell r="H92" t="str">
            <v>Western Asia</v>
          </cell>
          <cell r="I92" t="str">
            <v>Asia</v>
          </cell>
        </row>
        <row r="93">
          <cell r="A93" t="str">
            <v>Bahrain</v>
          </cell>
          <cell r="B93">
            <v>1995</v>
          </cell>
          <cell r="C93" t="str">
            <v>15-49</v>
          </cell>
          <cell r="D93" t="str">
            <v>MW</v>
          </cell>
          <cell r="E93">
            <v>61.8</v>
          </cell>
          <cell r="F93">
            <v>30.6</v>
          </cell>
          <cell r="G93" t="str">
            <v>AHS</v>
          </cell>
          <cell r="H93" t="str">
            <v>Western Asia</v>
          </cell>
          <cell r="I93" t="str">
            <v>Asia</v>
          </cell>
        </row>
        <row r="94">
          <cell r="A94" t="str">
            <v>Georgia</v>
          </cell>
          <cell r="B94">
            <v>2000</v>
          </cell>
          <cell r="C94" t="str">
            <v>15-44</v>
          </cell>
          <cell r="D94" t="str">
            <v>MW</v>
          </cell>
          <cell r="E94">
            <v>40.5</v>
          </cell>
          <cell r="F94">
            <v>19.8</v>
          </cell>
          <cell r="G94" t="str">
            <v>CDC</v>
          </cell>
          <cell r="H94" t="str">
            <v>Western Asia</v>
          </cell>
          <cell r="I94" t="str">
            <v>Asia</v>
          </cell>
        </row>
        <row r="95">
          <cell r="A95" t="str">
            <v>Iraq</v>
          </cell>
          <cell r="B95">
            <v>1989</v>
          </cell>
          <cell r="C95" t="str">
            <v>15-49</v>
          </cell>
          <cell r="D95" t="str">
            <v>MW</v>
          </cell>
          <cell r="E95">
            <v>13.7</v>
          </cell>
          <cell r="F95">
            <v>10.4</v>
          </cell>
          <cell r="G95" t="str">
            <v>AHS</v>
          </cell>
          <cell r="H95" t="str">
            <v>Western Asia</v>
          </cell>
          <cell r="I95" t="str">
            <v>Asia</v>
          </cell>
        </row>
        <row r="96">
          <cell r="A96" t="str">
            <v>Jordan</v>
          </cell>
          <cell r="B96">
            <v>1997</v>
          </cell>
          <cell r="C96" t="str">
            <v>15-49</v>
          </cell>
          <cell r="D96" t="str">
            <v>MW</v>
          </cell>
          <cell r="E96">
            <v>52.6</v>
          </cell>
          <cell r="F96">
            <v>37.700000000000003</v>
          </cell>
          <cell r="G96" t="str">
            <v>DHS</v>
          </cell>
          <cell r="H96" t="str">
            <v>Western Asia</v>
          </cell>
          <cell r="I96" t="str">
            <v>Asia</v>
          </cell>
        </row>
        <row r="97">
          <cell r="A97" t="str">
            <v>Kuwait</v>
          </cell>
          <cell r="B97">
            <v>1996</v>
          </cell>
          <cell r="C97" t="str">
            <v>&lt;50</v>
          </cell>
          <cell r="D97" t="str">
            <v>MW</v>
          </cell>
          <cell r="E97">
            <v>50.2</v>
          </cell>
          <cell r="F97">
            <v>40.9</v>
          </cell>
          <cell r="G97" t="str">
            <v>AHS</v>
          </cell>
          <cell r="H97" t="str">
            <v>Western Asia</v>
          </cell>
          <cell r="I97" t="str">
            <v>Asia</v>
          </cell>
        </row>
        <row r="98">
          <cell r="A98" t="str">
            <v>Lebanon</v>
          </cell>
          <cell r="B98">
            <v>1996</v>
          </cell>
          <cell r="C98" t="str">
            <v>15-49</v>
          </cell>
          <cell r="D98" t="str">
            <v>MW</v>
          </cell>
          <cell r="E98">
            <v>61</v>
          </cell>
          <cell r="F98">
            <v>37</v>
          </cell>
          <cell r="G98" t="str">
            <v>RES</v>
          </cell>
          <cell r="H98" t="str">
            <v>Western Asia</v>
          </cell>
          <cell r="I98" t="str">
            <v>Asia</v>
          </cell>
        </row>
        <row r="99">
          <cell r="A99" t="str">
            <v>Oman</v>
          </cell>
          <cell r="B99">
            <v>1995</v>
          </cell>
          <cell r="C99" t="str">
            <v>15-49</v>
          </cell>
          <cell r="D99" t="str">
            <v>MW</v>
          </cell>
          <cell r="E99">
            <v>23.7</v>
          </cell>
          <cell r="F99">
            <v>18.2</v>
          </cell>
          <cell r="G99" t="str">
            <v>AHS</v>
          </cell>
          <cell r="H99" t="str">
            <v>Western Asia</v>
          </cell>
          <cell r="I99" t="str">
            <v>Asia</v>
          </cell>
        </row>
        <row r="100">
          <cell r="A100" t="str">
            <v>Qatar</v>
          </cell>
          <cell r="B100">
            <v>1998</v>
          </cell>
          <cell r="C100" t="str">
            <v>15-49</v>
          </cell>
          <cell r="D100" t="str">
            <v>MW</v>
          </cell>
          <cell r="E100">
            <v>43.2</v>
          </cell>
          <cell r="F100">
            <v>32.299999999999997</v>
          </cell>
          <cell r="G100" t="str">
            <v>AHS</v>
          </cell>
          <cell r="H100" t="str">
            <v>Western Asia</v>
          </cell>
          <cell r="I100" t="str">
            <v>Asia</v>
          </cell>
        </row>
        <row r="101">
          <cell r="A101" t="str">
            <v>Saudi Arabia</v>
          </cell>
          <cell r="B101">
            <v>1996</v>
          </cell>
          <cell r="C101" t="str">
            <v>15-49</v>
          </cell>
          <cell r="D101" t="str">
            <v>MW</v>
          </cell>
          <cell r="E101">
            <v>31.8</v>
          </cell>
          <cell r="F101">
            <v>28.5</v>
          </cell>
          <cell r="G101" t="str">
            <v>AHS</v>
          </cell>
          <cell r="H101" t="str">
            <v>Western Asia</v>
          </cell>
          <cell r="I101" t="str">
            <v>Asia</v>
          </cell>
        </row>
        <row r="102">
          <cell r="A102" t="str">
            <v>Syrian Arab Republic</v>
          </cell>
          <cell r="B102">
            <v>1993</v>
          </cell>
          <cell r="C102" t="str">
            <v>15-49</v>
          </cell>
          <cell r="D102" t="str">
            <v>MW</v>
          </cell>
          <cell r="E102">
            <v>36.1</v>
          </cell>
          <cell r="F102">
            <v>28.3</v>
          </cell>
          <cell r="G102" t="str">
            <v>AHS</v>
          </cell>
          <cell r="H102" t="str">
            <v>Western Asia</v>
          </cell>
          <cell r="I102" t="str">
            <v>Asia</v>
          </cell>
        </row>
        <row r="103">
          <cell r="A103" t="str">
            <v>Turkey</v>
          </cell>
          <cell r="B103">
            <v>1998</v>
          </cell>
          <cell r="C103" t="str">
            <v>15-49</v>
          </cell>
          <cell r="D103" t="str">
            <v>MW</v>
          </cell>
          <cell r="E103">
            <v>63.9</v>
          </cell>
          <cell r="F103">
            <v>37.700000000000003</v>
          </cell>
          <cell r="G103" t="str">
            <v>DHS</v>
          </cell>
          <cell r="H103" t="str">
            <v>Western Asia</v>
          </cell>
          <cell r="I103" t="str">
            <v>Asia</v>
          </cell>
        </row>
        <row r="104">
          <cell r="A104" t="str">
            <v>United Arab Emirates</v>
          </cell>
          <cell r="B104">
            <v>1995</v>
          </cell>
          <cell r="C104" t="str">
            <v>15-49</v>
          </cell>
          <cell r="D104" t="str">
            <v>MW</v>
          </cell>
          <cell r="E104">
            <v>27.5</v>
          </cell>
          <cell r="F104">
            <v>23.6</v>
          </cell>
          <cell r="G104" t="str">
            <v>AHS</v>
          </cell>
          <cell r="H104" t="str">
            <v>Western Asia</v>
          </cell>
          <cell r="I104" t="str">
            <v>Asia</v>
          </cell>
        </row>
        <row r="105">
          <cell r="A105" t="str">
            <v>Yemen</v>
          </cell>
          <cell r="B105">
            <v>1997</v>
          </cell>
          <cell r="C105" t="str">
            <v>15-49</v>
          </cell>
          <cell r="D105" t="str">
            <v>MW</v>
          </cell>
          <cell r="E105">
            <v>20.8</v>
          </cell>
          <cell r="F105">
            <v>9.8000000000000007</v>
          </cell>
          <cell r="G105" t="str">
            <v>DHS</v>
          </cell>
          <cell r="H105" t="str">
            <v>Western Asia</v>
          </cell>
          <cell r="I105" t="str">
            <v>Asia</v>
          </cell>
        </row>
        <row r="108">
          <cell r="A108" t="str">
            <v>Belarus</v>
          </cell>
          <cell r="B108">
            <v>1995</v>
          </cell>
          <cell r="C108" t="str">
            <v>18-34</v>
          </cell>
          <cell r="D108" t="str">
            <v>MW</v>
          </cell>
          <cell r="E108">
            <v>50.4</v>
          </cell>
          <cell r="F108">
            <v>42.1</v>
          </cell>
          <cell r="G108" t="str">
            <v>TPI</v>
          </cell>
          <cell r="H108" t="str">
            <v>Eastern Europe</v>
          </cell>
          <cell r="I108" t="str">
            <v>Europe</v>
          </cell>
        </row>
        <row r="109">
          <cell r="A109" t="str">
            <v>Bulgaria</v>
          </cell>
          <cell r="B109">
            <v>1995</v>
          </cell>
          <cell r="C109" t="str">
            <v>15-44</v>
          </cell>
          <cell r="D109" t="str">
            <v>MW</v>
          </cell>
          <cell r="E109">
            <v>85.9</v>
          </cell>
          <cell r="F109">
            <v>45.6</v>
          </cell>
          <cell r="G109" t="str">
            <v>FFS</v>
          </cell>
          <cell r="H109" t="str">
            <v>Eastern Europe</v>
          </cell>
          <cell r="I109" t="str">
            <v>Europe</v>
          </cell>
        </row>
        <row r="110">
          <cell r="A110" t="str">
            <v>Czech Republic</v>
          </cell>
          <cell r="B110">
            <v>1993</v>
          </cell>
          <cell r="C110" t="str">
            <v>15-44</v>
          </cell>
          <cell r="D110" t="str">
            <v>MW</v>
          </cell>
          <cell r="E110">
            <v>68.900000000000006</v>
          </cell>
          <cell r="F110">
            <v>44.9</v>
          </cell>
          <cell r="G110" t="str">
            <v>CDC</v>
          </cell>
          <cell r="H110" t="str">
            <v>Eastern Europe</v>
          </cell>
          <cell r="I110" t="str">
            <v>Europe</v>
          </cell>
        </row>
        <row r="111">
          <cell r="A111" t="str">
            <v>Hungary</v>
          </cell>
          <cell r="B111">
            <v>1993</v>
          </cell>
          <cell r="C111" t="str">
            <v>18-41</v>
          </cell>
          <cell r="D111" t="str">
            <v>MW</v>
          </cell>
          <cell r="E111">
            <v>77.400000000000006</v>
          </cell>
          <cell r="F111">
            <v>68.400000000000006</v>
          </cell>
          <cell r="G111" t="str">
            <v>FFS</v>
          </cell>
          <cell r="H111" t="str">
            <v>Eastern Europe</v>
          </cell>
          <cell r="I111" t="str">
            <v>Europe</v>
          </cell>
        </row>
        <row r="112">
          <cell r="A112" t="str">
            <v>Poland</v>
          </cell>
          <cell r="B112">
            <v>1991</v>
          </cell>
          <cell r="C112" t="str">
            <v>20-49</v>
          </cell>
          <cell r="D112" t="str">
            <v>MW</v>
          </cell>
          <cell r="E112">
            <v>49.4</v>
          </cell>
          <cell r="F112">
            <v>19</v>
          </cell>
          <cell r="G112" t="str">
            <v>FFS</v>
          </cell>
          <cell r="H112" t="str">
            <v>Eastern Europe</v>
          </cell>
          <cell r="I112" t="str">
            <v>Europe</v>
          </cell>
        </row>
        <row r="113">
          <cell r="A113" t="str">
            <v>Republic of Moldova</v>
          </cell>
          <cell r="B113">
            <v>1997</v>
          </cell>
          <cell r="C113" t="str">
            <v>15-44</v>
          </cell>
          <cell r="D113" t="str">
            <v>MW</v>
          </cell>
          <cell r="E113">
            <v>73.7</v>
          </cell>
          <cell r="F113">
            <v>50</v>
          </cell>
          <cell r="G113" t="str">
            <v>CDC</v>
          </cell>
          <cell r="H113" t="str">
            <v>Eastern Europe</v>
          </cell>
          <cell r="I113" t="str">
            <v>Europe</v>
          </cell>
        </row>
        <row r="114">
          <cell r="A114" t="str">
            <v>Romania</v>
          </cell>
          <cell r="B114">
            <v>1999</v>
          </cell>
          <cell r="C114" t="str">
            <v>15-44</v>
          </cell>
          <cell r="D114" t="str">
            <v>MW</v>
          </cell>
          <cell r="E114">
            <v>63.8</v>
          </cell>
          <cell r="F114">
            <v>29.5</v>
          </cell>
          <cell r="G114" t="str">
            <v>CDC</v>
          </cell>
          <cell r="H114" t="str">
            <v>Eastern Europe</v>
          </cell>
          <cell r="I114" t="str">
            <v>Europe</v>
          </cell>
        </row>
        <row r="115">
          <cell r="A115" t="str">
            <v>Slovakia</v>
          </cell>
          <cell r="B115">
            <v>1991</v>
          </cell>
          <cell r="C115" t="str">
            <v>15-44</v>
          </cell>
          <cell r="D115" t="str">
            <v>MW</v>
          </cell>
          <cell r="E115">
            <v>74</v>
          </cell>
          <cell r="F115">
            <v>41</v>
          </cell>
          <cell r="G115" t="str">
            <v>RES</v>
          </cell>
          <cell r="H115" t="str">
            <v>Eastern Europe</v>
          </cell>
          <cell r="I115" t="str">
            <v>Europe</v>
          </cell>
        </row>
        <row r="116">
          <cell r="A116" t="str">
            <v>Ukraine</v>
          </cell>
          <cell r="B116">
            <v>1999</v>
          </cell>
          <cell r="C116" t="str">
            <v>15-44</v>
          </cell>
          <cell r="D116" t="str">
            <v>MW</v>
          </cell>
          <cell r="E116">
            <v>67.5</v>
          </cell>
          <cell r="F116">
            <v>37.6</v>
          </cell>
          <cell r="G116" t="str">
            <v>CDC</v>
          </cell>
          <cell r="H116" t="str">
            <v>Eastern Europe</v>
          </cell>
          <cell r="I116" t="str">
            <v>Europe</v>
          </cell>
        </row>
        <row r="119">
          <cell r="A119" t="str">
            <v>Denmark</v>
          </cell>
          <cell r="B119">
            <v>1988</v>
          </cell>
          <cell r="C119" t="str">
            <v>15-44</v>
          </cell>
          <cell r="D119" t="str">
            <v>MW</v>
          </cell>
          <cell r="E119">
            <v>78</v>
          </cell>
          <cell r="F119">
            <v>72</v>
          </cell>
          <cell r="G119" t="str">
            <v>RES</v>
          </cell>
          <cell r="H119" t="str">
            <v>Northern Europe</v>
          </cell>
          <cell r="I119" t="str">
            <v>Europe</v>
          </cell>
        </row>
        <row r="120">
          <cell r="A120" t="str">
            <v>Estonia</v>
          </cell>
          <cell r="B120">
            <v>1994</v>
          </cell>
          <cell r="C120" t="str">
            <v>20-49</v>
          </cell>
          <cell r="D120" t="str">
            <v>MW</v>
          </cell>
          <cell r="E120">
            <v>70.3</v>
          </cell>
          <cell r="F120">
            <v>56.4</v>
          </cell>
          <cell r="G120" t="str">
            <v>FFS</v>
          </cell>
          <cell r="H120" t="str">
            <v>Northern Europe</v>
          </cell>
          <cell r="I120" t="str">
            <v>Europe</v>
          </cell>
        </row>
        <row r="121">
          <cell r="A121" t="str">
            <v>Finland</v>
          </cell>
          <cell r="B121">
            <v>1989</v>
          </cell>
          <cell r="C121" t="str">
            <v>25-49</v>
          </cell>
          <cell r="D121" t="str">
            <v>MW</v>
          </cell>
          <cell r="E121">
            <v>77.400000000000006</v>
          </cell>
          <cell r="F121">
            <v>75.400000000000006</v>
          </cell>
          <cell r="G121" t="str">
            <v>FFS</v>
          </cell>
          <cell r="H121" t="str">
            <v>Northern Europe</v>
          </cell>
          <cell r="I121" t="str">
            <v>Europe</v>
          </cell>
        </row>
        <row r="122">
          <cell r="A122" t="str">
            <v>Latvia</v>
          </cell>
          <cell r="B122">
            <v>1995</v>
          </cell>
          <cell r="C122" t="str">
            <v>18-49</v>
          </cell>
          <cell r="D122" t="str">
            <v>MW</v>
          </cell>
          <cell r="E122">
            <v>48</v>
          </cell>
          <cell r="F122">
            <v>39.299999999999997</v>
          </cell>
          <cell r="G122" t="str">
            <v>FFS</v>
          </cell>
          <cell r="H122" t="str">
            <v>Northern Europe</v>
          </cell>
          <cell r="I122" t="str">
            <v>Europe</v>
          </cell>
        </row>
        <row r="123">
          <cell r="A123" t="str">
            <v>Lithuania</v>
          </cell>
          <cell r="B123">
            <v>1995</v>
          </cell>
          <cell r="C123" t="str">
            <v>18-49</v>
          </cell>
          <cell r="D123" t="str">
            <v>MW</v>
          </cell>
          <cell r="E123">
            <v>58.5</v>
          </cell>
          <cell r="F123">
            <v>40.200000000000003</v>
          </cell>
          <cell r="G123" t="str">
            <v>FFS</v>
          </cell>
          <cell r="H123" t="str">
            <v>Northern Europe</v>
          </cell>
          <cell r="I123" t="str">
            <v>Europe</v>
          </cell>
        </row>
        <row r="124">
          <cell r="A124" t="str">
            <v>Norway</v>
          </cell>
          <cell r="B124">
            <v>1989</v>
          </cell>
          <cell r="C124" t="str">
            <v>BCO</v>
          </cell>
          <cell r="D124" t="str">
            <v>MW</v>
          </cell>
          <cell r="E124">
            <v>73.8</v>
          </cell>
          <cell r="F124">
            <v>69.2</v>
          </cell>
          <cell r="G124" t="str">
            <v>FFS</v>
          </cell>
          <cell r="H124" t="str">
            <v>Northern Europe</v>
          </cell>
          <cell r="I124" t="str">
            <v>Europe</v>
          </cell>
        </row>
        <row r="125">
          <cell r="A125" t="str">
            <v>Sweden</v>
          </cell>
          <cell r="B125">
            <v>1981</v>
          </cell>
          <cell r="C125" t="str">
            <v>20-44</v>
          </cell>
          <cell r="D125" t="str">
            <v>MW</v>
          </cell>
          <cell r="E125">
            <v>78</v>
          </cell>
          <cell r="F125">
            <v>72</v>
          </cell>
          <cell r="G125" t="str">
            <v>FFS</v>
          </cell>
          <cell r="H125" t="str">
            <v>Northern Europe</v>
          </cell>
          <cell r="I125" t="str">
            <v>Europe</v>
          </cell>
        </row>
        <row r="126">
          <cell r="A126" t="str">
            <v>United Kingdom</v>
          </cell>
          <cell r="B126">
            <v>1993</v>
          </cell>
          <cell r="C126" t="str">
            <v>16-49</v>
          </cell>
          <cell r="D126" t="str">
            <v>MW</v>
          </cell>
          <cell r="E126">
            <v>82</v>
          </cell>
          <cell r="F126">
            <v>82</v>
          </cell>
          <cell r="G126" t="str">
            <v>TPI</v>
          </cell>
          <cell r="H126" t="str">
            <v>Northern Europe</v>
          </cell>
          <cell r="I126" t="str">
            <v>Europe</v>
          </cell>
        </row>
        <row r="129">
          <cell r="A129" t="str">
            <v>Italy</v>
          </cell>
          <cell r="B129">
            <v>1996</v>
          </cell>
          <cell r="C129" t="str">
            <v>20-49</v>
          </cell>
          <cell r="D129" t="str">
            <v>MW</v>
          </cell>
          <cell r="E129">
            <v>60.2</v>
          </cell>
          <cell r="F129">
            <v>38.9</v>
          </cell>
          <cell r="G129" t="str">
            <v>FFS</v>
          </cell>
          <cell r="H129" t="str">
            <v>Southern Europe</v>
          </cell>
          <cell r="I129" t="str">
            <v>Europe</v>
          </cell>
        </row>
        <row r="130">
          <cell r="A130" t="str">
            <v>Portugal</v>
          </cell>
          <cell r="B130">
            <v>1980</v>
          </cell>
          <cell r="C130" t="str">
            <v>15-49</v>
          </cell>
          <cell r="D130" t="str">
            <v>MW</v>
          </cell>
          <cell r="E130">
            <v>66.3</v>
          </cell>
          <cell r="F130">
            <v>32.799999999999997</v>
          </cell>
          <cell r="G130" t="str">
            <v>WFS</v>
          </cell>
          <cell r="H130" t="str">
            <v>Southern Europe</v>
          </cell>
          <cell r="I130" t="str">
            <v>Europe</v>
          </cell>
        </row>
        <row r="131">
          <cell r="A131" t="str">
            <v>Spain</v>
          </cell>
          <cell r="B131">
            <v>1995</v>
          </cell>
          <cell r="C131" t="str">
            <v>18-49</v>
          </cell>
          <cell r="D131" t="str">
            <v>MW</v>
          </cell>
          <cell r="E131">
            <v>80.900000000000006</v>
          </cell>
          <cell r="F131">
            <v>67.400000000000006</v>
          </cell>
          <cell r="G131" t="str">
            <v>FFS</v>
          </cell>
          <cell r="H131" t="str">
            <v>Southern Europe</v>
          </cell>
          <cell r="I131" t="str">
            <v>Europe</v>
          </cell>
        </row>
        <row r="132">
          <cell r="A132" t="str">
            <v>Yugoslavia</v>
          </cell>
          <cell r="B132">
            <v>1976</v>
          </cell>
          <cell r="C132" t="str">
            <v>&lt;45</v>
          </cell>
          <cell r="D132" t="str">
            <v>MW</v>
          </cell>
          <cell r="E132">
            <v>55</v>
          </cell>
          <cell r="F132">
            <v>12</v>
          </cell>
          <cell r="G132" t="str">
            <v>WFS</v>
          </cell>
          <cell r="H132" t="str">
            <v>Southern Europe</v>
          </cell>
          <cell r="I132" t="str">
            <v>Europe</v>
          </cell>
        </row>
        <row r="135">
          <cell r="A135" t="str">
            <v>Austria</v>
          </cell>
          <cell r="B135">
            <v>1996</v>
          </cell>
          <cell r="C135" t="str">
            <v>20-49</v>
          </cell>
          <cell r="D135" t="str">
            <v>MW</v>
          </cell>
          <cell r="E135">
            <v>50.8</v>
          </cell>
          <cell r="F135">
            <v>46.8</v>
          </cell>
          <cell r="G135" t="str">
            <v>FFS</v>
          </cell>
          <cell r="H135" t="str">
            <v>Western Europe</v>
          </cell>
          <cell r="I135" t="str">
            <v>Europe</v>
          </cell>
        </row>
        <row r="136">
          <cell r="A136" t="str">
            <v>Belgium</v>
          </cell>
          <cell r="B136">
            <v>1992</v>
          </cell>
          <cell r="C136" t="str">
            <v>21-39</v>
          </cell>
          <cell r="D136" t="str">
            <v>MW</v>
          </cell>
          <cell r="E136">
            <v>78.400000000000006</v>
          </cell>
          <cell r="F136">
            <v>74.3</v>
          </cell>
          <cell r="G136" t="str">
            <v>FFS</v>
          </cell>
          <cell r="H136" t="str">
            <v>Western Europe</v>
          </cell>
          <cell r="I136" t="str">
            <v>Europe</v>
          </cell>
        </row>
        <row r="137">
          <cell r="A137" t="str">
            <v>France</v>
          </cell>
          <cell r="B137">
            <v>1994</v>
          </cell>
          <cell r="C137" t="str">
            <v>20-49</v>
          </cell>
          <cell r="D137" t="str">
            <v>MW</v>
          </cell>
          <cell r="E137">
            <v>74.599999999999994</v>
          </cell>
          <cell r="F137">
            <v>69.3</v>
          </cell>
          <cell r="G137" t="str">
            <v>FFS</v>
          </cell>
          <cell r="H137" t="str">
            <v>Western Europe</v>
          </cell>
          <cell r="I137" t="str">
            <v>Europe</v>
          </cell>
        </row>
        <row r="138">
          <cell r="A138" t="str">
            <v>Germany</v>
          </cell>
          <cell r="B138">
            <v>1992</v>
          </cell>
          <cell r="C138" t="str">
            <v>20-39</v>
          </cell>
          <cell r="D138" t="str">
            <v>MW</v>
          </cell>
          <cell r="E138">
            <v>74.7</v>
          </cell>
          <cell r="F138">
            <v>71.8</v>
          </cell>
          <cell r="G138" t="str">
            <v>TPI</v>
          </cell>
          <cell r="H138" t="str">
            <v>Western Europe</v>
          </cell>
          <cell r="I138" t="str">
            <v>Europe</v>
          </cell>
        </row>
        <row r="139">
          <cell r="A139" t="str">
            <v>Netherlands</v>
          </cell>
          <cell r="B139">
            <v>1993</v>
          </cell>
          <cell r="C139" t="str">
            <v>18-42</v>
          </cell>
          <cell r="D139" t="str">
            <v>MW</v>
          </cell>
          <cell r="E139">
            <v>78.5</v>
          </cell>
          <cell r="F139">
            <v>75.599999999999994</v>
          </cell>
          <cell r="G139" t="str">
            <v>FFS</v>
          </cell>
          <cell r="H139" t="str">
            <v>Western Europe</v>
          </cell>
          <cell r="I139" t="str">
            <v>Europe</v>
          </cell>
        </row>
        <row r="140">
          <cell r="A140" t="str">
            <v>Switzerland</v>
          </cell>
          <cell r="B140">
            <v>1995</v>
          </cell>
          <cell r="C140" t="str">
            <v>20-49</v>
          </cell>
          <cell r="D140" t="str">
            <v>MW</v>
          </cell>
          <cell r="E140">
            <v>82</v>
          </cell>
          <cell r="F140">
            <v>77.5</v>
          </cell>
          <cell r="G140" t="str">
            <v>FFS</v>
          </cell>
          <cell r="H140" t="str">
            <v>Western Europe</v>
          </cell>
          <cell r="I140" t="str">
            <v>Europe</v>
          </cell>
        </row>
        <row r="143">
          <cell r="A143" t="str">
            <v>Antigua and Barbuda</v>
          </cell>
          <cell r="B143">
            <v>1988</v>
          </cell>
          <cell r="C143" t="str">
            <v>15-44</v>
          </cell>
          <cell r="D143" t="str">
            <v>MW</v>
          </cell>
          <cell r="E143">
            <v>52.6</v>
          </cell>
          <cell r="F143">
            <v>50.6</v>
          </cell>
          <cell r="G143" t="str">
            <v>CPS</v>
          </cell>
          <cell r="H143" t="str">
            <v>Caribbean</v>
          </cell>
          <cell r="I143" t="str">
            <v>Latin America and the Caribbean</v>
          </cell>
        </row>
        <row r="144">
          <cell r="A144" t="str">
            <v>Bahamas</v>
          </cell>
          <cell r="B144">
            <v>1988</v>
          </cell>
          <cell r="C144" t="str">
            <v>15-44</v>
          </cell>
          <cell r="D144" t="str">
            <v>MW</v>
          </cell>
          <cell r="E144">
            <v>61.7</v>
          </cell>
          <cell r="F144">
            <v>60.1</v>
          </cell>
          <cell r="G144" t="str">
            <v>CPS</v>
          </cell>
          <cell r="H144" t="str">
            <v>Caribbean</v>
          </cell>
          <cell r="I144" t="str">
            <v>Latin America and the Caribbean</v>
          </cell>
        </row>
        <row r="145">
          <cell r="A145" t="str">
            <v>Barbados</v>
          </cell>
          <cell r="B145">
            <v>1988</v>
          </cell>
          <cell r="C145" t="str">
            <v>15-44</v>
          </cell>
          <cell r="D145" t="str">
            <v>MW</v>
          </cell>
          <cell r="E145">
            <v>55</v>
          </cell>
          <cell r="F145">
            <v>53.2</v>
          </cell>
          <cell r="G145" t="str">
            <v>CPS</v>
          </cell>
          <cell r="H145" t="str">
            <v>Caribbean</v>
          </cell>
          <cell r="I145" t="str">
            <v>Latin America and the Caribbean</v>
          </cell>
        </row>
        <row r="146">
          <cell r="A146" t="str">
            <v>Cuba</v>
          </cell>
          <cell r="B146">
            <v>1987</v>
          </cell>
          <cell r="C146" t="str">
            <v>15-49</v>
          </cell>
          <cell r="D146" t="str">
            <v>MW</v>
          </cell>
          <cell r="E146">
            <v>70</v>
          </cell>
          <cell r="F146">
            <v>67</v>
          </cell>
          <cell r="G146" t="str">
            <v>RES</v>
          </cell>
          <cell r="H146" t="str">
            <v>Caribbean</v>
          </cell>
          <cell r="I146" t="str">
            <v>Latin America and the Caribbean</v>
          </cell>
        </row>
        <row r="147">
          <cell r="A147" t="str">
            <v>Dominica</v>
          </cell>
          <cell r="B147">
            <v>1987</v>
          </cell>
          <cell r="C147" t="str">
            <v>15-44</v>
          </cell>
          <cell r="D147" t="str">
            <v>MW</v>
          </cell>
          <cell r="E147">
            <v>49.8</v>
          </cell>
          <cell r="F147">
            <v>48.2</v>
          </cell>
          <cell r="G147" t="str">
            <v>CPS</v>
          </cell>
          <cell r="H147" t="str">
            <v>Caribbean</v>
          </cell>
          <cell r="I147" t="str">
            <v>Latin America and the Caribbean</v>
          </cell>
        </row>
        <row r="148">
          <cell r="A148" t="str">
            <v>Dominican Republic</v>
          </cell>
          <cell r="B148">
            <v>1996</v>
          </cell>
          <cell r="C148" t="str">
            <v>15-49</v>
          </cell>
          <cell r="D148" t="str">
            <v>MW</v>
          </cell>
          <cell r="E148">
            <v>63.7</v>
          </cell>
          <cell r="F148">
            <v>59.2</v>
          </cell>
          <cell r="G148" t="str">
            <v>DHS</v>
          </cell>
          <cell r="H148" t="str">
            <v>Caribbean</v>
          </cell>
          <cell r="I148" t="str">
            <v>Latin America and the Caribbean</v>
          </cell>
        </row>
        <row r="149">
          <cell r="A149" t="str">
            <v>Grenada</v>
          </cell>
          <cell r="B149">
            <v>1990</v>
          </cell>
          <cell r="C149" t="str">
            <v>15-44</v>
          </cell>
          <cell r="D149" t="str">
            <v>MW</v>
          </cell>
          <cell r="E149">
            <v>54.3</v>
          </cell>
          <cell r="F149">
            <v>999</v>
          </cell>
          <cell r="G149" t="str">
            <v>RES</v>
          </cell>
          <cell r="H149" t="str">
            <v>Caribbean</v>
          </cell>
          <cell r="I149" t="str">
            <v>Latin America and the Caribbean</v>
          </cell>
        </row>
        <row r="150">
          <cell r="A150" t="str">
            <v>Guadeloupe</v>
          </cell>
          <cell r="B150">
            <v>1976</v>
          </cell>
          <cell r="C150" t="str">
            <v>15-44</v>
          </cell>
          <cell r="D150" t="str">
            <v>MW</v>
          </cell>
          <cell r="E150">
            <v>43.6</v>
          </cell>
          <cell r="F150">
            <v>30.5</v>
          </cell>
          <cell r="G150" t="str">
            <v>RES</v>
          </cell>
          <cell r="H150" t="str">
            <v>Caribbean</v>
          </cell>
          <cell r="I150" t="str">
            <v>Latin America and the Caribbean</v>
          </cell>
        </row>
        <row r="151">
          <cell r="A151" t="str">
            <v>Haiti</v>
          </cell>
          <cell r="B151">
            <v>2000</v>
          </cell>
          <cell r="C151" t="str">
            <v>15-49</v>
          </cell>
          <cell r="D151" t="str">
            <v>MW</v>
          </cell>
          <cell r="E151">
            <v>28.1</v>
          </cell>
          <cell r="F151">
            <v>22.3</v>
          </cell>
          <cell r="G151" t="str">
            <v>DHS</v>
          </cell>
          <cell r="H151" t="str">
            <v>Caribbean</v>
          </cell>
          <cell r="I151" t="str">
            <v>Latin America and the Caribbean</v>
          </cell>
        </row>
        <row r="152">
          <cell r="A152" t="str">
            <v>Jamaica</v>
          </cell>
          <cell r="B152">
            <v>1997</v>
          </cell>
          <cell r="C152" t="str">
            <v>15-49</v>
          </cell>
          <cell r="D152" t="str">
            <v>MW</v>
          </cell>
          <cell r="E152">
            <v>65.900000000000006</v>
          </cell>
          <cell r="F152">
            <v>62.6</v>
          </cell>
          <cell r="G152" t="str">
            <v>CDC</v>
          </cell>
          <cell r="H152" t="str">
            <v>Caribbean</v>
          </cell>
          <cell r="I152" t="str">
            <v>Latin America and the Caribbean</v>
          </cell>
        </row>
        <row r="153">
          <cell r="A153" t="str">
            <v>Martinique</v>
          </cell>
          <cell r="B153">
            <v>1976</v>
          </cell>
          <cell r="C153" t="str">
            <v>15-44</v>
          </cell>
          <cell r="D153" t="str">
            <v>MW</v>
          </cell>
          <cell r="E153">
            <v>51.3</v>
          </cell>
          <cell r="F153">
            <v>37.9</v>
          </cell>
          <cell r="G153" t="str">
            <v>FHS</v>
          </cell>
          <cell r="H153" t="str">
            <v>Caribbean</v>
          </cell>
          <cell r="I153" t="str">
            <v>Latin America and the Caribbean</v>
          </cell>
        </row>
        <row r="154">
          <cell r="A154" t="str">
            <v>Montserrat</v>
          </cell>
          <cell r="B154">
            <v>1984</v>
          </cell>
          <cell r="C154" t="str">
            <v>15-44</v>
          </cell>
          <cell r="D154" t="str">
            <v>MW</v>
          </cell>
          <cell r="E154">
            <v>52.6</v>
          </cell>
          <cell r="F154">
            <v>52.2</v>
          </cell>
          <cell r="G154" t="str">
            <v>CPS</v>
          </cell>
          <cell r="H154" t="str">
            <v>Caribbean</v>
          </cell>
          <cell r="I154" t="str">
            <v>Latin America and the Caribbean</v>
          </cell>
        </row>
        <row r="155">
          <cell r="A155" t="str">
            <v>Puerto Rico</v>
          </cell>
          <cell r="B155">
            <v>1996</v>
          </cell>
          <cell r="C155" t="str">
            <v>15-49</v>
          </cell>
          <cell r="D155" t="str">
            <v>MW</v>
          </cell>
          <cell r="E155">
            <v>77.7</v>
          </cell>
          <cell r="F155">
            <v>67.599999999999994</v>
          </cell>
          <cell r="G155" t="str">
            <v>CDC</v>
          </cell>
          <cell r="H155" t="str">
            <v>Caribbean</v>
          </cell>
          <cell r="I155" t="str">
            <v>Latin America and the Caribbean</v>
          </cell>
        </row>
        <row r="156">
          <cell r="A156" t="str">
            <v>Saint Kitts and Nevis</v>
          </cell>
          <cell r="B156">
            <v>1984</v>
          </cell>
          <cell r="C156" t="str">
            <v>15-44</v>
          </cell>
          <cell r="D156" t="str">
            <v>MW</v>
          </cell>
          <cell r="E156">
            <v>40.6</v>
          </cell>
          <cell r="F156">
            <v>37</v>
          </cell>
          <cell r="G156" t="str">
            <v>CPS</v>
          </cell>
          <cell r="H156" t="str">
            <v>Caribbean</v>
          </cell>
          <cell r="I156" t="str">
            <v>Latin America and the Caribbean</v>
          </cell>
        </row>
        <row r="157">
          <cell r="A157" t="str">
            <v>Saint Lucia</v>
          </cell>
          <cell r="B157">
            <v>1988</v>
          </cell>
          <cell r="C157" t="str">
            <v>15-44</v>
          </cell>
          <cell r="D157" t="str">
            <v>MW</v>
          </cell>
          <cell r="E157">
            <v>47.3</v>
          </cell>
          <cell r="F157">
            <v>46.1</v>
          </cell>
          <cell r="G157" t="str">
            <v>CPS</v>
          </cell>
          <cell r="H157" t="str">
            <v>Caribbean</v>
          </cell>
          <cell r="I157" t="str">
            <v>Latin America and the Caribbean</v>
          </cell>
        </row>
        <row r="158">
          <cell r="A158" t="str">
            <v>Saint Vincent and the Grenadines</v>
          </cell>
          <cell r="B158">
            <v>1988</v>
          </cell>
          <cell r="C158" t="str">
            <v>15-44</v>
          </cell>
          <cell r="D158" t="str">
            <v>MW</v>
          </cell>
          <cell r="E158">
            <v>58.3</v>
          </cell>
          <cell r="F158">
            <v>54.6</v>
          </cell>
          <cell r="G158" t="str">
            <v>CPS</v>
          </cell>
          <cell r="H158" t="str">
            <v>Caribbean</v>
          </cell>
          <cell r="I158" t="str">
            <v>Latin America and the Caribbean</v>
          </cell>
        </row>
        <row r="159">
          <cell r="A159" t="str">
            <v>Trinidad and Tobago</v>
          </cell>
          <cell r="B159">
            <v>1987</v>
          </cell>
          <cell r="C159" t="str">
            <v>15-49</v>
          </cell>
          <cell r="D159" t="str">
            <v>MW</v>
          </cell>
          <cell r="E159">
            <v>52.7</v>
          </cell>
          <cell r="F159">
            <v>44.4</v>
          </cell>
          <cell r="G159" t="str">
            <v>DHS</v>
          </cell>
          <cell r="H159" t="str">
            <v>Caribbean</v>
          </cell>
          <cell r="I159" t="str">
            <v>Latin America and the Caribbean</v>
          </cell>
        </row>
        <row r="162">
          <cell r="A162" t="str">
            <v>Belize</v>
          </cell>
          <cell r="B162">
            <v>1991</v>
          </cell>
          <cell r="C162" t="str">
            <v>15-44</v>
          </cell>
          <cell r="D162" t="str">
            <v>MW</v>
          </cell>
          <cell r="E162">
            <v>46.7</v>
          </cell>
          <cell r="F162">
            <v>41.8</v>
          </cell>
          <cell r="G162" t="str">
            <v>CDC</v>
          </cell>
          <cell r="H162" t="str">
            <v>Central America</v>
          </cell>
          <cell r="I162" t="str">
            <v>Latin America and the Caribbean</v>
          </cell>
        </row>
        <row r="163">
          <cell r="A163" t="str">
            <v>Costa Rica</v>
          </cell>
          <cell r="B163">
            <v>1993</v>
          </cell>
          <cell r="C163" t="str">
            <v>15-49</v>
          </cell>
          <cell r="D163" t="str">
            <v>MW</v>
          </cell>
          <cell r="E163">
            <v>75</v>
          </cell>
          <cell r="F163">
            <v>64.599999999999994</v>
          </cell>
          <cell r="G163" t="str">
            <v>FHS</v>
          </cell>
          <cell r="H163" t="str">
            <v>Central America</v>
          </cell>
          <cell r="I163" t="str">
            <v>Latin America and the Caribbean</v>
          </cell>
        </row>
        <row r="164">
          <cell r="A164" t="str">
            <v>El Salvador</v>
          </cell>
          <cell r="B164">
            <v>1998</v>
          </cell>
          <cell r="C164" t="str">
            <v>15-44</v>
          </cell>
          <cell r="D164" t="str">
            <v>MW</v>
          </cell>
          <cell r="E164">
            <v>59.7</v>
          </cell>
          <cell r="F164">
            <v>54.1</v>
          </cell>
          <cell r="G164" t="str">
            <v>CDC</v>
          </cell>
          <cell r="H164" t="str">
            <v>Central America</v>
          </cell>
          <cell r="I164" t="str">
            <v>Latin America and the Caribbean</v>
          </cell>
        </row>
        <row r="165">
          <cell r="A165" t="str">
            <v>Guatemala</v>
          </cell>
          <cell r="B165">
            <v>1999</v>
          </cell>
          <cell r="C165" t="str">
            <v>15-49</v>
          </cell>
          <cell r="D165" t="str">
            <v>MW</v>
          </cell>
          <cell r="E165">
            <v>38.200000000000003</v>
          </cell>
          <cell r="F165">
            <v>30.9</v>
          </cell>
          <cell r="G165" t="str">
            <v>DHS</v>
          </cell>
          <cell r="H165" t="str">
            <v>Central America</v>
          </cell>
          <cell r="I165" t="str">
            <v>Latin America and the Caribbean</v>
          </cell>
        </row>
        <row r="166">
          <cell r="A166" t="str">
            <v>Honduras</v>
          </cell>
          <cell r="B166">
            <v>1996</v>
          </cell>
          <cell r="C166" t="str">
            <v>15-44</v>
          </cell>
          <cell r="D166" t="str">
            <v>MW</v>
          </cell>
          <cell r="E166">
            <v>50</v>
          </cell>
          <cell r="F166">
            <v>41</v>
          </cell>
          <cell r="G166" t="str">
            <v>CDC</v>
          </cell>
          <cell r="H166" t="str">
            <v>Central America</v>
          </cell>
          <cell r="I166" t="str">
            <v>Latin America and the Caribbean</v>
          </cell>
        </row>
        <row r="167">
          <cell r="A167" t="str">
            <v>Mexico</v>
          </cell>
          <cell r="B167">
            <v>1995</v>
          </cell>
          <cell r="C167" t="str">
            <v>15-49</v>
          </cell>
          <cell r="D167" t="str">
            <v>MW</v>
          </cell>
          <cell r="E167">
            <v>66.5</v>
          </cell>
          <cell r="F167">
            <v>57.5</v>
          </cell>
          <cell r="G167" t="str">
            <v>RES</v>
          </cell>
          <cell r="H167" t="str">
            <v>Central America</v>
          </cell>
          <cell r="I167" t="str">
            <v>Latin America and the Caribbean</v>
          </cell>
        </row>
        <row r="168">
          <cell r="A168" t="str">
            <v>Nicaragua</v>
          </cell>
          <cell r="B168">
            <v>1998</v>
          </cell>
          <cell r="C168" t="str">
            <v>15-49</v>
          </cell>
          <cell r="D168" t="str">
            <v>MW</v>
          </cell>
          <cell r="E168">
            <v>60.3</v>
          </cell>
          <cell r="F168">
            <v>57.4</v>
          </cell>
          <cell r="G168" t="str">
            <v>DHS</v>
          </cell>
          <cell r="H168" t="str">
            <v>Central America</v>
          </cell>
          <cell r="I168" t="str">
            <v>Latin America and the Caribbean</v>
          </cell>
        </row>
        <row r="169">
          <cell r="A169" t="str">
            <v>Panama</v>
          </cell>
          <cell r="B169">
            <v>1984</v>
          </cell>
          <cell r="C169" t="str">
            <v>15-44</v>
          </cell>
          <cell r="D169" t="str">
            <v>MW</v>
          </cell>
          <cell r="E169">
            <v>58.2</v>
          </cell>
          <cell r="F169">
            <v>54.2</v>
          </cell>
          <cell r="G169" t="str">
            <v>CDC</v>
          </cell>
          <cell r="H169" t="str">
            <v>Central America</v>
          </cell>
          <cell r="I169" t="str">
            <v>Latin America and the Caribbean</v>
          </cell>
        </row>
        <row r="172">
          <cell r="A172" t="str">
            <v>Bolivia</v>
          </cell>
          <cell r="B172">
            <v>1998</v>
          </cell>
          <cell r="C172" t="str">
            <v>15-49</v>
          </cell>
          <cell r="D172" t="str">
            <v>MW</v>
          </cell>
          <cell r="E172">
            <v>48.3</v>
          </cell>
          <cell r="F172">
            <v>25.2</v>
          </cell>
          <cell r="G172" t="str">
            <v>DHS</v>
          </cell>
          <cell r="H172" t="str">
            <v>South America</v>
          </cell>
          <cell r="I172" t="str">
            <v>Latin America and the Caribbean</v>
          </cell>
        </row>
        <row r="173">
          <cell r="A173" t="str">
            <v>Brazil</v>
          </cell>
          <cell r="B173">
            <v>1996</v>
          </cell>
          <cell r="C173" t="str">
            <v>15-49</v>
          </cell>
          <cell r="D173" t="str">
            <v>MW</v>
          </cell>
          <cell r="E173">
            <v>76.7</v>
          </cell>
          <cell r="F173">
            <v>70.3</v>
          </cell>
          <cell r="G173" t="str">
            <v>DHS</v>
          </cell>
          <cell r="H173" t="str">
            <v>South America</v>
          </cell>
          <cell r="I173" t="str">
            <v>Latin America and the Caribbean</v>
          </cell>
        </row>
        <row r="174">
          <cell r="A174" t="str">
            <v>Colombia</v>
          </cell>
          <cell r="B174">
            <v>2000</v>
          </cell>
          <cell r="C174" t="str">
            <v>15-49</v>
          </cell>
          <cell r="D174" t="str">
            <v>MW</v>
          </cell>
          <cell r="E174">
            <v>76.900000000000006</v>
          </cell>
          <cell r="F174">
            <v>64</v>
          </cell>
          <cell r="G174" t="str">
            <v>DHS</v>
          </cell>
          <cell r="H174" t="str">
            <v>South America</v>
          </cell>
          <cell r="I174" t="str">
            <v>Latin America and the Caribbean</v>
          </cell>
        </row>
        <row r="175">
          <cell r="A175" t="str">
            <v>Ecuador</v>
          </cell>
          <cell r="B175">
            <v>1999</v>
          </cell>
          <cell r="C175" t="str">
            <v>15-49</v>
          </cell>
          <cell r="D175" t="str">
            <v>MW</v>
          </cell>
          <cell r="E175">
            <v>65.8</v>
          </cell>
          <cell r="F175">
            <v>51.5</v>
          </cell>
          <cell r="G175" t="str">
            <v>CDC</v>
          </cell>
          <cell r="H175" t="str">
            <v>South America</v>
          </cell>
          <cell r="I175" t="str">
            <v>Latin America and the Caribbean</v>
          </cell>
        </row>
        <row r="176">
          <cell r="A176" t="str">
            <v>Guyana</v>
          </cell>
          <cell r="B176">
            <v>1975</v>
          </cell>
          <cell r="C176" t="str">
            <v>15-49</v>
          </cell>
          <cell r="D176" t="str">
            <v>MW</v>
          </cell>
          <cell r="E176">
            <v>31.4</v>
          </cell>
          <cell r="F176">
            <v>28.3</v>
          </cell>
          <cell r="G176" t="str">
            <v>WFS</v>
          </cell>
          <cell r="H176" t="str">
            <v>South America</v>
          </cell>
          <cell r="I176" t="str">
            <v>Latin America and the Caribbean</v>
          </cell>
        </row>
        <row r="177">
          <cell r="A177" t="str">
            <v>Paraguay</v>
          </cell>
          <cell r="B177">
            <v>1998</v>
          </cell>
          <cell r="C177" t="str">
            <v>15-44</v>
          </cell>
          <cell r="D177" t="str">
            <v>MW</v>
          </cell>
          <cell r="E177">
            <v>57.4</v>
          </cell>
          <cell r="F177">
            <v>47.7</v>
          </cell>
          <cell r="G177" t="str">
            <v>CDC</v>
          </cell>
          <cell r="H177" t="str">
            <v>South America</v>
          </cell>
          <cell r="I177" t="str">
            <v>Latin America and the Caribbean</v>
          </cell>
        </row>
        <row r="178">
          <cell r="A178" t="str">
            <v>Peru</v>
          </cell>
          <cell r="B178">
            <v>1996</v>
          </cell>
          <cell r="C178" t="str">
            <v>15-49</v>
          </cell>
          <cell r="D178" t="str">
            <v>MW</v>
          </cell>
          <cell r="E178">
            <v>64.2</v>
          </cell>
          <cell r="F178">
            <v>41.3</v>
          </cell>
          <cell r="G178" t="str">
            <v>DHS</v>
          </cell>
          <cell r="H178" t="str">
            <v>South America</v>
          </cell>
          <cell r="I178" t="str">
            <v>Latin America and the Caribbean</v>
          </cell>
        </row>
        <row r="179">
          <cell r="A179" t="str">
            <v>Venezuela</v>
          </cell>
          <cell r="B179">
            <v>1977</v>
          </cell>
          <cell r="C179" t="str">
            <v>15-44</v>
          </cell>
          <cell r="D179" t="str">
            <v>MW</v>
          </cell>
          <cell r="E179">
            <v>49.3</v>
          </cell>
          <cell r="F179">
            <v>37.700000000000003</v>
          </cell>
          <cell r="G179" t="str">
            <v>WFS</v>
          </cell>
          <cell r="H179" t="str">
            <v>South America</v>
          </cell>
          <cell r="I179" t="str">
            <v>Latin America and the Caribbean</v>
          </cell>
        </row>
        <row r="182">
          <cell r="A182" t="str">
            <v>Canada</v>
          </cell>
          <cell r="B182">
            <v>1995</v>
          </cell>
          <cell r="C182" t="str">
            <v>15-49</v>
          </cell>
          <cell r="D182" t="str">
            <v>MW</v>
          </cell>
          <cell r="E182">
            <v>74.7</v>
          </cell>
          <cell r="F182">
            <v>73.3</v>
          </cell>
          <cell r="G182" t="str">
            <v>FFS</v>
          </cell>
          <cell r="H182" t="str">
            <v>More Developed North America</v>
          </cell>
          <cell r="I182" t="str">
            <v>Northern America</v>
          </cell>
        </row>
        <row r="183">
          <cell r="A183" t="str">
            <v>United States of America</v>
          </cell>
          <cell r="B183">
            <v>1995</v>
          </cell>
          <cell r="C183" t="str">
            <v>15-44</v>
          </cell>
          <cell r="D183" t="str">
            <v>MW</v>
          </cell>
          <cell r="E183">
            <v>76.400000000000006</v>
          </cell>
          <cell r="F183">
            <v>70.5</v>
          </cell>
          <cell r="G183" t="str">
            <v>RES</v>
          </cell>
          <cell r="H183" t="str">
            <v>More Developed North America</v>
          </cell>
          <cell r="I183" t="str">
            <v>Northern America</v>
          </cell>
        </row>
        <row r="186">
          <cell r="A186" t="str">
            <v>Cook Islands</v>
          </cell>
          <cell r="B186">
            <v>1996</v>
          </cell>
          <cell r="C186" t="str">
            <v>15-49</v>
          </cell>
          <cell r="D186" t="str">
            <v>MW</v>
          </cell>
          <cell r="E186">
            <v>63.2</v>
          </cell>
          <cell r="F186">
            <v>60.4</v>
          </cell>
          <cell r="G186" t="str">
            <v>FHS</v>
          </cell>
          <cell r="H186" t="str">
            <v>Less Developed Oceania</v>
          </cell>
          <cell r="I186" t="str">
            <v>Oceania</v>
          </cell>
        </row>
        <row r="187">
          <cell r="A187" t="str">
            <v>Fiji</v>
          </cell>
          <cell r="B187">
            <v>1974</v>
          </cell>
          <cell r="C187" t="str">
            <v>15-49</v>
          </cell>
          <cell r="D187" t="str">
            <v>MW</v>
          </cell>
          <cell r="E187">
            <v>41</v>
          </cell>
          <cell r="F187">
            <v>35.1</v>
          </cell>
          <cell r="G187" t="str">
            <v>WFS</v>
          </cell>
          <cell r="H187" t="str">
            <v>Less Developed Oceania</v>
          </cell>
          <cell r="I187" t="str">
            <v>Oceania</v>
          </cell>
        </row>
        <row r="188">
          <cell r="A188" t="str">
            <v>Papua New Guinea</v>
          </cell>
          <cell r="B188">
            <v>1996</v>
          </cell>
          <cell r="C188" t="str">
            <v>15-49</v>
          </cell>
          <cell r="D188" t="str">
            <v>MW</v>
          </cell>
          <cell r="E188">
            <v>25.9</v>
          </cell>
          <cell r="F188">
            <v>19.600000000000001</v>
          </cell>
          <cell r="G188" t="str">
            <v>FHS</v>
          </cell>
          <cell r="H188" t="str">
            <v>Less Developed Oceania</v>
          </cell>
          <cell r="I188" t="str">
            <v>Oceania</v>
          </cell>
        </row>
        <row r="191">
          <cell r="A191" t="str">
            <v>Australia</v>
          </cell>
          <cell r="B191">
            <v>1986</v>
          </cell>
          <cell r="C191" t="str">
            <v>20-49</v>
          </cell>
          <cell r="D191" t="str">
            <v>MW</v>
          </cell>
          <cell r="E191">
            <v>76.099999999999994</v>
          </cell>
          <cell r="F191">
            <v>72.2</v>
          </cell>
          <cell r="G191" t="str">
            <v>RES</v>
          </cell>
          <cell r="H191" t="str">
            <v>More Developed Oceania</v>
          </cell>
          <cell r="I191" t="str">
            <v>Oceania</v>
          </cell>
        </row>
        <row r="192">
          <cell r="A192" t="str">
            <v>New Zealand</v>
          </cell>
          <cell r="B192">
            <v>1995</v>
          </cell>
          <cell r="C192" t="str">
            <v>20-49</v>
          </cell>
          <cell r="D192" t="str">
            <v>MW</v>
          </cell>
          <cell r="E192">
            <v>74.900000000000006</v>
          </cell>
          <cell r="F192">
            <v>72</v>
          </cell>
          <cell r="G192" t="str">
            <v>TPI</v>
          </cell>
          <cell r="H192" t="str">
            <v>More Developed Oceania</v>
          </cell>
          <cell r="I192" t="str">
            <v>Oceania</v>
          </cell>
        </row>
      </sheetData>
      <sheetData sheetId="1" refreshError="1"/>
      <sheetData sheetId="2"/>
      <sheetData sheetId="3" refreshError="1"/>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umptions"/>
      <sheetName val="Checklist_2020"/>
      <sheetName val="Funding"/>
      <sheetName val="Funding2"/>
      <sheetName val="Shareable"/>
      <sheetName val="Trends"/>
      <sheetName val="Maternity"/>
      <sheetName val="Paternity"/>
      <sheetName val="Parental_mothers"/>
      <sheetName val="Parental_fathers-only"/>
      <sheetName val="AvgWages"/>
      <sheetName val="CountryNames"/>
      <sheetName val="Checklist_2021"/>
      <sheetName val="Checklist_2022"/>
      <sheetName val="Checklist_2023"/>
    </sheetNames>
    <sheetDataSet>
      <sheetData sheetId="0"/>
      <sheetData sheetId="1"/>
      <sheetData sheetId="2"/>
      <sheetData sheetId="3"/>
      <sheetData sheetId="4"/>
      <sheetData sheetId="5"/>
      <sheetData sheetId="6"/>
      <sheetData sheetId="7"/>
      <sheetData sheetId="8"/>
      <sheetData sheetId="9">
        <row r="8">
          <cell r="A8" t="str">
            <v>Australia2014100 / 100</v>
          </cell>
          <cell r="B8" t="str">
            <v>Australia</v>
          </cell>
          <cell r="C8">
            <v>2014</v>
          </cell>
          <cell r="D8" t="str">
            <v>100 / 100</v>
          </cell>
          <cell r="E8">
            <v>79409</v>
          </cell>
          <cell r="F8">
            <v>6617.416666666667</v>
          </cell>
          <cell r="G8">
            <v>1527.1079008300064</v>
          </cell>
          <cell r="H8">
            <v>305.42158016600126</v>
          </cell>
          <cell r="I8">
            <v>79409</v>
          </cell>
          <cell r="J8">
            <v>6617.416666666667</v>
          </cell>
          <cell r="K8">
            <v>1527.1079008300064</v>
          </cell>
          <cell r="L8">
            <v>305.42158016600126</v>
          </cell>
          <cell r="M8" t="str">
            <v>..</v>
          </cell>
          <cell r="N8" t="str">
            <v>..</v>
          </cell>
          <cell r="O8" t="str">
            <v>..</v>
          </cell>
          <cell r="P8" t="str">
            <v>..</v>
          </cell>
          <cell r="Q8" t="str">
            <v>..</v>
          </cell>
          <cell r="R8" t="str">
            <v>..</v>
          </cell>
          <cell r="S8" t="str">
            <v>..</v>
          </cell>
          <cell r="T8" t="str">
            <v>..</v>
          </cell>
          <cell r="U8" t="str">
            <v>..</v>
          </cell>
          <cell r="V8">
            <v>50</v>
          </cell>
          <cell r="W8">
            <v>0</v>
          </cell>
          <cell r="X8">
            <v>50</v>
          </cell>
          <cell r="Y8" t="str">
            <v>-</v>
          </cell>
          <cell r="Z8" t="str">
            <v>Two weeks. Fathers are entitled to 12 months parental leave, but only two weeks are paid through 'Dad and Partner Pay'. The two 'Dad and Partner Pay' weeks are paid at the rate of the national minimum wage (currently AU$622.20 per week/AU$16.37 [€425/1666] per hour).</v>
          </cell>
          <cell r="AA8" t="str">
            <v>-</v>
          </cell>
          <cell r="AB8" t="str">
            <v>-</v>
          </cell>
          <cell r="AC8" t="str">
            <v>-</v>
          </cell>
          <cell r="AD8" t="str">
            <v>-</v>
          </cell>
          <cell r="AE8" t="str">
            <v>-</v>
          </cell>
          <cell r="AF8" t="str">
            <v>-</v>
          </cell>
          <cell r="AG8" t="str">
            <v>-</v>
          </cell>
          <cell r="AH8" t="str">
            <v>-</v>
          </cell>
          <cell r="AI8" t="str">
            <v>-</v>
          </cell>
          <cell r="AJ8" t="str">
            <v>-</v>
          </cell>
          <cell r="AK8" t="str">
            <v>-</v>
          </cell>
          <cell r="AL8" t="str">
            <v>-</v>
          </cell>
          <cell r="AM8" t="str">
            <v>-</v>
          </cell>
          <cell r="AN8" t="str">
            <v>-</v>
          </cell>
          <cell r="AO8" t="str">
            <v>-</v>
          </cell>
          <cell r="AP8" t="str">
            <v>-</v>
          </cell>
          <cell r="AQ8" t="str">
            <v>-</v>
          </cell>
          <cell r="AR8" t="str">
            <v>-</v>
          </cell>
          <cell r="AS8" t="str">
            <v>-</v>
          </cell>
          <cell r="AT8" t="str">
            <v>-</v>
          </cell>
          <cell r="AU8" t="str">
            <v>-</v>
          </cell>
          <cell r="AV8" t="str">
            <v>-</v>
          </cell>
          <cell r="AW8" t="str">
            <v>-</v>
          </cell>
          <cell r="AX8" t="str">
            <v>-</v>
          </cell>
          <cell r="AY8" t="str">
            <v>-</v>
          </cell>
          <cell r="AZ8" t="str">
            <v>-</v>
          </cell>
          <cell r="BA8" t="str">
            <v>-</v>
          </cell>
          <cell r="BB8" t="str">
            <v>-</v>
          </cell>
          <cell r="BC8" t="str">
            <v>-</v>
          </cell>
          <cell r="BD8" t="str">
            <v>-</v>
          </cell>
          <cell r="BE8" t="str">
            <v>-</v>
          </cell>
          <cell r="BF8" t="str">
            <v>-</v>
          </cell>
          <cell r="BG8" t="str">
            <v>-</v>
          </cell>
          <cell r="BH8" t="str">
            <v>-</v>
          </cell>
          <cell r="BI8" t="str">
            <v>-</v>
          </cell>
          <cell r="BJ8" t="str">
            <v>-</v>
          </cell>
          <cell r="BK8" t="str">
            <v>-</v>
          </cell>
          <cell r="BL8" t="str">
            <v>-</v>
          </cell>
          <cell r="BM8">
            <v>0</v>
          </cell>
          <cell r="BN8">
            <v>0</v>
          </cell>
          <cell r="BO8" t="str">
            <v>-</v>
          </cell>
          <cell r="BP8" t="str">
            <v>-</v>
          </cell>
          <cell r="BQ8">
            <v>0</v>
          </cell>
          <cell r="BR8">
            <v>0</v>
          </cell>
          <cell r="BS8">
            <v>0</v>
          </cell>
          <cell r="BT8">
            <v>0</v>
          </cell>
        </row>
        <row r="9">
          <cell r="A9" t="str">
            <v>Australia2015100 / 100</v>
          </cell>
          <cell r="B9" t="str">
            <v>Australia</v>
          </cell>
          <cell r="C9">
            <v>2015</v>
          </cell>
          <cell r="D9" t="str">
            <v>100 / 100</v>
          </cell>
          <cell r="E9">
            <v>80720</v>
          </cell>
          <cell r="F9">
            <v>6726.666666666667</v>
          </cell>
          <cell r="G9">
            <v>1552.3196332279479</v>
          </cell>
          <cell r="H9">
            <v>310.46392664558959</v>
          </cell>
          <cell r="I9">
            <v>80720</v>
          </cell>
          <cell r="J9">
            <v>6726.666666666667</v>
          </cell>
          <cell r="K9">
            <v>1552.3196332279479</v>
          </cell>
          <cell r="L9">
            <v>310.46392664558959</v>
          </cell>
          <cell r="M9" t="str">
            <v>..</v>
          </cell>
          <cell r="N9" t="str">
            <v>..</v>
          </cell>
          <cell r="O9" t="str">
            <v>..</v>
          </cell>
          <cell r="P9" t="str">
            <v>..</v>
          </cell>
          <cell r="Q9" t="str">
            <v>..</v>
          </cell>
          <cell r="R9" t="str">
            <v>..</v>
          </cell>
          <cell r="S9" t="str">
            <v>..</v>
          </cell>
          <cell r="T9" t="str">
            <v>..</v>
          </cell>
          <cell r="U9" t="str">
            <v>..</v>
          </cell>
          <cell r="V9">
            <v>50</v>
          </cell>
          <cell r="W9">
            <v>0</v>
          </cell>
          <cell r="X9">
            <v>50</v>
          </cell>
          <cell r="Y9" t="str">
            <v>-</v>
          </cell>
          <cell r="Z9" t="str">
            <v>Two weeks. Fathers are entitled to 12 months parental leave, but only two weeks are paid through 'Dad and Partner Pay'. The two 'Dad and Partner Pay' weeks are paid at the rate of the national minimum wage (currently AU$622.20 per week/AU$16.37 [€425/1666] per hour).</v>
          </cell>
          <cell r="AA9" t="str">
            <v>-</v>
          </cell>
          <cell r="AB9" t="str">
            <v>-</v>
          </cell>
          <cell r="AC9" t="str">
            <v>-</v>
          </cell>
          <cell r="AD9" t="str">
            <v>-</v>
          </cell>
          <cell r="AE9" t="str">
            <v>-</v>
          </cell>
          <cell r="AF9" t="str">
            <v>-</v>
          </cell>
          <cell r="AG9" t="str">
            <v>-</v>
          </cell>
          <cell r="AH9" t="str">
            <v>-</v>
          </cell>
          <cell r="AI9" t="str">
            <v>-</v>
          </cell>
          <cell r="AJ9" t="str">
            <v>-</v>
          </cell>
          <cell r="AK9" t="str">
            <v>-</v>
          </cell>
          <cell r="AL9" t="str">
            <v>-</v>
          </cell>
          <cell r="AM9" t="str">
            <v>-</v>
          </cell>
          <cell r="AN9" t="str">
            <v>-</v>
          </cell>
          <cell r="AO9" t="str">
            <v>-</v>
          </cell>
          <cell r="AP9" t="str">
            <v>-</v>
          </cell>
          <cell r="AQ9" t="str">
            <v>-</v>
          </cell>
          <cell r="AR9" t="str">
            <v>-</v>
          </cell>
          <cell r="AS9" t="str">
            <v>-</v>
          </cell>
          <cell r="AT9" t="str">
            <v>-</v>
          </cell>
          <cell r="AU9" t="str">
            <v>-</v>
          </cell>
          <cell r="AV9" t="str">
            <v>-</v>
          </cell>
          <cell r="AW9" t="str">
            <v>-</v>
          </cell>
          <cell r="AX9" t="str">
            <v>-</v>
          </cell>
          <cell r="AY9" t="str">
            <v>-</v>
          </cell>
          <cell r="AZ9" t="str">
            <v>-</v>
          </cell>
          <cell r="BA9" t="str">
            <v>-</v>
          </cell>
          <cell r="BB9" t="str">
            <v>-</v>
          </cell>
          <cell r="BC9" t="str">
            <v>-</v>
          </cell>
          <cell r="BD9" t="str">
            <v>-</v>
          </cell>
          <cell r="BE9" t="str">
            <v>-</v>
          </cell>
          <cell r="BF9" t="str">
            <v>-</v>
          </cell>
          <cell r="BG9" t="str">
            <v>-</v>
          </cell>
          <cell r="BH9" t="str">
            <v>-</v>
          </cell>
          <cell r="BI9" t="str">
            <v>-</v>
          </cell>
          <cell r="BJ9" t="str">
            <v>-</v>
          </cell>
          <cell r="BK9" t="str">
            <v>-</v>
          </cell>
          <cell r="BL9" t="str">
            <v>-</v>
          </cell>
          <cell r="BM9">
            <v>0</v>
          </cell>
          <cell r="BN9">
            <v>0</v>
          </cell>
          <cell r="BO9" t="str">
            <v>-</v>
          </cell>
          <cell r="BP9" t="str">
            <v>-</v>
          </cell>
          <cell r="BQ9">
            <v>0</v>
          </cell>
          <cell r="BR9">
            <v>0</v>
          </cell>
          <cell r="BS9">
            <v>0</v>
          </cell>
          <cell r="BT9">
            <v>0</v>
          </cell>
        </row>
        <row r="10">
          <cell r="A10" t="str">
            <v>Australia2016100 / 100</v>
          </cell>
          <cell r="B10" t="str">
            <v>Australia</v>
          </cell>
          <cell r="C10">
            <v>2016</v>
          </cell>
          <cell r="D10" t="str">
            <v>100 / 100</v>
          </cell>
          <cell r="E10">
            <v>82039</v>
          </cell>
          <cell r="F10">
            <v>6836.583333333333</v>
          </cell>
          <cell r="G10">
            <v>1577.6852129631764</v>
          </cell>
          <cell r="H10">
            <v>315.53704259263526</v>
          </cell>
          <cell r="I10">
            <v>82039</v>
          </cell>
          <cell r="J10">
            <v>6836.583333333333</v>
          </cell>
          <cell r="K10">
            <v>1577.6852129631764</v>
          </cell>
          <cell r="L10">
            <v>315.53704259263526</v>
          </cell>
          <cell r="M10" t="str">
            <v>..</v>
          </cell>
          <cell r="N10" t="str">
            <v>..</v>
          </cell>
          <cell r="O10" t="str">
            <v>..</v>
          </cell>
          <cell r="P10" t="str">
            <v>..</v>
          </cell>
          <cell r="Q10" t="str">
            <v>..</v>
          </cell>
          <cell r="R10" t="str">
            <v>..</v>
          </cell>
          <cell r="S10" t="str">
            <v>..</v>
          </cell>
          <cell r="T10" t="str">
            <v>..</v>
          </cell>
          <cell r="U10" t="str">
            <v>..</v>
          </cell>
          <cell r="V10">
            <v>50</v>
          </cell>
          <cell r="W10">
            <v>0</v>
          </cell>
          <cell r="X10">
            <v>50</v>
          </cell>
          <cell r="Y10" t="str">
            <v>-</v>
          </cell>
          <cell r="Z10" t="str">
            <v>Two weeks. Fathers are entitled to 12 months parental leave, but only two weeks are paid through 'Dad and Partner Pay' (recorded under paternity leave)</v>
          </cell>
          <cell r="AA10" t="str">
            <v>-</v>
          </cell>
          <cell r="AB10" t="str">
            <v>-</v>
          </cell>
          <cell r="AC10" t="str">
            <v>-</v>
          </cell>
          <cell r="AD10" t="str">
            <v>-</v>
          </cell>
          <cell r="AE10" t="str">
            <v>-</v>
          </cell>
          <cell r="AF10" t="str">
            <v>-</v>
          </cell>
          <cell r="AG10" t="str">
            <v>-</v>
          </cell>
          <cell r="AH10" t="str">
            <v>-</v>
          </cell>
          <cell r="AI10" t="str">
            <v>-</v>
          </cell>
          <cell r="AJ10" t="str">
            <v>-</v>
          </cell>
          <cell r="AK10" t="str">
            <v>-</v>
          </cell>
          <cell r="AL10" t="str">
            <v>-</v>
          </cell>
          <cell r="AM10" t="str">
            <v>-</v>
          </cell>
          <cell r="AN10" t="str">
            <v>-</v>
          </cell>
          <cell r="AO10" t="str">
            <v>-</v>
          </cell>
          <cell r="AP10" t="str">
            <v>-</v>
          </cell>
          <cell r="AQ10" t="str">
            <v>-</v>
          </cell>
          <cell r="AR10" t="str">
            <v>-</v>
          </cell>
          <cell r="AS10" t="str">
            <v>-</v>
          </cell>
          <cell r="AT10" t="str">
            <v>-</v>
          </cell>
          <cell r="AU10" t="str">
            <v>-</v>
          </cell>
          <cell r="AV10" t="str">
            <v>-</v>
          </cell>
          <cell r="AW10" t="str">
            <v>-</v>
          </cell>
          <cell r="AX10" t="str">
            <v>-</v>
          </cell>
          <cell r="AY10" t="str">
            <v>-</v>
          </cell>
          <cell r="AZ10" t="str">
            <v>-</v>
          </cell>
          <cell r="BA10" t="str">
            <v>-</v>
          </cell>
          <cell r="BB10" t="str">
            <v>-</v>
          </cell>
          <cell r="BC10" t="str">
            <v>-</v>
          </cell>
          <cell r="BD10" t="str">
            <v>-</v>
          </cell>
          <cell r="BE10" t="str">
            <v>-</v>
          </cell>
          <cell r="BF10" t="str">
            <v>-</v>
          </cell>
          <cell r="BG10" t="str">
            <v>-</v>
          </cell>
          <cell r="BH10" t="str">
            <v>-</v>
          </cell>
          <cell r="BI10" t="str">
            <v>-</v>
          </cell>
          <cell r="BJ10" t="str">
            <v>-</v>
          </cell>
          <cell r="BK10" t="str">
            <v>-</v>
          </cell>
          <cell r="BL10" t="str">
            <v>-</v>
          </cell>
          <cell r="BM10">
            <v>0</v>
          </cell>
          <cell r="BN10">
            <v>0</v>
          </cell>
          <cell r="BO10" t="str">
            <v>-</v>
          </cell>
          <cell r="BP10" t="str">
            <v>-</v>
          </cell>
          <cell r="BQ10">
            <v>0</v>
          </cell>
          <cell r="BR10">
            <v>0</v>
          </cell>
          <cell r="BS10">
            <v>0</v>
          </cell>
          <cell r="BT10">
            <v>0</v>
          </cell>
        </row>
        <row r="11">
          <cell r="A11" t="str">
            <v>Australia2017100 / 100</v>
          </cell>
          <cell r="B11" t="str">
            <v>Australia</v>
          </cell>
          <cell r="C11">
            <v>2017</v>
          </cell>
          <cell r="D11" t="str">
            <v>100 / 100</v>
          </cell>
          <cell r="E11">
            <v>83336</v>
          </cell>
          <cell r="F11">
            <v>6944.666666666667</v>
          </cell>
          <cell r="G11">
            <v>1602.6277125208655</v>
          </cell>
          <cell r="H11">
            <v>320.52554250417313</v>
          </cell>
          <cell r="I11">
            <v>83336</v>
          </cell>
          <cell r="J11">
            <v>6944.666666666667</v>
          </cell>
          <cell r="K11">
            <v>1602.6277125208655</v>
          </cell>
          <cell r="L11">
            <v>320.52554250417313</v>
          </cell>
          <cell r="M11" t="str">
            <v>..</v>
          </cell>
          <cell r="N11" t="str">
            <v>..</v>
          </cell>
          <cell r="O11" t="str">
            <v>..</v>
          </cell>
          <cell r="P11" t="str">
            <v>..</v>
          </cell>
          <cell r="Q11" t="str">
            <v>..</v>
          </cell>
          <cell r="R11" t="str">
            <v>..</v>
          </cell>
          <cell r="S11" t="str">
            <v>..</v>
          </cell>
          <cell r="T11" t="str">
            <v>..</v>
          </cell>
          <cell r="U11" t="str">
            <v>..</v>
          </cell>
          <cell r="V11">
            <v>50</v>
          </cell>
          <cell r="W11">
            <v>0</v>
          </cell>
          <cell r="X11">
            <v>50</v>
          </cell>
          <cell r="Y11" t="str">
            <v>-</v>
          </cell>
          <cell r="Z11" t="str">
            <v>Two weeks. Fathers are entitled to 12 months parental leave, but only two weeks are paid through 'Dad and Partner Pay' (recorded under paternity leave)</v>
          </cell>
          <cell r="AA11" t="str">
            <v>-</v>
          </cell>
          <cell r="AB11" t="str">
            <v>-</v>
          </cell>
          <cell r="AC11" t="str">
            <v>-</v>
          </cell>
          <cell r="AD11" t="str">
            <v>-</v>
          </cell>
          <cell r="AE11" t="str">
            <v>-</v>
          </cell>
          <cell r="AF11" t="str">
            <v>-</v>
          </cell>
          <cell r="AG11" t="str">
            <v>-</v>
          </cell>
          <cell r="AH11" t="str">
            <v>-</v>
          </cell>
          <cell r="AI11" t="str">
            <v>-</v>
          </cell>
          <cell r="AJ11" t="str">
            <v>-</v>
          </cell>
          <cell r="AK11" t="str">
            <v>-</v>
          </cell>
          <cell r="AL11" t="str">
            <v>-</v>
          </cell>
          <cell r="AM11" t="str">
            <v>-</v>
          </cell>
          <cell r="AN11" t="str">
            <v>-</v>
          </cell>
          <cell r="AO11" t="str">
            <v>-</v>
          </cell>
          <cell r="AP11" t="str">
            <v>-</v>
          </cell>
          <cell r="AQ11" t="str">
            <v>-</v>
          </cell>
          <cell r="AR11" t="str">
            <v>-</v>
          </cell>
          <cell r="AS11" t="str">
            <v>-</v>
          </cell>
          <cell r="AT11" t="str">
            <v>-</v>
          </cell>
          <cell r="AU11" t="str">
            <v>-</v>
          </cell>
          <cell r="AV11" t="str">
            <v>-</v>
          </cell>
          <cell r="AW11" t="str">
            <v>-</v>
          </cell>
          <cell r="AX11" t="str">
            <v>-</v>
          </cell>
          <cell r="AY11" t="str">
            <v>-</v>
          </cell>
          <cell r="AZ11" t="str">
            <v>-</v>
          </cell>
          <cell r="BA11" t="str">
            <v>-</v>
          </cell>
          <cell r="BB11" t="str">
            <v>-</v>
          </cell>
          <cell r="BC11" t="str">
            <v>-</v>
          </cell>
          <cell r="BD11" t="str">
            <v>-</v>
          </cell>
          <cell r="BE11" t="str">
            <v>-</v>
          </cell>
          <cell r="BF11" t="str">
            <v>-</v>
          </cell>
          <cell r="BG11" t="str">
            <v>-</v>
          </cell>
          <cell r="BH11" t="str">
            <v>-</v>
          </cell>
          <cell r="BI11" t="str">
            <v>-</v>
          </cell>
          <cell r="BJ11" t="str">
            <v>-</v>
          </cell>
          <cell r="BK11" t="str">
            <v>-</v>
          </cell>
          <cell r="BL11" t="str">
            <v>-</v>
          </cell>
          <cell r="BM11">
            <v>0</v>
          </cell>
          <cell r="BN11">
            <v>0</v>
          </cell>
          <cell r="BO11" t="str">
            <v>-</v>
          </cell>
          <cell r="BP11" t="str">
            <v>-</v>
          </cell>
          <cell r="BQ11">
            <v>0</v>
          </cell>
          <cell r="BR11">
            <v>0</v>
          </cell>
          <cell r="BS11">
            <v>0</v>
          </cell>
          <cell r="BT11">
            <v>0</v>
          </cell>
        </row>
        <row r="12">
          <cell r="A12" t="str">
            <v>Australia2018100 / 100</v>
          </cell>
          <cell r="B12" t="str">
            <v>Australia</v>
          </cell>
          <cell r="C12">
            <v>2018</v>
          </cell>
          <cell r="D12" t="str">
            <v>100 / 100</v>
          </cell>
          <cell r="E12">
            <v>85777.951000000001</v>
          </cell>
          <cell r="F12">
            <v>7148.1625833333337</v>
          </cell>
          <cell r="G12">
            <v>1649.5886699128455</v>
          </cell>
          <cell r="H12">
            <v>329.91773398256908</v>
          </cell>
          <cell r="I12">
            <v>85777.951000000001</v>
          </cell>
          <cell r="J12">
            <v>7148.1625833333337</v>
          </cell>
          <cell r="K12">
            <v>1649.5886699128455</v>
          </cell>
          <cell r="L12">
            <v>329.91773398256908</v>
          </cell>
          <cell r="M12" t="str">
            <v>..</v>
          </cell>
          <cell r="N12" t="str">
            <v>..</v>
          </cell>
          <cell r="O12" t="str">
            <v>..</v>
          </cell>
          <cell r="P12" t="str">
            <v>..</v>
          </cell>
          <cell r="Q12" t="str">
            <v>..</v>
          </cell>
          <cell r="R12" t="str">
            <v>..</v>
          </cell>
          <cell r="S12" t="str">
            <v>..</v>
          </cell>
          <cell r="T12" t="str">
            <v>..</v>
          </cell>
          <cell r="U12" t="str">
            <v>..</v>
          </cell>
          <cell r="V12">
            <v>50</v>
          </cell>
          <cell r="W12">
            <v>0</v>
          </cell>
          <cell r="X12">
            <v>50</v>
          </cell>
          <cell r="Y12" t="str">
            <v>-</v>
          </cell>
          <cell r="Z12" t="str">
            <v>Two weeks. Fathers are entitled to 12 months parental leave, but only two weeks are paid through 'Dad and Partner Pay' (recorded under paternity leave)</v>
          </cell>
          <cell r="AA12" t="str">
            <v>-</v>
          </cell>
          <cell r="AB12" t="str">
            <v>-</v>
          </cell>
          <cell r="AC12" t="str">
            <v>-</v>
          </cell>
          <cell r="AD12" t="str">
            <v>-</v>
          </cell>
          <cell r="AE12" t="str">
            <v>-</v>
          </cell>
          <cell r="AF12" t="str">
            <v>-</v>
          </cell>
          <cell r="AG12" t="str">
            <v>-</v>
          </cell>
          <cell r="AH12" t="str">
            <v>-</v>
          </cell>
          <cell r="AI12" t="str">
            <v>-</v>
          </cell>
          <cell r="AJ12" t="str">
            <v>-</v>
          </cell>
          <cell r="AK12" t="str">
            <v>-</v>
          </cell>
          <cell r="AL12" t="str">
            <v>-</v>
          </cell>
          <cell r="AM12" t="str">
            <v>-</v>
          </cell>
          <cell r="AN12" t="str">
            <v>-</v>
          </cell>
          <cell r="AO12" t="str">
            <v>-</v>
          </cell>
          <cell r="AP12" t="str">
            <v>-</v>
          </cell>
          <cell r="AQ12" t="str">
            <v>-</v>
          </cell>
          <cell r="AR12" t="str">
            <v>-</v>
          </cell>
          <cell r="AS12" t="str">
            <v>-</v>
          </cell>
          <cell r="AT12" t="str">
            <v>-</v>
          </cell>
          <cell r="AU12" t="str">
            <v>-</v>
          </cell>
          <cell r="AV12" t="str">
            <v>-</v>
          </cell>
          <cell r="AW12" t="str">
            <v>-</v>
          </cell>
          <cell r="AX12" t="str">
            <v>-</v>
          </cell>
          <cell r="AY12" t="str">
            <v>-</v>
          </cell>
          <cell r="AZ12" t="str">
            <v>-</v>
          </cell>
          <cell r="BA12" t="str">
            <v>-</v>
          </cell>
          <cell r="BB12" t="str">
            <v>-</v>
          </cell>
          <cell r="BC12" t="str">
            <v>-</v>
          </cell>
          <cell r="BD12" t="str">
            <v>-</v>
          </cell>
          <cell r="BE12" t="str">
            <v>-</v>
          </cell>
          <cell r="BF12" t="str">
            <v>-</v>
          </cell>
          <cell r="BG12" t="str">
            <v>-</v>
          </cell>
          <cell r="BH12" t="str">
            <v>-</v>
          </cell>
          <cell r="BI12" t="str">
            <v>-</v>
          </cell>
          <cell r="BJ12" t="str">
            <v>-</v>
          </cell>
          <cell r="BK12" t="str">
            <v>-</v>
          </cell>
          <cell r="BL12" t="str">
            <v>-</v>
          </cell>
          <cell r="BM12">
            <v>0</v>
          </cell>
          <cell r="BN12">
            <v>0</v>
          </cell>
          <cell r="BO12" t="str">
            <v>-</v>
          </cell>
          <cell r="BP12" t="str">
            <v>-</v>
          </cell>
          <cell r="BQ12">
            <v>0</v>
          </cell>
          <cell r="BR12">
            <v>0</v>
          </cell>
          <cell r="BS12">
            <v>0</v>
          </cell>
          <cell r="BT12">
            <v>0</v>
          </cell>
        </row>
        <row r="13">
          <cell r="A13" t="str">
            <v>Australia2019100 / 100</v>
          </cell>
          <cell r="B13" t="str">
            <v>Australia</v>
          </cell>
          <cell r="C13">
            <v>2019</v>
          </cell>
          <cell r="D13" t="str">
            <v>100 / 100</v>
          </cell>
          <cell r="E13">
            <v>87769</v>
          </cell>
          <cell r="F13">
            <v>7314.083333333333</v>
          </cell>
          <cell r="G13">
            <v>1687.8783682951405</v>
          </cell>
          <cell r="H13">
            <v>337.5756736590281</v>
          </cell>
          <cell r="I13">
            <v>87769</v>
          </cell>
          <cell r="J13">
            <v>7314.083333333333</v>
          </cell>
          <cell r="K13">
            <v>1687.8783682951405</v>
          </cell>
          <cell r="L13">
            <v>337.5756736590281</v>
          </cell>
          <cell r="M13" t="str">
            <v>..</v>
          </cell>
          <cell r="N13" t="str">
            <v>..</v>
          </cell>
          <cell r="O13" t="str">
            <v>..</v>
          </cell>
          <cell r="P13" t="str">
            <v>..</v>
          </cell>
          <cell r="Q13" t="str">
            <v>..</v>
          </cell>
          <cell r="R13" t="str">
            <v>..</v>
          </cell>
          <cell r="S13" t="str">
            <v>..</v>
          </cell>
          <cell r="T13" t="str">
            <v>..</v>
          </cell>
          <cell r="U13" t="str">
            <v>..</v>
          </cell>
          <cell r="V13">
            <v>50</v>
          </cell>
          <cell r="W13">
            <v>0</v>
          </cell>
          <cell r="X13">
            <v>50</v>
          </cell>
          <cell r="Y13" t="str">
            <v>-</v>
          </cell>
          <cell r="Z13" t="str">
            <v>Two weeks. Fathers are entitled to 12 months parental leave, but only two weeks are paid through 'Dad and Partner Pay' (recorded under paternity leave)</v>
          </cell>
          <cell r="AA13" t="str">
            <v>-</v>
          </cell>
          <cell r="AB13" t="str">
            <v>-</v>
          </cell>
          <cell r="AC13" t="str">
            <v>-</v>
          </cell>
          <cell r="AD13" t="str">
            <v>-</v>
          </cell>
          <cell r="AE13" t="str">
            <v>-</v>
          </cell>
          <cell r="AF13" t="str">
            <v>-</v>
          </cell>
          <cell r="AG13" t="str">
            <v>-</v>
          </cell>
          <cell r="AH13" t="str">
            <v>-</v>
          </cell>
          <cell r="AI13" t="str">
            <v>-</v>
          </cell>
          <cell r="AJ13" t="str">
            <v>-</v>
          </cell>
          <cell r="AK13" t="str">
            <v>-</v>
          </cell>
          <cell r="AL13" t="str">
            <v>-</v>
          </cell>
          <cell r="AM13" t="str">
            <v>-</v>
          </cell>
          <cell r="AN13" t="str">
            <v>-</v>
          </cell>
          <cell r="AO13" t="str">
            <v>-</v>
          </cell>
          <cell r="AP13" t="str">
            <v>-</v>
          </cell>
          <cell r="AQ13" t="str">
            <v>-</v>
          </cell>
          <cell r="AR13" t="str">
            <v>-</v>
          </cell>
          <cell r="AS13" t="str">
            <v>-</v>
          </cell>
          <cell r="AT13" t="str">
            <v>-</v>
          </cell>
          <cell r="AU13" t="str">
            <v>-</v>
          </cell>
          <cell r="AV13" t="str">
            <v>-</v>
          </cell>
          <cell r="AW13" t="str">
            <v>-</v>
          </cell>
          <cell r="AX13" t="str">
            <v>-</v>
          </cell>
          <cell r="AY13" t="str">
            <v>-</v>
          </cell>
          <cell r="AZ13" t="str">
            <v>-</v>
          </cell>
          <cell r="BA13" t="str">
            <v>-</v>
          </cell>
          <cell r="BB13" t="str">
            <v>-</v>
          </cell>
          <cell r="BC13" t="str">
            <v>-</v>
          </cell>
          <cell r="BD13" t="str">
            <v>-</v>
          </cell>
          <cell r="BE13" t="str">
            <v>-</v>
          </cell>
          <cell r="BF13" t="str">
            <v>-</v>
          </cell>
          <cell r="BG13" t="str">
            <v>-</v>
          </cell>
          <cell r="BH13" t="str">
            <v>-</v>
          </cell>
          <cell r="BI13" t="str">
            <v>-</v>
          </cell>
          <cell r="BJ13" t="str">
            <v>-</v>
          </cell>
          <cell r="BK13" t="str">
            <v>-</v>
          </cell>
          <cell r="BL13" t="str">
            <v>-</v>
          </cell>
          <cell r="BM13">
            <v>0</v>
          </cell>
          <cell r="BN13">
            <v>0</v>
          </cell>
          <cell r="BO13" t="str">
            <v>-</v>
          </cell>
          <cell r="BP13" t="str">
            <v>-</v>
          </cell>
          <cell r="BQ13">
            <v>0</v>
          </cell>
          <cell r="BR13">
            <v>0</v>
          </cell>
          <cell r="BS13">
            <v>0</v>
          </cell>
          <cell r="BT13">
            <v>0</v>
          </cell>
        </row>
        <row r="14">
          <cell r="A14" t="str">
            <v>Australia2020100 / 100</v>
          </cell>
          <cell r="B14" t="str">
            <v>Australia</v>
          </cell>
          <cell r="C14">
            <v>2020</v>
          </cell>
          <cell r="D14" t="str">
            <v>100 / 100</v>
          </cell>
          <cell r="E14">
            <v>90864</v>
          </cell>
          <cell r="F14">
            <v>7572</v>
          </cell>
          <cell r="G14">
            <v>1747.39805690813</v>
          </cell>
          <cell r="H14">
            <v>349.479611381626</v>
          </cell>
          <cell r="I14">
            <v>90864</v>
          </cell>
          <cell r="J14">
            <v>7572</v>
          </cell>
          <cell r="K14">
            <v>1747.39805690813</v>
          </cell>
          <cell r="L14">
            <v>349.479611381626</v>
          </cell>
          <cell r="M14" t="str">
            <v>..</v>
          </cell>
          <cell r="N14" t="str">
            <v>..</v>
          </cell>
          <cell r="O14" t="str">
            <v>..</v>
          </cell>
          <cell r="P14" t="str">
            <v>..</v>
          </cell>
          <cell r="Q14" t="str">
            <v>..</v>
          </cell>
          <cell r="R14" t="str">
            <v>..</v>
          </cell>
          <cell r="S14" t="str">
            <v>..</v>
          </cell>
          <cell r="T14" t="str">
            <v>..</v>
          </cell>
          <cell r="U14" t="str">
            <v>..</v>
          </cell>
          <cell r="V14">
            <v>50</v>
          </cell>
          <cell r="W14">
            <v>0</v>
          </cell>
          <cell r="X14">
            <v>50</v>
          </cell>
          <cell r="Y14" t="str">
            <v>-</v>
          </cell>
          <cell r="Z14" t="str">
            <v>Two weeks. Fathers are entitled to 12 months parental leave, but only two weeks are paid through 'Dad and Partner Pay' (recorded under paternity leave)</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v>0</v>
          </cell>
          <cell r="BN14">
            <v>0</v>
          </cell>
          <cell r="BO14" t="str">
            <v>-</v>
          </cell>
          <cell r="BP14" t="str">
            <v>-</v>
          </cell>
          <cell r="BQ14">
            <v>0</v>
          </cell>
          <cell r="BR14">
            <v>0</v>
          </cell>
          <cell r="BS14">
            <v>0</v>
          </cell>
          <cell r="BT14">
            <v>0</v>
          </cell>
        </row>
        <row r="15">
          <cell r="A15" t="str">
            <v>Australia2021100 / 100</v>
          </cell>
          <cell r="B15" t="str">
            <v>Australia</v>
          </cell>
          <cell r="C15">
            <v>2021</v>
          </cell>
          <cell r="D15" t="str">
            <v>100 / 100</v>
          </cell>
          <cell r="E15">
            <v>93254</v>
          </cell>
          <cell r="F15">
            <v>7771.166666666667</v>
          </cell>
          <cell r="G15">
            <v>1793.359948922684</v>
          </cell>
          <cell r="H15">
            <v>358.67198978453678</v>
          </cell>
          <cell r="I15">
            <v>93254</v>
          </cell>
          <cell r="J15">
            <v>7771.166666666667</v>
          </cell>
          <cell r="K15">
            <v>1793.359948922684</v>
          </cell>
          <cell r="L15">
            <v>358.67198978453678</v>
          </cell>
          <cell r="M15" t="str">
            <v>..</v>
          </cell>
          <cell r="N15" t="str">
            <v>..</v>
          </cell>
          <cell r="O15" t="str">
            <v>..</v>
          </cell>
          <cell r="P15" t="str">
            <v>..</v>
          </cell>
          <cell r="Q15" t="str">
            <v>..</v>
          </cell>
          <cell r="R15" t="str">
            <v>..</v>
          </cell>
          <cell r="S15" t="str">
            <v>..</v>
          </cell>
          <cell r="T15" t="str">
            <v>..</v>
          </cell>
          <cell r="U15" t="str">
            <v>..</v>
          </cell>
          <cell r="V15">
            <v>50</v>
          </cell>
          <cell r="W15">
            <v>0</v>
          </cell>
          <cell r="X15">
            <v>50</v>
          </cell>
          <cell r="Y15" t="str">
            <v>-</v>
          </cell>
          <cell r="Z15" t="str">
            <v>Two weeks. Fathers are entitled to 12 months parental leave, but only two weeks are paid through 'Dad and Partner Pay' (recorded under paternity leave)</v>
          </cell>
          <cell r="AA15" t="str">
            <v>-</v>
          </cell>
          <cell r="AB15" t="str">
            <v>-</v>
          </cell>
          <cell r="AC15" t="str">
            <v>-</v>
          </cell>
          <cell r="AD15" t="str">
            <v>-</v>
          </cell>
          <cell r="AE15" t="str">
            <v>-</v>
          </cell>
          <cell r="AF15" t="str">
            <v>-</v>
          </cell>
          <cell r="AG15" t="str">
            <v>-</v>
          </cell>
          <cell r="AH15" t="str">
            <v>-</v>
          </cell>
          <cell r="AI15" t="str">
            <v>-</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t="str">
            <v>-</v>
          </cell>
          <cell r="BF15" t="str">
            <v>-</v>
          </cell>
          <cell r="BG15" t="str">
            <v>-</v>
          </cell>
          <cell r="BH15" t="str">
            <v>-</v>
          </cell>
          <cell r="BI15" t="str">
            <v>-</v>
          </cell>
          <cell r="BJ15" t="str">
            <v>-</v>
          </cell>
          <cell r="BK15" t="str">
            <v>-</v>
          </cell>
          <cell r="BL15" t="str">
            <v>-</v>
          </cell>
          <cell r="BM15">
            <v>0</v>
          </cell>
          <cell r="BN15">
            <v>0</v>
          </cell>
          <cell r="BO15" t="str">
            <v>-</v>
          </cell>
          <cell r="BP15" t="str">
            <v>-</v>
          </cell>
          <cell r="BQ15">
            <v>0</v>
          </cell>
          <cell r="BR15">
            <v>0</v>
          </cell>
          <cell r="BS15">
            <v>0</v>
          </cell>
          <cell r="BT15">
            <v>0</v>
          </cell>
        </row>
        <row r="16">
          <cell r="A16" t="str">
            <v>Australia2022100 / 100</v>
          </cell>
          <cell r="B16" t="str">
            <v>Australia</v>
          </cell>
          <cell r="C16">
            <v>2022</v>
          </cell>
          <cell r="D16" t="str">
            <v>100 / 100</v>
          </cell>
          <cell r="E16">
            <v>94684.729000000007</v>
          </cell>
          <cell r="F16">
            <v>7890.3940833333336</v>
          </cell>
          <cell r="G16">
            <v>1820.874179801383</v>
          </cell>
          <cell r="H16">
            <v>364.1748359602766</v>
          </cell>
          <cell r="I16">
            <v>94684.729000000007</v>
          </cell>
          <cell r="J16">
            <v>7890.3940833333336</v>
          </cell>
          <cell r="K16">
            <v>1820.874179801383</v>
          </cell>
          <cell r="L16">
            <v>364.1748359602766</v>
          </cell>
          <cell r="M16" t="str">
            <v>..</v>
          </cell>
          <cell r="N16" t="str">
            <v>..</v>
          </cell>
          <cell r="O16" t="str">
            <v>..</v>
          </cell>
          <cell r="P16" t="str">
            <v>..</v>
          </cell>
          <cell r="Q16" t="str">
            <v>..</v>
          </cell>
          <cell r="R16" t="str">
            <v>..</v>
          </cell>
          <cell r="S16" t="str">
            <v>..</v>
          </cell>
          <cell r="T16" t="str">
            <v>..</v>
          </cell>
          <cell r="U16" t="str">
            <v>..</v>
          </cell>
          <cell r="V16">
            <v>50</v>
          </cell>
          <cell r="W16">
            <v>0</v>
          </cell>
          <cell r="X16">
            <v>50</v>
          </cell>
          <cell r="Y16" t="str">
            <v>-</v>
          </cell>
          <cell r="Z16" t="str">
            <v>Two weeks. Fathers are entitled to 12 months parental leave, but only two weeks are paid through 'Dad and Partner Pay' (recorded under paternity leave)</v>
          </cell>
          <cell r="AA16" t="str">
            <v>-</v>
          </cell>
          <cell r="AB16" t="str">
            <v>-</v>
          </cell>
          <cell r="AC16" t="str">
            <v>-</v>
          </cell>
          <cell r="AD16" t="str">
            <v>-</v>
          </cell>
          <cell r="AE16" t="str">
            <v>-</v>
          </cell>
          <cell r="AF16" t="str">
            <v>-</v>
          </cell>
          <cell r="AG16" t="str">
            <v>-</v>
          </cell>
          <cell r="AH16" t="str">
            <v>-</v>
          </cell>
          <cell r="AI16" t="str">
            <v>-</v>
          </cell>
          <cell r="AJ16" t="str">
            <v>-</v>
          </cell>
          <cell r="AK16" t="str">
            <v>-</v>
          </cell>
          <cell r="AL16" t="str">
            <v>-</v>
          </cell>
          <cell r="AM16" t="str">
            <v>-</v>
          </cell>
          <cell r="AN16" t="str">
            <v>-</v>
          </cell>
          <cell r="AO16" t="str">
            <v>-</v>
          </cell>
          <cell r="AP16" t="str">
            <v>-</v>
          </cell>
          <cell r="AQ16" t="str">
            <v>-</v>
          </cell>
          <cell r="AR16" t="str">
            <v>-</v>
          </cell>
          <cell r="AS16" t="str">
            <v>-</v>
          </cell>
          <cell r="AT16" t="str">
            <v>-</v>
          </cell>
          <cell r="AU16" t="str">
            <v>-</v>
          </cell>
          <cell r="AV16" t="str">
            <v>-</v>
          </cell>
          <cell r="AW16" t="str">
            <v>-</v>
          </cell>
          <cell r="AX16" t="str">
            <v>-</v>
          </cell>
          <cell r="AY16" t="str">
            <v>-</v>
          </cell>
          <cell r="AZ16" t="str">
            <v>-</v>
          </cell>
          <cell r="BA16" t="str">
            <v>-</v>
          </cell>
          <cell r="BB16" t="str">
            <v>-</v>
          </cell>
          <cell r="BC16" t="str">
            <v>-</v>
          </cell>
          <cell r="BD16" t="str">
            <v>-</v>
          </cell>
          <cell r="BE16" t="str">
            <v>-</v>
          </cell>
          <cell r="BF16" t="str">
            <v>-</v>
          </cell>
          <cell r="BG16" t="str">
            <v>-</v>
          </cell>
          <cell r="BH16" t="str">
            <v>-</v>
          </cell>
          <cell r="BI16" t="str">
            <v>-</v>
          </cell>
          <cell r="BJ16" t="str">
            <v>-</v>
          </cell>
          <cell r="BK16" t="str">
            <v>-</v>
          </cell>
          <cell r="BL16" t="str">
            <v>-</v>
          </cell>
          <cell r="BM16">
            <v>0</v>
          </cell>
          <cell r="BN16">
            <v>0</v>
          </cell>
          <cell r="BO16" t="str">
            <v>-</v>
          </cell>
          <cell r="BP16" t="str">
            <v>-</v>
          </cell>
          <cell r="BQ16">
            <v>0</v>
          </cell>
          <cell r="BR16">
            <v>0</v>
          </cell>
          <cell r="BS16">
            <v>0</v>
          </cell>
          <cell r="BT16">
            <v>0</v>
          </cell>
        </row>
        <row r="17">
          <cell r="A17" t="str">
            <v>Australia2023100 / 100</v>
          </cell>
          <cell r="B17" t="str">
            <v>Australia</v>
          </cell>
          <cell r="C17">
            <v>2023</v>
          </cell>
          <cell r="D17" t="str">
            <v>100 / 100</v>
          </cell>
          <cell r="E17">
            <v>99565.252999999997</v>
          </cell>
          <cell r="F17">
            <v>8297.104416666667</v>
          </cell>
          <cell r="G17">
            <v>1914.7311325471733</v>
          </cell>
          <cell r="H17">
            <v>382.94622650943467</v>
          </cell>
          <cell r="I17">
            <v>99565.252999999997</v>
          </cell>
          <cell r="J17">
            <v>8297.104416666667</v>
          </cell>
          <cell r="K17">
            <v>1914.7311325471733</v>
          </cell>
          <cell r="L17">
            <v>382.94622650943467</v>
          </cell>
          <cell r="M17" t="str">
            <v>..</v>
          </cell>
          <cell r="N17" t="str">
            <v>..</v>
          </cell>
          <cell r="O17" t="str">
            <v>..</v>
          </cell>
          <cell r="P17" t="str">
            <v>..</v>
          </cell>
          <cell r="Q17" t="str">
            <v>..</v>
          </cell>
          <cell r="R17" t="str">
            <v>..</v>
          </cell>
          <cell r="S17" t="str">
            <v>..</v>
          </cell>
          <cell r="T17" t="str">
            <v>..</v>
          </cell>
          <cell r="U17" t="str">
            <v>..</v>
          </cell>
          <cell r="V17">
            <v>50</v>
          </cell>
          <cell r="W17">
            <v>0</v>
          </cell>
          <cell r="X17">
            <v>50</v>
          </cell>
          <cell r="Y17" t="str">
            <v>-</v>
          </cell>
          <cell r="Z17" t="str">
            <v>Two weeks. Fathers are entitled to 12 months parental leave, but only two weeks are paid through 'Dad and Partner Pay' (recorded under paternity leave)</v>
          </cell>
          <cell r="AA17" t="str">
            <v>-</v>
          </cell>
          <cell r="AB17" t="str">
            <v>-</v>
          </cell>
          <cell r="AC17" t="str">
            <v>-</v>
          </cell>
          <cell r="AD17" t="str">
            <v>-</v>
          </cell>
          <cell r="AE17" t="str">
            <v>-</v>
          </cell>
          <cell r="AF17" t="str">
            <v>-</v>
          </cell>
          <cell r="AG17" t="str">
            <v>-</v>
          </cell>
          <cell r="AH17" t="str">
            <v>-</v>
          </cell>
          <cell r="AI17" t="str">
            <v>-</v>
          </cell>
          <cell r="AJ17" t="str">
            <v>-</v>
          </cell>
          <cell r="AK17" t="str">
            <v>-</v>
          </cell>
          <cell r="AL17" t="str">
            <v>-</v>
          </cell>
          <cell r="AM17" t="str">
            <v>-</v>
          </cell>
          <cell r="AN17" t="str">
            <v>-</v>
          </cell>
          <cell r="AO17" t="str">
            <v>-</v>
          </cell>
          <cell r="AP17" t="str">
            <v>-</v>
          </cell>
          <cell r="AQ17" t="str">
            <v>-</v>
          </cell>
          <cell r="AR17" t="str">
            <v>-</v>
          </cell>
          <cell r="AS17" t="str">
            <v>-</v>
          </cell>
          <cell r="AT17" t="str">
            <v>-</v>
          </cell>
          <cell r="AU17" t="str">
            <v>-</v>
          </cell>
          <cell r="AV17" t="str">
            <v>-</v>
          </cell>
          <cell r="AW17" t="str">
            <v>-</v>
          </cell>
          <cell r="AX17" t="str">
            <v>-</v>
          </cell>
          <cell r="AY17" t="str">
            <v>-</v>
          </cell>
          <cell r="AZ17" t="str">
            <v>-</v>
          </cell>
          <cell r="BA17" t="str">
            <v>-</v>
          </cell>
          <cell r="BB17" t="str">
            <v>-</v>
          </cell>
          <cell r="BC17" t="str">
            <v>-</v>
          </cell>
          <cell r="BD17" t="str">
            <v>-</v>
          </cell>
          <cell r="BE17" t="str">
            <v>-</v>
          </cell>
          <cell r="BF17" t="str">
            <v>-</v>
          </cell>
          <cell r="BG17" t="str">
            <v>-</v>
          </cell>
          <cell r="BH17" t="str">
            <v>-</v>
          </cell>
          <cell r="BI17" t="str">
            <v>-</v>
          </cell>
          <cell r="BJ17" t="str">
            <v>-</v>
          </cell>
          <cell r="BK17" t="str">
            <v>-</v>
          </cell>
          <cell r="BL17" t="str">
            <v>-</v>
          </cell>
          <cell r="BM17">
            <v>0</v>
          </cell>
          <cell r="BN17">
            <v>0</v>
          </cell>
          <cell r="BO17" t="str">
            <v>-</v>
          </cell>
          <cell r="BP17" t="str">
            <v>-</v>
          </cell>
          <cell r="BQ17">
            <v>0</v>
          </cell>
          <cell r="BR17">
            <v>0</v>
          </cell>
          <cell r="BS17">
            <v>0</v>
          </cell>
          <cell r="BT17">
            <v>0</v>
          </cell>
        </row>
        <row r="18">
          <cell r="A18" t="str">
            <v>Australia2024100 / 100</v>
          </cell>
          <cell r="B18" t="str">
            <v>Australia</v>
          </cell>
          <cell r="C18">
            <v>2024</v>
          </cell>
          <cell r="D18" t="str">
            <v>100 / 100</v>
          </cell>
          <cell r="E18">
            <v>103794</v>
          </cell>
          <cell r="F18">
            <v>8649.5</v>
          </cell>
          <cell r="G18">
            <v>1996.0538157985829</v>
          </cell>
          <cell r="H18">
            <v>399.21076315971658</v>
          </cell>
          <cell r="I18">
            <v>103794</v>
          </cell>
          <cell r="J18">
            <v>8649.5</v>
          </cell>
          <cell r="K18">
            <v>1996.0538157985829</v>
          </cell>
          <cell r="L18">
            <v>399.21076315971658</v>
          </cell>
          <cell r="M18" t="str">
            <v>..</v>
          </cell>
          <cell r="N18" t="str">
            <v>..</v>
          </cell>
          <cell r="O18" t="str">
            <v>..</v>
          </cell>
          <cell r="P18" t="str">
            <v>..</v>
          </cell>
          <cell r="Q18" t="str">
            <v>..</v>
          </cell>
          <cell r="R18" t="str">
            <v>..</v>
          </cell>
          <cell r="S18" t="str">
            <v>..</v>
          </cell>
          <cell r="T18" t="str">
            <v>..</v>
          </cell>
          <cell r="U18" t="str">
            <v>..</v>
          </cell>
          <cell r="V18">
            <v>52</v>
          </cell>
          <cell r="W18">
            <v>2</v>
          </cell>
          <cell r="X18">
            <v>50</v>
          </cell>
          <cell r="Y18" t="str">
            <v>-</v>
          </cell>
          <cell r="Z18" t="str">
            <v>Two weeks. Fathers are entitled to 12 months parental leave, but only two weeks are paid through 'Parental Leave Pay' reserved for fathers.</v>
          </cell>
          <cell r="AA18" t="str">
            <v>Gross</v>
          </cell>
          <cell r="AB18" t="str">
            <v>Y</v>
          </cell>
          <cell r="AC18">
            <v>2</v>
          </cell>
          <cell r="AD18" t="str">
            <v>-</v>
          </cell>
          <cell r="AE18" t="str">
            <v>-</v>
          </cell>
          <cell r="AF18" t="str">
            <v>-</v>
          </cell>
          <cell r="AG18" t="str">
            <v>-</v>
          </cell>
          <cell r="AH18" t="str">
            <v>-</v>
          </cell>
          <cell r="AI18">
            <v>882.8</v>
          </cell>
          <cell r="AJ18" t="str">
            <v>week</v>
          </cell>
          <cell r="AK18" t="str">
            <v>-</v>
          </cell>
          <cell r="AL18" t="str">
            <v>-</v>
          </cell>
          <cell r="AM18" t="str">
            <v>-</v>
          </cell>
          <cell r="AN18" t="str">
            <v>-</v>
          </cell>
          <cell r="AO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cell r="BD18" t="str">
            <v>-</v>
          </cell>
          <cell r="BE18" t="str">
            <v>-</v>
          </cell>
          <cell r="BF18" t="str">
            <v>-</v>
          </cell>
          <cell r="BG18" t="str">
            <v>-</v>
          </cell>
          <cell r="BH18" t="str">
            <v>-</v>
          </cell>
          <cell r="BI18" t="str">
            <v>-</v>
          </cell>
          <cell r="BJ18" t="str">
            <v>-</v>
          </cell>
          <cell r="BK18" t="str">
            <v>-</v>
          </cell>
          <cell r="BL18" t="str">
            <v>-</v>
          </cell>
          <cell r="BM18">
            <v>0.44227264466154115</v>
          </cell>
          <cell r="BN18">
            <v>1.7010486333136197E-2</v>
          </cell>
          <cell r="BO18" t="str">
            <v>-</v>
          </cell>
          <cell r="BP18" t="str">
            <v>-</v>
          </cell>
          <cell r="BQ18">
            <v>45905.246879999999</v>
          </cell>
          <cell r="BR18">
            <v>3825.4372400000002</v>
          </cell>
          <cell r="BS18">
            <v>882.8</v>
          </cell>
          <cell r="BT18">
            <v>176.56</v>
          </cell>
        </row>
        <row r="19">
          <cell r="A19" t="str">
            <v>Australia2025100 / 100</v>
          </cell>
          <cell r="B19" t="str">
            <v>Australia</v>
          </cell>
          <cell r="C19">
            <v>2025</v>
          </cell>
          <cell r="D19" t="str">
            <v>100 / 100</v>
          </cell>
          <cell r="E19">
            <v>103794</v>
          </cell>
          <cell r="F19">
            <v>8649.5</v>
          </cell>
          <cell r="G19">
            <v>1996.0538157985829</v>
          </cell>
          <cell r="H19">
            <v>399.21076315971658</v>
          </cell>
          <cell r="I19">
            <v>103794</v>
          </cell>
          <cell r="J19">
            <v>8649.5</v>
          </cell>
          <cell r="K19">
            <v>1996.0538157985829</v>
          </cell>
          <cell r="L19">
            <v>399.21076315971658</v>
          </cell>
          <cell r="M19" t="str">
            <v>..</v>
          </cell>
          <cell r="N19" t="str">
            <v>..</v>
          </cell>
          <cell r="O19" t="str">
            <v>..</v>
          </cell>
          <cell r="P19" t="str">
            <v>..</v>
          </cell>
          <cell r="Q19" t="str">
            <v>..</v>
          </cell>
          <cell r="R19" t="str">
            <v>..</v>
          </cell>
          <cell r="S19" t="str">
            <v>..</v>
          </cell>
          <cell r="T19" t="str">
            <v>..</v>
          </cell>
          <cell r="U19" t="str">
            <v>..</v>
          </cell>
          <cell r="V19">
            <v>52</v>
          </cell>
          <cell r="W19">
            <v>2</v>
          </cell>
          <cell r="X19">
            <v>50</v>
          </cell>
          <cell r="Y19" t="str">
            <v>-</v>
          </cell>
          <cell r="Z19" t="str">
            <v>Two weeks. Fathers are entitled to 12 months parental leave, but only two weeks are paid through 'Parental Leave Pay' reserved for fathers.</v>
          </cell>
          <cell r="AA19" t="str">
            <v>Gross</v>
          </cell>
          <cell r="AB19" t="str">
            <v>Y</v>
          </cell>
          <cell r="AC19">
            <v>3</v>
          </cell>
          <cell r="AD19" t="str">
            <v>-</v>
          </cell>
          <cell r="AE19" t="str">
            <v>-</v>
          </cell>
          <cell r="AF19" t="str">
            <v>-</v>
          </cell>
          <cell r="AG19" t="str">
            <v>-</v>
          </cell>
          <cell r="AH19" t="str">
            <v>-</v>
          </cell>
          <cell r="AI19">
            <v>915.9</v>
          </cell>
          <cell r="AJ19" t="str">
            <v>week</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v>0.45885536389386672</v>
          </cell>
          <cell r="BN19">
            <v>2.6472424840030772E-2</v>
          </cell>
          <cell r="BO19" t="str">
            <v>-</v>
          </cell>
          <cell r="BP19" t="str">
            <v>-</v>
          </cell>
          <cell r="BQ19">
            <v>47626.433640000003</v>
          </cell>
          <cell r="BR19">
            <v>3968.8694700000001</v>
          </cell>
          <cell r="BS19">
            <v>915.9</v>
          </cell>
          <cell r="BT19">
            <v>183.17999999999998</v>
          </cell>
        </row>
        <row r="20">
          <cell r="A20" t="str">
            <v>Austria2014100 / 100</v>
          </cell>
          <cell r="B20" t="str">
            <v>Austria</v>
          </cell>
          <cell r="C20">
            <v>2014</v>
          </cell>
          <cell r="D20" t="str">
            <v>100 / 100</v>
          </cell>
          <cell r="E20">
            <v>42813.654000000002</v>
          </cell>
          <cell r="F20">
            <v>3567.8045000000002</v>
          </cell>
          <cell r="G20">
            <v>823.34583342948793</v>
          </cell>
          <cell r="H20">
            <v>164.66916668589758</v>
          </cell>
          <cell r="I20">
            <v>42813.654000000002</v>
          </cell>
          <cell r="J20">
            <v>3567.8045000000002</v>
          </cell>
          <cell r="K20">
            <v>823.34583342948793</v>
          </cell>
          <cell r="L20">
            <v>164.66916668589758</v>
          </cell>
          <cell r="M20">
            <v>27965.383000000002</v>
          </cell>
          <cell r="N20">
            <v>2330.4485833333333</v>
          </cell>
          <cell r="O20">
            <v>537.79996384587571</v>
          </cell>
          <cell r="P20">
            <v>107.55999276917514</v>
          </cell>
          <cell r="Q20">
            <v>27965.383000000002</v>
          </cell>
          <cell r="R20">
            <v>2330.4485833333333</v>
          </cell>
          <cell r="S20">
            <v>537.79996384587571</v>
          </cell>
          <cell r="T20">
            <v>107.55999276917514</v>
          </cell>
          <cell r="U20" t="str">
            <v>..</v>
          </cell>
          <cell r="V20">
            <v>8.6666659999999993</v>
          </cell>
          <cell r="W20">
            <v>8.6666659999999993</v>
          </cell>
          <cell r="X20">
            <v>0</v>
          </cell>
          <cell r="Y20" t="str">
            <v>-</v>
          </cell>
          <cell r="Z20" t="str">
            <v>Two months (assumed that the shortest 12+2 option is taken). Paid at 80 per cent of earnings with a ceiling of 2000 euros</v>
          </cell>
          <cell r="AA20" t="str">
            <v>Net</v>
          </cell>
          <cell r="AB20" t="str">
            <v>N</v>
          </cell>
          <cell r="AC20">
            <v>8.6666659999999993</v>
          </cell>
          <cell r="AD20">
            <v>0.8</v>
          </cell>
          <cell r="AE20">
            <v>2000</v>
          </cell>
          <cell r="AF20" t="str">
            <v>per month</v>
          </cell>
          <cell r="AG20" t="str">
            <v>-</v>
          </cell>
          <cell r="AH20" t="str">
            <v>-</v>
          </cell>
          <cell r="AI20" t="str">
            <v>-</v>
          </cell>
          <cell r="AJ20" t="str">
            <v>-</v>
          </cell>
          <cell r="AK20" t="str">
            <v>-</v>
          </cell>
          <cell r="AL20" t="str">
            <v>-</v>
          </cell>
          <cell r="AM20" t="str">
            <v>-</v>
          </cell>
          <cell r="AN20" t="str">
            <v>-</v>
          </cell>
          <cell r="AO20" t="str">
            <v>-</v>
          </cell>
          <cell r="AP20" t="str">
            <v>-</v>
          </cell>
          <cell r="AQ20" t="str">
            <v>-</v>
          </cell>
          <cell r="AR20" t="str">
            <v>-</v>
          </cell>
          <cell r="AS20" t="str">
            <v>-</v>
          </cell>
          <cell r="AT20" t="str">
            <v>-</v>
          </cell>
          <cell r="AU20" t="str">
            <v>-</v>
          </cell>
          <cell r="AV20" t="str">
            <v>-</v>
          </cell>
          <cell r="AW20" t="str">
            <v>-</v>
          </cell>
          <cell r="AX20" t="str">
            <v>-</v>
          </cell>
          <cell r="AY20" t="str">
            <v>-</v>
          </cell>
          <cell r="AZ20" t="str">
            <v>-</v>
          </cell>
          <cell r="BA20" t="str">
            <v>-</v>
          </cell>
          <cell r="BB20" t="str">
            <v>-</v>
          </cell>
          <cell r="BC20" t="str">
            <v>-</v>
          </cell>
          <cell r="BD20" t="str">
            <v>-</v>
          </cell>
          <cell r="BE20" t="str">
            <v>-</v>
          </cell>
          <cell r="BF20" t="str">
            <v>-</v>
          </cell>
          <cell r="BG20" t="str">
            <v>-</v>
          </cell>
          <cell r="BH20" t="str">
            <v>-</v>
          </cell>
          <cell r="BI20" t="str">
            <v>-</v>
          </cell>
          <cell r="BJ20" t="str">
            <v>-</v>
          </cell>
          <cell r="BK20" t="str">
            <v>-</v>
          </cell>
          <cell r="BL20" t="str">
            <v>-</v>
          </cell>
          <cell r="BM20">
            <v>0.52255073580031264</v>
          </cell>
          <cell r="BN20">
            <v>0.52255073580031264</v>
          </cell>
          <cell r="BO20">
            <v>0.8</v>
          </cell>
          <cell r="BP20">
            <v>0.8</v>
          </cell>
          <cell r="BQ20">
            <v>22372.306400000001</v>
          </cell>
          <cell r="BR20">
            <v>1864.3588666666667</v>
          </cell>
          <cell r="BS20">
            <v>430.23997107670056</v>
          </cell>
          <cell r="BT20">
            <v>86.047994215340111</v>
          </cell>
        </row>
        <row r="21">
          <cell r="A21" t="str">
            <v>Austria2015100 / 100</v>
          </cell>
          <cell r="B21" t="str">
            <v>Austria</v>
          </cell>
          <cell r="C21">
            <v>2015</v>
          </cell>
          <cell r="D21" t="str">
            <v>100 / 100</v>
          </cell>
          <cell r="E21">
            <v>43910.758999999998</v>
          </cell>
          <cell r="F21">
            <v>3659.2299166666667</v>
          </cell>
          <cell r="G21">
            <v>844.44416880129836</v>
          </cell>
          <cell r="H21">
            <v>168.88883376025967</v>
          </cell>
          <cell r="I21">
            <v>43910.758999999998</v>
          </cell>
          <cell r="J21">
            <v>3659.2299166666667</v>
          </cell>
          <cell r="K21">
            <v>844.44416880129836</v>
          </cell>
          <cell r="L21">
            <v>168.88883376025967</v>
          </cell>
          <cell r="M21">
            <v>28524.18</v>
          </cell>
          <cell r="N21">
            <v>2377.0149999999999</v>
          </cell>
          <cell r="O21">
            <v>548.54614266263582</v>
          </cell>
          <cell r="P21">
            <v>109.70922853252716</v>
          </cell>
          <cell r="Q21">
            <v>28524.18</v>
          </cell>
          <cell r="R21">
            <v>2377.0149999999999</v>
          </cell>
          <cell r="S21">
            <v>548.54614266263582</v>
          </cell>
          <cell r="T21">
            <v>109.70922853252716</v>
          </cell>
          <cell r="U21" t="str">
            <v>..</v>
          </cell>
          <cell r="V21">
            <v>8.6666659999999993</v>
          </cell>
          <cell r="W21">
            <v>8.6666659999999993</v>
          </cell>
          <cell r="X21">
            <v>0</v>
          </cell>
          <cell r="Y21" t="str">
            <v>-</v>
          </cell>
          <cell r="Z21" t="str">
            <v>Two months (assumed that the shortest 12+2 option is taken). Paid at 80 per cent of NET earnings with a ceiling of 2000 euros</v>
          </cell>
          <cell r="AA21" t="str">
            <v>Net</v>
          </cell>
          <cell r="AB21" t="str">
            <v>N</v>
          </cell>
          <cell r="AC21">
            <v>8.6666659999999993</v>
          </cell>
          <cell r="AD21">
            <v>0.8</v>
          </cell>
          <cell r="AE21">
            <v>2000</v>
          </cell>
          <cell r="AF21" t="str">
            <v>per month</v>
          </cell>
          <cell r="AG21" t="str">
            <v>-</v>
          </cell>
          <cell r="AH21" t="str">
            <v>-</v>
          </cell>
          <cell r="AI21" t="str">
            <v>-</v>
          </cell>
          <cell r="AJ21" t="str">
            <v>-</v>
          </cell>
          <cell r="AK21" t="str">
            <v>-</v>
          </cell>
          <cell r="AL21" t="str">
            <v>-</v>
          </cell>
          <cell r="AM21" t="str">
            <v>-</v>
          </cell>
          <cell r="AN21" t="str">
            <v>-</v>
          </cell>
          <cell r="AO21" t="str">
            <v>-</v>
          </cell>
          <cell r="AP21" t="str">
            <v>-</v>
          </cell>
          <cell r="AQ21" t="str">
            <v>-</v>
          </cell>
          <cell r="AR21" t="str">
            <v>-</v>
          </cell>
          <cell r="AS21" t="str">
            <v>-</v>
          </cell>
          <cell r="AT21" t="str">
            <v>-</v>
          </cell>
          <cell r="AU21" t="str">
            <v>-</v>
          </cell>
          <cell r="AV21" t="str">
            <v>-</v>
          </cell>
          <cell r="AW21" t="str">
            <v>-</v>
          </cell>
          <cell r="AX21" t="str">
            <v>-</v>
          </cell>
          <cell r="AY21" t="str">
            <v>-</v>
          </cell>
          <cell r="AZ21" t="str">
            <v>-</v>
          </cell>
          <cell r="BA21" t="str">
            <v>-</v>
          </cell>
          <cell r="BB21" t="str">
            <v>-</v>
          </cell>
          <cell r="BC21" t="str">
            <v>-</v>
          </cell>
          <cell r="BD21" t="str">
            <v>-</v>
          </cell>
          <cell r="BE21" t="str">
            <v>-</v>
          </cell>
          <cell r="BF21" t="str">
            <v>-</v>
          </cell>
          <cell r="BG21" t="str">
            <v>-</v>
          </cell>
          <cell r="BH21" t="str">
            <v>-</v>
          </cell>
          <cell r="BI21" t="str">
            <v>-</v>
          </cell>
          <cell r="BJ21" t="str">
            <v>-</v>
          </cell>
          <cell r="BK21" t="str">
            <v>-</v>
          </cell>
          <cell r="BL21" t="str">
            <v>-</v>
          </cell>
          <cell r="BM21">
            <v>0.51967546268102538</v>
          </cell>
          <cell r="BN21">
            <v>0.51967546268102538</v>
          </cell>
          <cell r="BO21">
            <v>0.8</v>
          </cell>
          <cell r="BP21">
            <v>0.8</v>
          </cell>
          <cell r="BQ21">
            <v>22819.343999999997</v>
          </cell>
          <cell r="BR21">
            <v>1901.6119999999999</v>
          </cell>
          <cell r="BS21">
            <v>438.8369141301086</v>
          </cell>
          <cell r="BT21">
            <v>87.767382826021731</v>
          </cell>
        </row>
        <row r="22">
          <cell r="A22" t="str">
            <v>Austria2016100 / 100</v>
          </cell>
          <cell r="B22" t="str">
            <v>Austria</v>
          </cell>
          <cell r="C22">
            <v>2016</v>
          </cell>
          <cell r="D22" t="str">
            <v>100 / 100</v>
          </cell>
          <cell r="E22">
            <v>45072.625</v>
          </cell>
          <cell r="F22">
            <v>3756.0520833333335</v>
          </cell>
          <cell r="G22">
            <v>866.7879175993661</v>
          </cell>
          <cell r="H22">
            <v>173.35758351987323</v>
          </cell>
          <cell r="I22">
            <v>45072.625</v>
          </cell>
          <cell r="J22">
            <v>3756.0520833333335</v>
          </cell>
          <cell r="K22">
            <v>866.7879175993661</v>
          </cell>
          <cell r="L22">
            <v>173.35758351987323</v>
          </cell>
          <cell r="M22">
            <v>30601.571</v>
          </cell>
          <cell r="N22">
            <v>2550.1309166666665</v>
          </cell>
          <cell r="O22">
            <v>588.49627689443753</v>
          </cell>
          <cell r="P22">
            <v>117.6992553788875</v>
          </cell>
          <cell r="Q22">
            <v>30601.571</v>
          </cell>
          <cell r="R22">
            <v>2550.1309166666665</v>
          </cell>
          <cell r="S22">
            <v>588.49627689443753</v>
          </cell>
          <cell r="T22">
            <v>117.6992553788875</v>
          </cell>
          <cell r="U22" t="str">
            <v>..</v>
          </cell>
          <cell r="V22">
            <v>8.6666659999999993</v>
          </cell>
          <cell r="W22">
            <v>8.6666659999999993</v>
          </cell>
          <cell r="X22">
            <v>0</v>
          </cell>
          <cell r="Y22" t="str">
            <v>-</v>
          </cell>
          <cell r="Z22" t="str">
            <v>Two months (assumed that the shortest 12+2 option is taken). Paid at 80 per cent of NET earnings with a ceiling of 2000 euros</v>
          </cell>
          <cell r="AA22" t="str">
            <v>Net</v>
          </cell>
          <cell r="AB22" t="str">
            <v>N</v>
          </cell>
          <cell r="AC22">
            <v>8.6666659999999993</v>
          </cell>
          <cell r="AD22">
            <v>0.8</v>
          </cell>
          <cell r="AE22">
            <v>2000</v>
          </cell>
          <cell r="AF22" t="str">
            <v>per month</v>
          </cell>
          <cell r="AG22" t="str">
            <v>-</v>
          </cell>
          <cell r="AH22" t="str">
            <v>-</v>
          </cell>
          <cell r="AI22" t="str">
            <v>-</v>
          </cell>
          <cell r="AJ22" t="str">
            <v>-</v>
          </cell>
          <cell r="AK22" t="str">
            <v>-</v>
          </cell>
          <cell r="AL22" t="str">
            <v>-</v>
          </cell>
          <cell r="AM22" t="str">
            <v>-</v>
          </cell>
          <cell r="AN22" t="str">
            <v>-</v>
          </cell>
          <cell r="AO22" t="str">
            <v>-</v>
          </cell>
          <cell r="AP22" t="str">
            <v>-</v>
          </cell>
          <cell r="AQ22" t="str">
            <v>-</v>
          </cell>
          <cell r="AR22" t="str">
            <v>-</v>
          </cell>
          <cell r="AS22" t="str">
            <v>-</v>
          </cell>
          <cell r="AT22" t="str">
            <v>-</v>
          </cell>
          <cell r="AU22" t="str">
            <v>-</v>
          </cell>
          <cell r="AV22" t="str">
            <v>-</v>
          </cell>
          <cell r="AW22" t="str">
            <v>-</v>
          </cell>
          <cell r="AX22" t="str">
            <v>-</v>
          </cell>
          <cell r="AY22" t="str">
            <v>-</v>
          </cell>
          <cell r="AZ22" t="str">
            <v>-</v>
          </cell>
          <cell r="BA22" t="str">
            <v>-</v>
          </cell>
          <cell r="BB22" t="str">
            <v>-</v>
          </cell>
          <cell r="BC22" t="str">
            <v>-</v>
          </cell>
          <cell r="BD22" t="str">
            <v>-</v>
          </cell>
          <cell r="BE22" t="str">
            <v>-</v>
          </cell>
          <cell r="BF22" t="str">
            <v>-</v>
          </cell>
          <cell r="BG22" t="str">
            <v>-</v>
          </cell>
          <cell r="BH22" t="str">
            <v>-</v>
          </cell>
          <cell r="BI22" t="str">
            <v>-</v>
          </cell>
          <cell r="BJ22" t="str">
            <v>-</v>
          </cell>
          <cell r="BK22" t="str">
            <v>-</v>
          </cell>
          <cell r="BL22" t="str">
            <v>-</v>
          </cell>
          <cell r="BM22">
            <v>0.53247397949420516</v>
          </cell>
          <cell r="BN22">
            <v>0.53247397949420516</v>
          </cell>
          <cell r="BO22">
            <v>0.78427346099322814</v>
          </cell>
          <cell r="BP22">
            <v>0.78427346099322814</v>
          </cell>
          <cell r="BQ22">
            <v>24000</v>
          </cell>
          <cell r="BR22">
            <v>2000</v>
          </cell>
          <cell r="BS22">
            <v>461.54201186162965</v>
          </cell>
          <cell r="BT22">
            <v>92.308402372325943</v>
          </cell>
        </row>
        <row r="23">
          <cell r="A23" t="str">
            <v>Austria2017100 / 100</v>
          </cell>
          <cell r="B23" t="str">
            <v>Austria</v>
          </cell>
          <cell r="C23">
            <v>2017</v>
          </cell>
          <cell r="D23" t="str">
            <v>100 / 100</v>
          </cell>
          <cell r="E23">
            <v>46001.737999999998</v>
          </cell>
          <cell r="F23">
            <v>3833.4781666666663</v>
          </cell>
          <cell r="G23">
            <v>884.65561273548246</v>
          </cell>
          <cell r="H23">
            <v>176.93112254709649</v>
          </cell>
          <cell r="I23">
            <v>46001.737999999998</v>
          </cell>
          <cell r="J23">
            <v>3833.4781666666663</v>
          </cell>
          <cell r="K23">
            <v>884.65561273548246</v>
          </cell>
          <cell r="L23">
            <v>176.93112254709649</v>
          </cell>
          <cell r="M23">
            <v>31083.183000000001</v>
          </cell>
          <cell r="N23">
            <v>2590.2652499999999</v>
          </cell>
          <cell r="O23">
            <v>597.7581173701335</v>
          </cell>
          <cell r="P23">
            <v>119.5516234740267</v>
          </cell>
          <cell r="Q23">
            <v>31083.183000000001</v>
          </cell>
          <cell r="R23">
            <v>2590.2652499999999</v>
          </cell>
          <cell r="S23">
            <v>597.7581173701335</v>
          </cell>
          <cell r="T23">
            <v>119.5516234740267</v>
          </cell>
          <cell r="U23" t="str">
            <v>..</v>
          </cell>
          <cell r="V23">
            <v>8.6666659999999993</v>
          </cell>
          <cell r="W23">
            <v>8.6666659999999993</v>
          </cell>
          <cell r="X23">
            <v>0</v>
          </cell>
          <cell r="Y23" t="str">
            <v>-</v>
          </cell>
          <cell r="Z23" t="str">
            <v>Two months (assumed that the shortest 12+2 option is taken). Paid at 80 per cent of NET earnings with a ceiling of 2000 euros</v>
          </cell>
          <cell r="AA23" t="str">
            <v>Net</v>
          </cell>
          <cell r="AB23" t="str">
            <v>N</v>
          </cell>
          <cell r="AC23">
            <v>8.6666659999999993</v>
          </cell>
          <cell r="AD23">
            <v>0.8</v>
          </cell>
          <cell r="AE23">
            <v>2000</v>
          </cell>
          <cell r="AF23" t="str">
            <v>per month</v>
          </cell>
          <cell r="AG23" t="str">
            <v>-</v>
          </cell>
          <cell r="AH23" t="str">
            <v>-</v>
          </cell>
          <cell r="AI23" t="str">
            <v>-</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t="str">
            <v>-</v>
          </cell>
          <cell r="BF23" t="str">
            <v>-</v>
          </cell>
          <cell r="BG23" t="str">
            <v>-</v>
          </cell>
          <cell r="BH23" t="str">
            <v>-</v>
          </cell>
          <cell r="BI23" t="str">
            <v>-</v>
          </cell>
          <cell r="BJ23" t="str">
            <v>-</v>
          </cell>
          <cell r="BK23" t="str">
            <v>-</v>
          </cell>
          <cell r="BL23" t="str">
            <v>-</v>
          </cell>
          <cell r="BM23">
            <v>0.52171941851414405</v>
          </cell>
          <cell r="BN23">
            <v>0.52171941851414405</v>
          </cell>
          <cell r="BO23">
            <v>0.77212169680305909</v>
          </cell>
          <cell r="BP23">
            <v>0.77212169680305909</v>
          </cell>
          <cell r="BQ23">
            <v>24000.000000000004</v>
          </cell>
          <cell r="BR23">
            <v>2000.0000000000002</v>
          </cell>
          <cell r="BS23">
            <v>461.5420118616297</v>
          </cell>
          <cell r="BT23">
            <v>92.308402372325943</v>
          </cell>
        </row>
        <row r="24">
          <cell r="A24" t="str">
            <v>Austria2018100 / 100</v>
          </cell>
          <cell r="B24" t="str">
            <v>Austria</v>
          </cell>
          <cell r="C24">
            <v>2018</v>
          </cell>
          <cell r="D24" t="str">
            <v>100 / 100</v>
          </cell>
          <cell r="E24">
            <v>47077.811999999998</v>
          </cell>
          <cell r="F24">
            <v>3923.1509999999998</v>
          </cell>
          <cell r="G24">
            <v>905.34950268848206</v>
          </cell>
          <cell r="H24">
            <v>181.06990053769641</v>
          </cell>
          <cell r="I24">
            <v>47077.811999999998</v>
          </cell>
          <cell r="J24">
            <v>3923.1509999999998</v>
          </cell>
          <cell r="K24">
            <v>905.34950268848206</v>
          </cell>
          <cell r="L24">
            <v>181.06990053769641</v>
          </cell>
          <cell r="M24">
            <v>31640.973999999998</v>
          </cell>
          <cell r="N24">
            <v>2636.7478333333333</v>
          </cell>
          <cell r="O24">
            <v>608.48494988422988</v>
          </cell>
          <cell r="P24">
            <v>121.69698997684597</v>
          </cell>
          <cell r="Q24">
            <v>31640.973999999998</v>
          </cell>
          <cell r="R24">
            <v>2636.7478333333333</v>
          </cell>
          <cell r="S24">
            <v>608.48494988422988</v>
          </cell>
          <cell r="T24">
            <v>121.69698997684597</v>
          </cell>
          <cell r="U24" t="str">
            <v>..</v>
          </cell>
          <cell r="V24">
            <v>8.6666659999999993</v>
          </cell>
          <cell r="W24">
            <v>8.6666659999999993</v>
          </cell>
          <cell r="X24">
            <v>0</v>
          </cell>
          <cell r="Y24" t="str">
            <v>-</v>
          </cell>
          <cell r="Z24" t="str">
            <v>Two months (assumed that the shortest 12+2 option is taken). Paid at 80 per cent of NET earnings with a ceiling of 2000 euros.</v>
          </cell>
          <cell r="AA24" t="str">
            <v>Net</v>
          </cell>
          <cell r="AB24" t="str">
            <v>N</v>
          </cell>
          <cell r="AC24">
            <v>8.6666659999999993</v>
          </cell>
          <cell r="AD24">
            <v>0.8</v>
          </cell>
          <cell r="AE24">
            <v>2000</v>
          </cell>
          <cell r="AF24" t="str">
            <v>per month</v>
          </cell>
          <cell r="AG24" t="str">
            <v>-</v>
          </cell>
          <cell r="AH24" t="str">
            <v>-</v>
          </cell>
          <cell r="AI24" t="str">
            <v>-</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cell r="BL24" t="str">
            <v>-</v>
          </cell>
          <cell r="BM24">
            <v>0.5097942954528133</v>
          </cell>
          <cell r="BN24">
            <v>0.5097942954528133</v>
          </cell>
          <cell r="BO24">
            <v>0.75851015205789807</v>
          </cell>
          <cell r="BP24">
            <v>0.75851015205789807</v>
          </cell>
          <cell r="BQ24">
            <v>24000</v>
          </cell>
          <cell r="BR24">
            <v>1999.9999999999998</v>
          </cell>
          <cell r="BS24">
            <v>461.54201186162959</v>
          </cell>
          <cell r="BT24">
            <v>92.308402372325915</v>
          </cell>
        </row>
        <row r="25">
          <cell r="A25" t="str">
            <v>Austria2019100 / 100</v>
          </cell>
          <cell r="B25" t="str">
            <v>Austria</v>
          </cell>
          <cell r="C25">
            <v>2019</v>
          </cell>
          <cell r="D25" t="str">
            <v>100 / 100</v>
          </cell>
          <cell r="E25">
            <v>48397.732000000004</v>
          </cell>
          <cell r="F25">
            <v>4033.1443333333336</v>
          </cell>
          <cell r="G25">
            <v>930.73277486749896</v>
          </cell>
          <cell r="H25">
            <v>186.1465549734998</v>
          </cell>
          <cell r="I25">
            <v>48397.732000000004</v>
          </cell>
          <cell r="J25">
            <v>4033.1443333333336</v>
          </cell>
          <cell r="K25">
            <v>930.73277486749896</v>
          </cell>
          <cell r="L25">
            <v>186.1465549734998</v>
          </cell>
          <cell r="M25">
            <v>32325.164000000001</v>
          </cell>
          <cell r="N25">
            <v>2693.7636666666667</v>
          </cell>
          <cell r="O25">
            <v>621.64255109654687</v>
          </cell>
          <cell r="P25">
            <v>124.32851021930938</v>
          </cell>
          <cell r="Q25">
            <v>32325.164000000001</v>
          </cell>
          <cell r="R25">
            <v>2693.7636666666667</v>
          </cell>
          <cell r="S25">
            <v>621.64255109654687</v>
          </cell>
          <cell r="T25">
            <v>124.32851021930938</v>
          </cell>
          <cell r="U25" t="str">
            <v>..</v>
          </cell>
          <cell r="V25">
            <v>8.6666659999999993</v>
          </cell>
          <cell r="W25">
            <v>8.6666659999999993</v>
          </cell>
          <cell r="X25">
            <v>0</v>
          </cell>
          <cell r="Y25" t="str">
            <v>-</v>
          </cell>
          <cell r="Z25" t="str">
            <v>Two months (assumed that the shortest 12+2 option is taken). Paid at 80 per cent of NET earnings with a ceiling of 2000 euros.</v>
          </cell>
          <cell r="AA25" t="str">
            <v>Net</v>
          </cell>
          <cell r="AB25" t="str">
            <v>N</v>
          </cell>
          <cell r="AC25">
            <v>8.6666659999999993</v>
          </cell>
          <cell r="AD25">
            <v>0.8</v>
          </cell>
          <cell r="AE25">
            <v>2000</v>
          </cell>
          <cell r="AF25" t="str">
            <v>per month</v>
          </cell>
          <cell r="AG25" t="str">
            <v>-</v>
          </cell>
          <cell r="AH25" t="str">
            <v>-</v>
          </cell>
          <cell r="AI25" t="str">
            <v>-</v>
          </cell>
          <cell r="AJ25" t="str">
            <v>-</v>
          </cell>
          <cell r="AK25" t="str">
            <v>-</v>
          </cell>
          <cell r="AL25" t="str">
            <v>-</v>
          </cell>
          <cell r="AM25" t="str">
            <v>-</v>
          </cell>
          <cell r="AN25" t="str">
            <v>-</v>
          </cell>
          <cell r="AO25" t="str">
            <v>-</v>
          </cell>
          <cell r="AP25" t="str">
            <v>-</v>
          </cell>
          <cell r="AQ25" t="str">
            <v>-</v>
          </cell>
          <cell r="AR25" t="str">
            <v>-</v>
          </cell>
          <cell r="AS25" t="str">
            <v>-</v>
          </cell>
          <cell r="AT25" t="str">
            <v>-</v>
          </cell>
          <cell r="AU25" t="str">
            <v>-</v>
          </cell>
          <cell r="AV25" t="str">
            <v>-</v>
          </cell>
          <cell r="AW25" t="str">
            <v>-</v>
          </cell>
          <cell r="AX25" t="str">
            <v>-</v>
          </cell>
          <cell r="AY25" t="str">
            <v>-</v>
          </cell>
          <cell r="AZ25" t="str">
            <v>-</v>
          </cell>
          <cell r="BA25" t="str">
            <v>-</v>
          </cell>
          <cell r="BB25" t="str">
            <v>-</v>
          </cell>
          <cell r="BC25" t="str">
            <v>-</v>
          </cell>
          <cell r="BD25" t="str">
            <v>-</v>
          </cell>
          <cell r="BE25" t="str">
            <v>-</v>
          </cell>
          <cell r="BF25" t="str">
            <v>-</v>
          </cell>
          <cell r="BG25" t="str">
            <v>-</v>
          </cell>
          <cell r="BH25" t="str">
            <v>-</v>
          </cell>
          <cell r="BI25" t="str">
            <v>-</v>
          </cell>
          <cell r="BJ25" t="str">
            <v>-</v>
          </cell>
          <cell r="BK25" t="str">
            <v>-</v>
          </cell>
          <cell r="BL25" t="str">
            <v>-</v>
          </cell>
          <cell r="BM25">
            <v>0.49589100580167678</v>
          </cell>
          <cell r="BN25">
            <v>0.49589100580167678</v>
          </cell>
          <cell r="BO25">
            <v>0.74245562992348624</v>
          </cell>
          <cell r="BP25">
            <v>0.74245562992348624</v>
          </cell>
          <cell r="BQ25">
            <v>24000</v>
          </cell>
          <cell r="BR25">
            <v>2000</v>
          </cell>
          <cell r="BS25">
            <v>461.54201186162965</v>
          </cell>
          <cell r="BT25">
            <v>92.308402372325929</v>
          </cell>
        </row>
        <row r="26">
          <cell r="A26" t="str">
            <v>Austria2020100 / 100</v>
          </cell>
          <cell r="B26" t="str">
            <v>Austria</v>
          </cell>
          <cell r="C26">
            <v>2020</v>
          </cell>
          <cell r="D26" t="str">
            <v>100 / 100</v>
          </cell>
          <cell r="E26">
            <v>49086.917999999998</v>
          </cell>
          <cell r="F26">
            <v>4090.5764999999997</v>
          </cell>
          <cell r="G26">
            <v>943.98645374195166</v>
          </cell>
          <cell r="H26">
            <v>188.79729074839034</v>
          </cell>
          <cell r="I26">
            <v>49086.917999999998</v>
          </cell>
          <cell r="J26">
            <v>4090.5764999999997</v>
          </cell>
          <cell r="K26">
            <v>943.98645374195166</v>
          </cell>
          <cell r="L26">
            <v>188.79729074839034</v>
          </cell>
          <cell r="M26">
            <v>33032.409</v>
          </cell>
          <cell r="N26">
            <v>2752.70075</v>
          </cell>
          <cell r="O26">
            <v>635.24352110400844</v>
          </cell>
          <cell r="P26">
            <v>127.04870422080168</v>
          </cell>
          <cell r="Q26">
            <v>33032.409</v>
          </cell>
          <cell r="R26">
            <v>2752.70075</v>
          </cell>
          <cell r="S26">
            <v>635.24352110400844</v>
          </cell>
          <cell r="T26">
            <v>127.04870422080168</v>
          </cell>
          <cell r="U26" t="str">
            <v>..</v>
          </cell>
          <cell r="V26">
            <v>8.6666659999999993</v>
          </cell>
          <cell r="W26">
            <v>8.6666659999999993</v>
          </cell>
          <cell r="X26">
            <v>0</v>
          </cell>
          <cell r="Y26" t="str">
            <v>-</v>
          </cell>
          <cell r="Z26" t="str">
            <v>Two months (assumed that the shortest 12+2 option is taken and father previosuly on paternity benefits). Paid at 80 per cent of NET earnings with a ceiling of 2000 euros. Due to previous paternity benefit received, daily compensation for the first month is reduced by EUR 22.60 per day from the usual EUR 60 per day. Thus first month is paid with a ceiling of (1-22.60/60)*2000=1246.7</v>
          </cell>
          <cell r="AA26" t="str">
            <v>Net</v>
          </cell>
          <cell r="AB26" t="str">
            <v>N</v>
          </cell>
          <cell r="AC26">
            <v>8.6666659999999993</v>
          </cell>
          <cell r="AD26">
            <v>0.8</v>
          </cell>
          <cell r="AE26">
            <v>2000</v>
          </cell>
          <cell r="AF26" t="str">
            <v>per month</v>
          </cell>
          <cell r="AG26" t="str">
            <v>-</v>
          </cell>
          <cell r="AH26" t="str">
            <v>-</v>
          </cell>
          <cell r="AI26" t="str">
            <v>-</v>
          </cell>
          <cell r="AJ26" t="str">
            <v>-</v>
          </cell>
          <cell r="AK26">
            <v>1246.6666666666665</v>
          </cell>
          <cell r="AL26" t="str">
            <v>subtraction from first month</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cell r="BL26" t="str">
            <v>-</v>
          </cell>
          <cell r="BM26">
            <v>0.33654587969853805</v>
          </cell>
          <cell r="BN26">
            <v>0.33654587969853805</v>
          </cell>
          <cell r="BO26">
            <v>0.50011490230700406</v>
          </cell>
          <cell r="BP26">
            <v>0.50011490230700406</v>
          </cell>
          <cell r="BQ26">
            <v>16520</v>
          </cell>
          <cell r="BR26">
            <v>1376.6666666666667</v>
          </cell>
          <cell r="BS26">
            <v>317.69475149808841</v>
          </cell>
          <cell r="BT26">
            <v>63.538950299617689</v>
          </cell>
        </row>
        <row r="27">
          <cell r="A27" t="str">
            <v>Austria2021100 / 100</v>
          </cell>
          <cell r="B27" t="str">
            <v>Austria</v>
          </cell>
          <cell r="C27">
            <v>2021</v>
          </cell>
          <cell r="D27" t="str">
            <v>100 / 100</v>
          </cell>
          <cell r="E27">
            <v>50447.06</v>
          </cell>
          <cell r="F27">
            <v>4203.9216666666662</v>
          </cell>
          <cell r="G27">
            <v>970.14323187101422</v>
          </cell>
          <cell r="H27">
            <v>194.02864637420285</v>
          </cell>
          <cell r="I27">
            <v>50447.06</v>
          </cell>
          <cell r="J27">
            <v>4203.9216666666662</v>
          </cell>
          <cell r="K27">
            <v>970.14323187101422</v>
          </cell>
          <cell r="L27">
            <v>194.02864637420285</v>
          </cell>
          <cell r="M27">
            <v>33712.249000000003</v>
          </cell>
          <cell r="N27">
            <v>2809.3540833333336</v>
          </cell>
          <cell r="O27">
            <v>648.31746782667562</v>
          </cell>
          <cell r="P27">
            <v>129.66349356533513</v>
          </cell>
          <cell r="Q27">
            <v>33712.249000000003</v>
          </cell>
          <cell r="R27">
            <v>2809.3540833333336</v>
          </cell>
          <cell r="S27">
            <v>648.31746782667562</v>
          </cell>
          <cell r="T27">
            <v>129.66349356533513</v>
          </cell>
          <cell r="U27" t="str">
            <v>..</v>
          </cell>
          <cell r="V27">
            <v>8.6666659999999993</v>
          </cell>
          <cell r="W27">
            <v>8.6666659999999993</v>
          </cell>
          <cell r="X27">
            <v>0</v>
          </cell>
          <cell r="Y27" t="str">
            <v>-</v>
          </cell>
          <cell r="Z27" t="str">
            <v>Two months (assumed that the shortest 12+2 option is taken and father previosuly on paternity benefits). Paid at 80 per cent of NET earnings with a ceiling of 2000 euros. Due to previous paternity benefit received, daily compensation for the first month is reduced by EUR 22.60 per day from the usual EUR 60 per day. Thus first month is paid with a ceiling of (1-22.60/60)*2000=1246.7</v>
          </cell>
          <cell r="AA27" t="str">
            <v>Net</v>
          </cell>
          <cell r="AB27" t="str">
            <v>N</v>
          </cell>
          <cell r="AC27">
            <v>8.6666659999999993</v>
          </cell>
          <cell r="AD27">
            <v>0.8</v>
          </cell>
          <cell r="AE27">
            <v>2000</v>
          </cell>
          <cell r="AF27" t="str">
            <v>per month</v>
          </cell>
          <cell r="AG27" t="str">
            <v>-</v>
          </cell>
          <cell r="AH27" t="str">
            <v>-</v>
          </cell>
          <cell r="AI27" t="str">
            <v>-</v>
          </cell>
          <cell r="AJ27" t="str">
            <v>-</v>
          </cell>
          <cell r="AK27">
            <v>1246.6666666666665</v>
          </cell>
          <cell r="AL27" t="str">
            <v>subtraction from first month</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t="str">
            <v>-</v>
          </cell>
          <cell r="BF27" t="str">
            <v>-</v>
          </cell>
          <cell r="BG27" t="str">
            <v>-</v>
          </cell>
          <cell r="BH27" t="str">
            <v>-</v>
          </cell>
          <cell r="BI27" t="str">
            <v>-</v>
          </cell>
          <cell r="BJ27" t="str">
            <v>-</v>
          </cell>
          <cell r="BK27" t="str">
            <v>-</v>
          </cell>
          <cell r="BL27" t="str">
            <v>-</v>
          </cell>
          <cell r="BM27">
            <v>0.32747200728843279</v>
          </cell>
          <cell r="BN27">
            <v>0.32747200728843279</v>
          </cell>
          <cell r="BO27">
            <v>0.49002960318666372</v>
          </cell>
          <cell r="BP27">
            <v>0.49002960318666372</v>
          </cell>
          <cell r="BQ27">
            <v>16520.000000000004</v>
          </cell>
          <cell r="BR27">
            <v>1376.666666666667</v>
          </cell>
          <cell r="BS27">
            <v>317.69475149808852</v>
          </cell>
          <cell r="BT27">
            <v>63.538950299617703</v>
          </cell>
        </row>
        <row r="28">
          <cell r="A28" t="str">
            <v>Austria2022100 / 100</v>
          </cell>
          <cell r="B28" t="str">
            <v>Austria</v>
          </cell>
          <cell r="C28">
            <v>2022</v>
          </cell>
          <cell r="D28" t="str">
            <v>100 / 100</v>
          </cell>
          <cell r="E28">
            <v>52762.767</v>
          </cell>
          <cell r="F28">
            <v>4396.89725</v>
          </cell>
          <cell r="G28">
            <v>1014.6764013569334</v>
          </cell>
          <cell r="H28">
            <v>202.93528027138669</v>
          </cell>
          <cell r="I28">
            <v>52762.767</v>
          </cell>
          <cell r="J28">
            <v>4396.89725</v>
          </cell>
          <cell r="K28">
            <v>1014.6764013569334</v>
          </cell>
          <cell r="L28">
            <v>202.93528027138669</v>
          </cell>
          <cell r="M28">
            <v>35425.654000000002</v>
          </cell>
          <cell r="N28">
            <v>2952.1378333333337</v>
          </cell>
          <cell r="O28">
            <v>681.26781744474954</v>
          </cell>
          <cell r="P28">
            <v>136.25356348894991</v>
          </cell>
          <cell r="Q28">
            <v>35425.654000000002</v>
          </cell>
          <cell r="R28">
            <v>2952.1378333333337</v>
          </cell>
          <cell r="S28">
            <v>681.26781744474954</v>
          </cell>
          <cell r="T28">
            <v>136.25356348894991</v>
          </cell>
          <cell r="U28" t="str">
            <v>..</v>
          </cell>
          <cell r="V28">
            <v>8.6666659999999993</v>
          </cell>
          <cell r="W28">
            <v>8.6666659999999993</v>
          </cell>
          <cell r="X28">
            <v>0</v>
          </cell>
          <cell r="Y28" t="str">
            <v>-</v>
          </cell>
          <cell r="Z28" t="str">
            <v>Two months (assumed that the shortest 12+2 option is taken and father previosuly on paternity benefits). Paid at 80 per cent of NET earnings with a ceiling of 2000 euros. Due to previous paternity benefit received, daily compensation for the first month is reduced by EUR 22.60 per day from the usual EUR 60 per day. Thus first month is paid with a ceiling of (1-22.60/60)*2000=1246.8</v>
          </cell>
          <cell r="AA28" t="str">
            <v>Net</v>
          </cell>
          <cell r="AB28" t="str">
            <v>N</v>
          </cell>
          <cell r="AC28">
            <v>8.67</v>
          </cell>
          <cell r="AD28">
            <v>0.8</v>
          </cell>
          <cell r="AE28">
            <v>2000</v>
          </cell>
          <cell r="AF28" t="str">
            <v>per month</v>
          </cell>
          <cell r="AG28" t="str">
            <v>-</v>
          </cell>
          <cell r="AH28" t="str">
            <v>-</v>
          </cell>
          <cell r="AI28" t="str">
            <v>-</v>
          </cell>
          <cell r="AJ28" t="str">
            <v>-</v>
          </cell>
          <cell r="AK28">
            <v>1246.6666666666665</v>
          </cell>
          <cell r="AL28" t="str">
            <v>subtraction from first month</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J28" t="str">
            <v>-</v>
          </cell>
          <cell r="BK28" t="str">
            <v>-</v>
          </cell>
          <cell r="BL28" t="str">
            <v>-</v>
          </cell>
          <cell r="BM28">
            <v>0.31334051680020569</v>
          </cell>
          <cell r="BN28">
            <v>0.31334051680020569</v>
          </cell>
          <cell r="BO28">
            <v>0.46650811633320682</v>
          </cell>
          <cell r="BP28">
            <v>0.46650811633320682</v>
          </cell>
          <cell r="BQ28">
            <v>16532.71267958884</v>
          </cell>
          <cell r="BR28">
            <v>1377.7260566324032</v>
          </cell>
          <cell r="BS28">
            <v>317.93922798615444</v>
          </cell>
          <cell r="BT28">
            <v>63.587845597230888</v>
          </cell>
        </row>
        <row r="29">
          <cell r="A29" t="str">
            <v>Austria2023100 / 100</v>
          </cell>
          <cell r="B29" t="str">
            <v>Austria</v>
          </cell>
          <cell r="C29">
            <v>2023</v>
          </cell>
          <cell r="D29" t="str">
            <v>100 / 100</v>
          </cell>
          <cell r="E29">
            <v>56228.887999999999</v>
          </cell>
          <cell r="F29">
            <v>4685.7406666666666</v>
          </cell>
          <cell r="G29">
            <v>1081.3330871775936</v>
          </cell>
          <cell r="H29">
            <v>216.26661743551873</v>
          </cell>
          <cell r="I29">
            <v>56228.887999999999</v>
          </cell>
          <cell r="J29">
            <v>4685.7406666666666</v>
          </cell>
          <cell r="K29">
            <v>1081.3330871775936</v>
          </cell>
          <cell r="L29">
            <v>216.26661743551873</v>
          </cell>
          <cell r="M29">
            <v>38200.953000000001</v>
          </cell>
          <cell r="N29">
            <v>3183.41275</v>
          </cell>
          <cell r="O29">
            <v>734.6393626104815</v>
          </cell>
          <cell r="P29">
            <v>146.92787252209629</v>
          </cell>
          <cell r="Q29">
            <v>38200.953000000001</v>
          </cell>
          <cell r="R29">
            <v>3183.41275</v>
          </cell>
          <cell r="S29">
            <v>734.6393626104815</v>
          </cell>
          <cell r="T29">
            <v>146.92787252209629</v>
          </cell>
          <cell r="U29" t="str">
            <v>..</v>
          </cell>
          <cell r="V29">
            <v>8.6666659999999993</v>
          </cell>
          <cell r="W29">
            <v>8.6666659999999993</v>
          </cell>
          <cell r="X29">
            <v>0</v>
          </cell>
          <cell r="Y29" t="str">
            <v>-</v>
          </cell>
          <cell r="Z29" t="str">
            <v xml:space="preserve">Two months (assumed that the shortest 12+2 option is taken and father previosuly on paternity benefits). Paid at 80 per cent of NET earnings with a ceiling of 2100 euros. The maximum benefit is no longer affected by the paternity benefit as of 2023. </v>
          </cell>
          <cell r="AA29" t="str">
            <v>Net</v>
          </cell>
          <cell r="AB29" t="str">
            <v>N</v>
          </cell>
          <cell r="AC29">
            <v>8.67</v>
          </cell>
          <cell r="AD29">
            <v>0.8</v>
          </cell>
          <cell r="AE29">
            <v>2100</v>
          </cell>
          <cell r="AF29" t="str">
            <v>per month</v>
          </cell>
          <cell r="AG29" t="str">
            <v>-</v>
          </cell>
          <cell r="AH29" t="str">
            <v>-</v>
          </cell>
          <cell r="AI29" t="str">
            <v>-</v>
          </cell>
          <cell r="AJ29" t="str">
            <v>-</v>
          </cell>
          <cell r="AK29">
            <v>0</v>
          </cell>
          <cell r="AL29" t="str">
            <v>-</v>
          </cell>
          <cell r="AM29" t="str">
            <v>-</v>
          </cell>
          <cell r="AN29" t="str">
            <v>-</v>
          </cell>
          <cell r="AO29" t="str">
            <v>-</v>
          </cell>
          <cell r="AP29" t="str">
            <v>-</v>
          </cell>
          <cell r="AQ29" t="str">
            <v>-</v>
          </cell>
          <cell r="AR29" t="str">
            <v>-</v>
          </cell>
          <cell r="AS29" t="str">
            <v>-</v>
          </cell>
          <cell r="AT29" t="str">
            <v>-</v>
          </cell>
          <cell r="AU29" t="str">
            <v>-</v>
          </cell>
          <cell r="AV29" t="str">
            <v>-</v>
          </cell>
          <cell r="AW29" t="str">
            <v>-</v>
          </cell>
          <cell r="AX29" t="str">
            <v>-</v>
          </cell>
          <cell r="AY29" t="str">
            <v>-</v>
          </cell>
          <cell r="AZ29" t="str">
            <v>-</v>
          </cell>
          <cell r="BA29" t="str">
            <v>-</v>
          </cell>
          <cell r="BB29" t="str">
            <v>-</v>
          </cell>
          <cell r="BC29" t="str">
            <v>-</v>
          </cell>
          <cell r="BD29" t="str">
            <v>-</v>
          </cell>
          <cell r="BE29" t="str">
            <v>-</v>
          </cell>
          <cell r="BF29" t="str">
            <v>-</v>
          </cell>
          <cell r="BG29" t="str">
            <v>-</v>
          </cell>
          <cell r="BH29" t="str">
            <v>-</v>
          </cell>
          <cell r="BI29" t="str">
            <v>-</v>
          </cell>
          <cell r="BJ29" t="str">
            <v>-</v>
          </cell>
          <cell r="BK29" t="str">
            <v>-</v>
          </cell>
          <cell r="BL29" t="str">
            <v>-</v>
          </cell>
          <cell r="BM29">
            <v>0.44851308855870703</v>
          </cell>
          <cell r="BN29">
            <v>0.44851308855870703</v>
          </cell>
          <cell r="BO29">
            <v>0.65992317644273324</v>
          </cell>
          <cell r="BP29">
            <v>0.65992317644273324</v>
          </cell>
          <cell r="BQ29">
            <v>25219.392223101619</v>
          </cell>
          <cell r="BR29">
            <v>2101.6160185918015</v>
          </cell>
          <cell r="BS29">
            <v>484.99204269074409</v>
          </cell>
          <cell r="BT29">
            <v>96.998408538148823</v>
          </cell>
        </row>
        <row r="30">
          <cell r="A30" t="str">
            <v>Austria2024100 / 100</v>
          </cell>
          <cell r="B30" t="str">
            <v>Austria</v>
          </cell>
          <cell r="C30">
            <v>2024</v>
          </cell>
          <cell r="D30" t="str">
            <v>100 / 100</v>
          </cell>
          <cell r="E30">
            <v>61698.96</v>
          </cell>
          <cell r="F30">
            <v>5141.58</v>
          </cell>
          <cell r="G30">
            <v>1186.5275886737588</v>
          </cell>
          <cell r="H30">
            <v>237.30551773475176</v>
          </cell>
          <cell r="I30">
            <v>61698.96</v>
          </cell>
          <cell r="J30">
            <v>5141.58</v>
          </cell>
          <cell r="K30">
            <v>1186.5275886737588</v>
          </cell>
          <cell r="L30">
            <v>237.30551773475176</v>
          </cell>
          <cell r="M30">
            <v>41517.462</v>
          </cell>
          <cell r="N30">
            <v>3459.7885000000001</v>
          </cell>
          <cell r="O30">
            <v>798.418872452865</v>
          </cell>
          <cell r="P30">
            <v>159.683774490573</v>
          </cell>
          <cell r="Q30">
            <v>41517.462</v>
          </cell>
          <cell r="R30">
            <v>3459.7885000000001</v>
          </cell>
          <cell r="S30">
            <v>798.418872452865</v>
          </cell>
          <cell r="T30">
            <v>159.683774490573</v>
          </cell>
          <cell r="U30" t="str">
            <v>..</v>
          </cell>
          <cell r="V30">
            <v>8.6666659999999993</v>
          </cell>
          <cell r="W30">
            <v>8.6666659999999993</v>
          </cell>
          <cell r="X30">
            <v>0</v>
          </cell>
          <cell r="Y30" t="str">
            <v>-</v>
          </cell>
          <cell r="Z30" t="str">
            <v xml:space="preserve">Two months (assumed that the shortest 12+2 option is taken and father previosuly on paternity benefits). Paid at 80 per cent of NET earnings with a ceiling of 2300 euros. The maximum benefit is no longer affected by the paternity benefit as of 2023. </v>
          </cell>
          <cell r="AA30" t="str">
            <v>Net</v>
          </cell>
          <cell r="AB30" t="str">
            <v>N</v>
          </cell>
          <cell r="AC30">
            <v>8.67</v>
          </cell>
          <cell r="AD30">
            <v>0.8</v>
          </cell>
          <cell r="AE30">
            <v>2300</v>
          </cell>
          <cell r="AF30" t="str">
            <v>per month</v>
          </cell>
          <cell r="AG30" t="str">
            <v>-</v>
          </cell>
          <cell r="AH30" t="str">
            <v>-</v>
          </cell>
          <cell r="AI30" t="str">
            <v>-</v>
          </cell>
          <cell r="AJ30" t="str">
            <v>-</v>
          </cell>
          <cell r="AK30">
            <v>0</v>
          </cell>
          <cell r="AL30" t="str">
            <v>-</v>
          </cell>
          <cell r="AM30" t="str">
            <v>-</v>
          </cell>
          <cell r="AN30" t="str">
            <v>-</v>
          </cell>
          <cell r="AO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cell r="BD30" t="str">
            <v>-</v>
          </cell>
          <cell r="BE30" t="str">
            <v>-</v>
          </cell>
          <cell r="BF30" t="str">
            <v>-</v>
          </cell>
          <cell r="BG30" t="str">
            <v>-</v>
          </cell>
          <cell r="BH30" t="str">
            <v>-</v>
          </cell>
          <cell r="BI30" t="str">
            <v>-</v>
          </cell>
          <cell r="BJ30" t="str">
            <v>-</v>
          </cell>
          <cell r="BK30" t="str">
            <v>-</v>
          </cell>
          <cell r="BL30" t="str">
            <v>-</v>
          </cell>
          <cell r="BM30">
            <v>0.44767754758738626</v>
          </cell>
          <cell r="BN30">
            <v>0.44767754758738626</v>
          </cell>
          <cell r="BO30">
            <v>0.66503625651560871</v>
          </cell>
          <cell r="BP30">
            <v>0.66503625651560871</v>
          </cell>
          <cell r="BQ30">
            <v>27621.23910149224</v>
          </cell>
          <cell r="BR30">
            <v>2301.7699251243534</v>
          </cell>
          <cell r="BS30">
            <v>531.18176104224335</v>
          </cell>
          <cell r="BT30">
            <v>106.23635220844866</v>
          </cell>
        </row>
        <row r="31">
          <cell r="A31" t="str">
            <v>Austria2025100 / 100</v>
          </cell>
          <cell r="B31" t="str">
            <v>Austria</v>
          </cell>
          <cell r="C31">
            <v>2025</v>
          </cell>
          <cell r="D31" t="str">
            <v>100 / 100</v>
          </cell>
          <cell r="E31">
            <v>61698.96</v>
          </cell>
          <cell r="F31">
            <v>5141.58</v>
          </cell>
          <cell r="G31">
            <v>1186.5275886737588</v>
          </cell>
          <cell r="H31">
            <v>237.30551773475176</v>
          </cell>
          <cell r="I31">
            <v>61698.96</v>
          </cell>
          <cell r="J31">
            <v>5141.58</v>
          </cell>
          <cell r="K31">
            <v>1186.5275886737588</v>
          </cell>
          <cell r="L31">
            <v>237.30551773475176</v>
          </cell>
          <cell r="M31">
            <v>41517.462</v>
          </cell>
          <cell r="N31">
            <v>3459.7885000000001</v>
          </cell>
          <cell r="O31">
            <v>798.418872452865</v>
          </cell>
          <cell r="P31">
            <v>159.683774490573</v>
          </cell>
          <cell r="Q31">
            <v>41517.462</v>
          </cell>
          <cell r="R31">
            <v>3459.7885000000001</v>
          </cell>
          <cell r="S31">
            <v>798.418872452865</v>
          </cell>
          <cell r="T31">
            <v>159.683774490573</v>
          </cell>
          <cell r="U31" t="str">
            <v>..</v>
          </cell>
          <cell r="V31">
            <v>8.6666659999999993</v>
          </cell>
          <cell r="W31">
            <v>8.6666659999999993</v>
          </cell>
          <cell r="X31">
            <v>0</v>
          </cell>
          <cell r="Y31" t="str">
            <v>-</v>
          </cell>
          <cell r="Z31" t="str">
            <v xml:space="preserve">Two months (assumed that the shortest 12+2 option is taken and father previosuly on paternity benefits). Paid at 80 per cent of NET earnings with a ceiling of 2400 euros. The maximum benefit is no longer affected by the paternity benefit as of 2024. </v>
          </cell>
          <cell r="AA31" t="str">
            <v>Net</v>
          </cell>
          <cell r="AB31" t="str">
            <v>N</v>
          </cell>
          <cell r="AC31">
            <v>8.67</v>
          </cell>
          <cell r="AD31">
            <v>0.8</v>
          </cell>
          <cell r="AE31">
            <v>2400</v>
          </cell>
          <cell r="AF31" t="str">
            <v>per month</v>
          </cell>
          <cell r="AG31" t="str">
            <v>-</v>
          </cell>
          <cell r="AH31" t="str">
            <v>-</v>
          </cell>
          <cell r="AI31" t="str">
            <v>-</v>
          </cell>
          <cell r="AJ31" t="str">
            <v>-</v>
          </cell>
          <cell r="AK31">
            <v>0</v>
          </cell>
          <cell r="AL31" t="str">
            <v>-</v>
          </cell>
          <cell r="AM31" t="str">
            <v>-</v>
          </cell>
          <cell r="AN31" t="str">
            <v>-</v>
          </cell>
          <cell r="AO31" t="str">
            <v>-</v>
          </cell>
          <cell r="AP31" t="str">
            <v>-</v>
          </cell>
          <cell r="AQ31" t="str">
            <v>-</v>
          </cell>
          <cell r="AR31" t="str">
            <v>-</v>
          </cell>
          <cell r="AS31" t="str">
            <v>-</v>
          </cell>
          <cell r="AT31" t="str">
            <v>-</v>
          </cell>
          <cell r="AU31" t="str">
            <v>-</v>
          </cell>
          <cell r="AV31" t="str">
            <v>-</v>
          </cell>
          <cell r="AW31" t="str">
            <v>-</v>
          </cell>
          <cell r="AX31" t="str">
            <v>-</v>
          </cell>
          <cell r="AY31" t="str">
            <v>-</v>
          </cell>
          <cell r="AZ31" t="str">
            <v>-</v>
          </cell>
          <cell r="BA31" t="str">
            <v>-</v>
          </cell>
          <cell r="BB31" t="str">
            <v>-</v>
          </cell>
          <cell r="BC31" t="str">
            <v>-</v>
          </cell>
          <cell r="BD31" t="str">
            <v>-</v>
          </cell>
          <cell r="BE31" t="str">
            <v>-</v>
          </cell>
          <cell r="BF31" t="str">
            <v>-</v>
          </cell>
          <cell r="BG31" t="str">
            <v>-</v>
          </cell>
          <cell r="BH31" t="str">
            <v>-</v>
          </cell>
          <cell r="BI31" t="str">
            <v>-</v>
          </cell>
          <cell r="BJ31" t="str">
            <v>-</v>
          </cell>
          <cell r="BK31" t="str">
            <v>-</v>
          </cell>
          <cell r="BL31" t="str">
            <v>-</v>
          </cell>
          <cell r="BM31">
            <v>0.46714178878683782</v>
          </cell>
          <cell r="BN31">
            <v>0.46714178878683782</v>
          </cell>
          <cell r="BO31">
            <v>0.69395087636411346</v>
          </cell>
          <cell r="BP31">
            <v>0.69395087636411346</v>
          </cell>
          <cell r="BQ31">
            <v>28822.162540687554</v>
          </cell>
          <cell r="BR31">
            <v>2401.8468783906296</v>
          </cell>
          <cell r="BS31">
            <v>554.27662021799301</v>
          </cell>
          <cell r="BT31">
            <v>110.8553240435986</v>
          </cell>
        </row>
        <row r="32">
          <cell r="A32" t="str">
            <v>Belgium2014100 / 100</v>
          </cell>
          <cell r="B32" t="str">
            <v>Belgium</v>
          </cell>
          <cell r="C32">
            <v>2014</v>
          </cell>
          <cell r="D32" t="str">
            <v>100 / 100</v>
          </cell>
          <cell r="E32">
            <v>46451</v>
          </cell>
          <cell r="F32">
            <v>3870.9166666666665</v>
          </cell>
          <cell r="G32">
            <v>893.29533304102324</v>
          </cell>
          <cell r="H32">
            <v>178.65906660820465</v>
          </cell>
          <cell r="I32">
            <v>46451</v>
          </cell>
          <cell r="J32">
            <v>3870.9166666666665</v>
          </cell>
          <cell r="K32">
            <v>893.29533304102324</v>
          </cell>
          <cell r="L32">
            <v>178.65906660820465</v>
          </cell>
          <cell r="M32" t="str">
            <v>..</v>
          </cell>
          <cell r="N32" t="str">
            <v>..</v>
          </cell>
          <cell r="O32" t="str">
            <v>..</v>
          </cell>
          <cell r="P32" t="str">
            <v>..</v>
          </cell>
          <cell r="Q32" t="str">
            <v>..</v>
          </cell>
          <cell r="R32" t="str">
            <v>..</v>
          </cell>
          <cell r="S32" t="str">
            <v>..</v>
          </cell>
          <cell r="T32" t="str">
            <v>..</v>
          </cell>
          <cell r="U32" t="str">
            <v>..</v>
          </cell>
          <cell r="V32">
            <v>17.333300000000001</v>
          </cell>
          <cell r="W32">
            <v>17.333300000000001</v>
          </cell>
          <cell r="X32">
            <v>0</v>
          </cell>
          <cell r="Y32" t="str">
            <v>-</v>
          </cell>
          <cell r="Z32" t="str">
            <v>Four months. €707.08 per month net of taxes (€786.78 before taxes).</v>
          </cell>
          <cell r="AA32" t="str">
            <v>Gross</v>
          </cell>
          <cell r="AB32" t="str">
            <v>Y</v>
          </cell>
          <cell r="AC32">
            <v>17.333300000000001</v>
          </cell>
          <cell r="AD32" t="str">
            <v>-</v>
          </cell>
          <cell r="AE32" t="str">
            <v>-</v>
          </cell>
          <cell r="AF32" t="str">
            <v>-</v>
          </cell>
          <cell r="AG32" t="str">
            <v>-</v>
          </cell>
          <cell r="AH32" t="str">
            <v>-</v>
          </cell>
          <cell r="AI32">
            <v>786.78</v>
          </cell>
          <cell r="AJ32" t="str">
            <v>month</v>
          </cell>
          <cell r="AK32" t="str">
            <v>-</v>
          </cell>
          <cell r="AL32" t="str">
            <v>-</v>
          </cell>
          <cell r="AM32" t="str">
            <v>-</v>
          </cell>
          <cell r="AN32" t="str">
            <v>-</v>
          </cell>
          <cell r="AO32" t="str">
            <v>-</v>
          </cell>
          <cell r="AP32" t="str">
            <v>-</v>
          </cell>
          <cell r="AQ32" t="str">
            <v>-</v>
          </cell>
          <cell r="AR32" t="str">
            <v>-</v>
          </cell>
          <cell r="AS32" t="str">
            <v>-</v>
          </cell>
          <cell r="AT32" t="str">
            <v>-</v>
          </cell>
          <cell r="AU32" t="str">
            <v>-</v>
          </cell>
          <cell r="AV32" t="str">
            <v>-</v>
          </cell>
          <cell r="AW32" t="str">
            <v>-</v>
          </cell>
          <cell r="AX32" t="str">
            <v>-</v>
          </cell>
          <cell r="AY32" t="str">
            <v>-</v>
          </cell>
          <cell r="AZ32" t="str">
            <v>-</v>
          </cell>
          <cell r="BA32" t="str">
            <v>-</v>
          </cell>
          <cell r="BB32" t="str">
            <v>-</v>
          </cell>
          <cell r="BC32" t="str">
            <v>-</v>
          </cell>
          <cell r="BD32" t="str">
            <v>-</v>
          </cell>
          <cell r="BE32" t="str">
            <v>-</v>
          </cell>
          <cell r="BF32" t="str">
            <v>-</v>
          </cell>
          <cell r="BG32" t="str">
            <v>-</v>
          </cell>
          <cell r="BH32" t="str">
            <v>-</v>
          </cell>
          <cell r="BI32" t="str">
            <v>-</v>
          </cell>
          <cell r="BJ32" t="str">
            <v>-</v>
          </cell>
          <cell r="BK32" t="str">
            <v>-</v>
          </cell>
          <cell r="BL32" t="str">
            <v>-</v>
          </cell>
          <cell r="BM32">
            <v>0.20325418182601021</v>
          </cell>
          <cell r="BN32">
            <v>0.20325418182601021</v>
          </cell>
          <cell r="BO32" t="str">
            <v>-</v>
          </cell>
          <cell r="BP32" t="str">
            <v>-</v>
          </cell>
          <cell r="BQ32">
            <v>9441.36</v>
          </cell>
          <cell r="BR32">
            <v>786.78</v>
          </cell>
          <cell r="BS32">
            <v>181.56601204624647</v>
          </cell>
          <cell r="BT32">
            <v>36.3132024092493</v>
          </cell>
        </row>
        <row r="33">
          <cell r="A33" t="str">
            <v>Belgium2015100 / 100</v>
          </cell>
          <cell r="B33" t="str">
            <v>Belgium</v>
          </cell>
          <cell r="C33">
            <v>2015</v>
          </cell>
          <cell r="D33" t="str">
            <v>100 / 100</v>
          </cell>
          <cell r="E33">
            <v>46479</v>
          </cell>
          <cell r="F33">
            <v>3873.25</v>
          </cell>
          <cell r="G33">
            <v>893.83379872152852</v>
          </cell>
          <cell r="H33">
            <v>178.76675974430572</v>
          </cell>
          <cell r="I33">
            <v>46479</v>
          </cell>
          <cell r="J33">
            <v>3873.25</v>
          </cell>
          <cell r="K33">
            <v>893.83379872152852</v>
          </cell>
          <cell r="L33">
            <v>178.76675974430572</v>
          </cell>
          <cell r="M33" t="str">
            <v>..</v>
          </cell>
          <cell r="N33" t="str">
            <v>..</v>
          </cell>
          <cell r="O33" t="str">
            <v>..</v>
          </cell>
          <cell r="P33" t="str">
            <v>..</v>
          </cell>
          <cell r="Q33" t="str">
            <v>..</v>
          </cell>
          <cell r="R33" t="str">
            <v>..</v>
          </cell>
          <cell r="S33" t="str">
            <v>..</v>
          </cell>
          <cell r="T33" t="str">
            <v>..</v>
          </cell>
          <cell r="U33" t="str">
            <v>..</v>
          </cell>
          <cell r="V33">
            <v>17.333300000000001</v>
          </cell>
          <cell r="W33">
            <v>17.333300000000001</v>
          </cell>
          <cell r="X33">
            <v>0</v>
          </cell>
          <cell r="Y33" t="str">
            <v>-</v>
          </cell>
          <cell r="Z33" t="str">
            <v>Four months. €707.08 per month net of taxes (€786.78 before taxes).</v>
          </cell>
          <cell r="AA33" t="str">
            <v>Gross</v>
          </cell>
          <cell r="AB33" t="str">
            <v>Y</v>
          </cell>
          <cell r="AC33">
            <v>17.333300000000001</v>
          </cell>
          <cell r="AD33" t="str">
            <v>-</v>
          </cell>
          <cell r="AE33" t="str">
            <v>-</v>
          </cell>
          <cell r="AF33" t="str">
            <v>-</v>
          </cell>
          <cell r="AG33" t="str">
            <v>-</v>
          </cell>
          <cell r="AH33" t="str">
            <v>-</v>
          </cell>
          <cell r="AI33">
            <v>786.78</v>
          </cell>
          <cell r="AJ33" t="str">
            <v>month</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J33" t="str">
            <v>-</v>
          </cell>
          <cell r="BK33" t="str">
            <v>-</v>
          </cell>
          <cell r="BL33" t="str">
            <v>-</v>
          </cell>
          <cell r="BM33">
            <v>0.20313173691344477</v>
          </cell>
          <cell r="BN33">
            <v>0.20313173691344477</v>
          </cell>
          <cell r="BO33" t="str">
            <v>-</v>
          </cell>
          <cell r="BP33" t="str">
            <v>-</v>
          </cell>
          <cell r="BQ33">
            <v>9441.3599999999988</v>
          </cell>
          <cell r="BR33">
            <v>786.78</v>
          </cell>
          <cell r="BS33">
            <v>181.56601204624647</v>
          </cell>
          <cell r="BT33">
            <v>36.3132024092493</v>
          </cell>
        </row>
        <row r="34">
          <cell r="A34" t="str">
            <v>Belgium2016100 / 100</v>
          </cell>
          <cell r="B34" t="str">
            <v>Belgium</v>
          </cell>
          <cell r="C34">
            <v>2016</v>
          </cell>
          <cell r="D34" t="str">
            <v>100 / 100</v>
          </cell>
          <cell r="E34">
            <v>46528</v>
          </cell>
          <cell r="F34">
            <v>3877.3333333333335</v>
          </cell>
          <cell r="G34">
            <v>894.77611366241274</v>
          </cell>
          <cell r="H34">
            <v>178.95522273248255</v>
          </cell>
          <cell r="I34">
            <v>46528</v>
          </cell>
          <cell r="J34">
            <v>3877.3333333333335</v>
          </cell>
          <cell r="K34">
            <v>894.77611366241274</v>
          </cell>
          <cell r="L34">
            <v>178.95522273248255</v>
          </cell>
          <cell r="M34" t="str">
            <v>..</v>
          </cell>
          <cell r="N34" t="str">
            <v>..</v>
          </cell>
          <cell r="O34" t="str">
            <v>..</v>
          </cell>
          <cell r="P34" t="str">
            <v>..</v>
          </cell>
          <cell r="Q34" t="str">
            <v>..</v>
          </cell>
          <cell r="R34" t="str">
            <v>..</v>
          </cell>
          <cell r="S34" t="str">
            <v>..</v>
          </cell>
          <cell r="T34" t="str">
            <v>..</v>
          </cell>
          <cell r="U34" t="str">
            <v>..</v>
          </cell>
          <cell r="V34">
            <v>17.333300000000001</v>
          </cell>
          <cell r="W34">
            <v>17.333300000000001</v>
          </cell>
          <cell r="X34">
            <v>0</v>
          </cell>
          <cell r="Y34" t="str">
            <v>-</v>
          </cell>
          <cell r="Z34" t="str">
            <v>Four months. €707.08 per month net of taxes (€786.78 before taxes).</v>
          </cell>
          <cell r="AA34" t="str">
            <v>Gross</v>
          </cell>
          <cell r="AB34" t="str">
            <v>Y</v>
          </cell>
          <cell r="AC34">
            <v>17.333300000000001</v>
          </cell>
          <cell r="AD34" t="str">
            <v>-</v>
          </cell>
          <cell r="AE34" t="str">
            <v>-</v>
          </cell>
          <cell r="AF34" t="str">
            <v>-</v>
          </cell>
          <cell r="AG34" t="str">
            <v>-</v>
          </cell>
          <cell r="AH34" t="str">
            <v>-</v>
          </cell>
          <cell r="AI34">
            <v>786.78</v>
          </cell>
          <cell r="AJ34" t="str">
            <v>month</v>
          </cell>
          <cell r="AK34" t="str">
            <v>-</v>
          </cell>
          <cell r="AL34" t="str">
            <v>-</v>
          </cell>
          <cell r="AM34" t="str">
            <v>-</v>
          </cell>
          <cell r="AN34" t="str">
            <v>-</v>
          </cell>
          <cell r="AO34" t="str">
            <v>-</v>
          </cell>
          <cell r="AP34" t="str">
            <v>-</v>
          </cell>
          <cell r="AQ34" t="str">
            <v>-</v>
          </cell>
          <cell r="AR34" t="str">
            <v>-</v>
          </cell>
          <cell r="AS34" t="str">
            <v>-</v>
          </cell>
          <cell r="AT34" t="str">
            <v>-</v>
          </cell>
          <cell r="AU34" t="str">
            <v>-</v>
          </cell>
          <cell r="AV34" t="str">
            <v>-</v>
          </cell>
          <cell r="AW34" t="str">
            <v>-</v>
          </cell>
          <cell r="AX34" t="str">
            <v>-</v>
          </cell>
          <cell r="AY34" t="str">
            <v>-</v>
          </cell>
          <cell r="AZ34" t="str">
            <v>-</v>
          </cell>
          <cell r="BA34" t="str">
            <v>-</v>
          </cell>
          <cell r="BB34" t="str">
            <v>-</v>
          </cell>
          <cell r="BC34" t="str">
            <v>-</v>
          </cell>
          <cell r="BD34" t="str">
            <v>-</v>
          </cell>
          <cell r="BE34" t="str">
            <v>-</v>
          </cell>
          <cell r="BF34" t="str">
            <v>-</v>
          </cell>
          <cell r="BG34" t="str">
            <v>-</v>
          </cell>
          <cell r="BH34" t="str">
            <v>-</v>
          </cell>
          <cell r="BI34" t="str">
            <v>-</v>
          </cell>
          <cell r="BJ34" t="str">
            <v>-</v>
          </cell>
          <cell r="BK34" t="str">
            <v>-</v>
          </cell>
          <cell r="BL34" t="str">
            <v>-</v>
          </cell>
          <cell r="BM34">
            <v>0.20291781292984867</v>
          </cell>
          <cell r="BN34">
            <v>0.20291781292984867</v>
          </cell>
          <cell r="BO34" t="str">
            <v>-</v>
          </cell>
          <cell r="BP34" t="str">
            <v>-</v>
          </cell>
          <cell r="BQ34">
            <v>9441.3599999999988</v>
          </cell>
          <cell r="BR34">
            <v>786.78</v>
          </cell>
          <cell r="BS34">
            <v>181.56601204624647</v>
          </cell>
          <cell r="BT34">
            <v>36.3132024092493</v>
          </cell>
        </row>
        <row r="35">
          <cell r="A35" t="str">
            <v>Belgium2017100 / 100</v>
          </cell>
          <cell r="B35" t="str">
            <v>Belgium</v>
          </cell>
          <cell r="C35">
            <v>2017</v>
          </cell>
          <cell r="D35" t="str">
            <v>100 / 100</v>
          </cell>
          <cell r="E35">
            <v>47527</v>
          </cell>
          <cell r="F35">
            <v>3960.5833333333335</v>
          </cell>
          <cell r="G35">
            <v>913.9877999061531</v>
          </cell>
          <cell r="H35">
            <v>182.79755998123062</v>
          </cell>
          <cell r="I35">
            <v>47527</v>
          </cell>
          <cell r="J35">
            <v>3960.5833333333335</v>
          </cell>
          <cell r="K35">
            <v>913.9877999061531</v>
          </cell>
          <cell r="L35">
            <v>182.79755998123062</v>
          </cell>
          <cell r="M35" t="str">
            <v>..</v>
          </cell>
          <cell r="N35" t="str">
            <v>..</v>
          </cell>
          <cell r="O35" t="str">
            <v>..</v>
          </cell>
          <cell r="P35" t="str">
            <v>..</v>
          </cell>
          <cell r="Q35" t="str">
            <v>..</v>
          </cell>
          <cell r="R35" t="str">
            <v>..</v>
          </cell>
          <cell r="S35" t="str">
            <v>..</v>
          </cell>
          <cell r="T35" t="str">
            <v>..</v>
          </cell>
          <cell r="U35" t="str">
            <v>..</v>
          </cell>
          <cell r="V35">
            <v>17.333333333333332</v>
          </cell>
          <cell r="W35">
            <v>17.333333333333332</v>
          </cell>
          <cell r="X35">
            <v>0</v>
          </cell>
          <cell r="Y35" t="str">
            <v>-</v>
          </cell>
          <cell r="Z35" t="str">
            <v>Four month individual entitlement. Paid at €802.52 per month before taxes</v>
          </cell>
          <cell r="AA35" t="str">
            <v>Gross</v>
          </cell>
          <cell r="AB35" t="str">
            <v>Y</v>
          </cell>
          <cell r="AC35">
            <v>17.333333333333332</v>
          </cell>
          <cell r="AD35" t="str">
            <v>-</v>
          </cell>
          <cell r="AE35" t="str">
            <v>-</v>
          </cell>
          <cell r="AF35" t="str">
            <v>-</v>
          </cell>
          <cell r="AG35" t="str">
            <v>-</v>
          </cell>
          <cell r="AH35" t="str">
            <v>-</v>
          </cell>
          <cell r="AI35">
            <v>802.52</v>
          </cell>
          <cell r="AJ35" t="str">
            <v>month</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J35" t="str">
            <v>-</v>
          </cell>
          <cell r="BK35" t="str">
            <v>-</v>
          </cell>
          <cell r="BL35" t="str">
            <v>-</v>
          </cell>
          <cell r="BM35">
            <v>0.20262671744482083</v>
          </cell>
          <cell r="BN35">
            <v>0.20262671744482083</v>
          </cell>
          <cell r="BO35" t="str">
            <v>-</v>
          </cell>
          <cell r="BP35" t="str">
            <v>-</v>
          </cell>
          <cell r="BQ35">
            <v>9630.24</v>
          </cell>
          <cell r="BR35">
            <v>802.52</v>
          </cell>
          <cell r="BS35">
            <v>185.19834767959753</v>
          </cell>
          <cell r="BT35">
            <v>37.039669535919508</v>
          </cell>
        </row>
        <row r="36">
          <cell r="A36" t="str">
            <v>Belgium2018100 / 100</v>
          </cell>
          <cell r="B36" t="str">
            <v>Belgium</v>
          </cell>
          <cell r="C36">
            <v>2018</v>
          </cell>
          <cell r="D36" t="str">
            <v>100 / 100</v>
          </cell>
          <cell r="E36">
            <v>48645</v>
          </cell>
          <cell r="F36">
            <v>4053.75</v>
          </cell>
          <cell r="G36">
            <v>935.4879652920406</v>
          </cell>
          <cell r="H36">
            <v>187.09759305840811</v>
          </cell>
          <cell r="I36">
            <v>48645</v>
          </cell>
          <cell r="J36">
            <v>4053.75</v>
          </cell>
          <cell r="K36">
            <v>935.4879652920406</v>
          </cell>
          <cell r="L36">
            <v>187.09759305840811</v>
          </cell>
          <cell r="M36" t="str">
            <v>..</v>
          </cell>
          <cell r="N36" t="str">
            <v>..</v>
          </cell>
          <cell r="O36" t="str">
            <v>..</v>
          </cell>
          <cell r="P36" t="str">
            <v>..</v>
          </cell>
          <cell r="Q36" t="str">
            <v>..</v>
          </cell>
          <cell r="R36" t="str">
            <v>..</v>
          </cell>
          <cell r="S36" t="str">
            <v>..</v>
          </cell>
          <cell r="T36" t="str">
            <v>..</v>
          </cell>
          <cell r="U36" t="str">
            <v>..</v>
          </cell>
          <cell r="V36">
            <v>17.333333333333332</v>
          </cell>
          <cell r="W36">
            <v>17.333333333333332</v>
          </cell>
          <cell r="X36">
            <v>0</v>
          </cell>
          <cell r="Y36" t="str">
            <v>-</v>
          </cell>
          <cell r="Z36" t="str">
            <v>Four month individual entitlement. Paid at €818.56 per month before taxes</v>
          </cell>
          <cell r="AA36" t="str">
            <v>Gross</v>
          </cell>
          <cell r="AB36" t="str">
            <v>Y</v>
          </cell>
          <cell r="AC36">
            <v>17.333333333333332</v>
          </cell>
          <cell r="AD36" t="str">
            <v>-</v>
          </cell>
          <cell r="AE36" t="str">
            <v>-</v>
          </cell>
          <cell r="AF36" t="str">
            <v>-</v>
          </cell>
          <cell r="AG36" t="str">
            <v>-</v>
          </cell>
          <cell r="AH36" t="str">
            <v>-</v>
          </cell>
          <cell r="AI36">
            <v>818.56</v>
          </cell>
          <cell r="AJ36" t="str">
            <v>month</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cell r="BL36" t="str">
            <v>-</v>
          </cell>
          <cell r="BM36">
            <v>0.20192661116250385</v>
          </cell>
          <cell r="BN36">
            <v>0.20192661116250385</v>
          </cell>
          <cell r="BO36" t="str">
            <v>-</v>
          </cell>
          <cell r="BP36" t="str">
            <v>-</v>
          </cell>
          <cell r="BQ36">
            <v>9822.7199999999993</v>
          </cell>
          <cell r="BR36">
            <v>818.56</v>
          </cell>
          <cell r="BS36">
            <v>188.89991461472778</v>
          </cell>
          <cell r="BT36">
            <v>37.779982922945557</v>
          </cell>
        </row>
        <row r="37">
          <cell r="A37" t="str">
            <v>Belgium2019100 / 100</v>
          </cell>
          <cell r="B37" t="str">
            <v>Belgium</v>
          </cell>
          <cell r="C37">
            <v>2019</v>
          </cell>
          <cell r="D37" t="str">
            <v>100 / 100</v>
          </cell>
          <cell r="E37">
            <v>49783</v>
          </cell>
          <cell r="F37">
            <v>4148.583333333333</v>
          </cell>
          <cell r="G37">
            <v>957.37274902114621</v>
          </cell>
          <cell r="H37">
            <v>191.47454980422924</v>
          </cell>
          <cell r="I37">
            <v>49783</v>
          </cell>
          <cell r="J37">
            <v>4148.583333333333</v>
          </cell>
          <cell r="K37">
            <v>957.37274902114621</v>
          </cell>
          <cell r="L37">
            <v>191.47454980422924</v>
          </cell>
          <cell r="M37" t="str">
            <v>..</v>
          </cell>
          <cell r="N37" t="str">
            <v>..</v>
          </cell>
          <cell r="O37" t="str">
            <v>..</v>
          </cell>
          <cell r="P37" t="str">
            <v>..</v>
          </cell>
          <cell r="Q37" t="str">
            <v>..</v>
          </cell>
          <cell r="R37" t="str">
            <v>..</v>
          </cell>
          <cell r="S37" t="str">
            <v>..</v>
          </cell>
          <cell r="T37" t="str">
            <v>..</v>
          </cell>
          <cell r="U37" t="str">
            <v>..</v>
          </cell>
          <cell r="V37">
            <v>17.333333333333332</v>
          </cell>
          <cell r="W37">
            <v>17.333333333333332</v>
          </cell>
          <cell r="X37">
            <v>0</v>
          </cell>
          <cell r="Y37" t="str">
            <v>-</v>
          </cell>
          <cell r="Z37" t="str">
            <v>Four month individual entitlement. Paid at €835 per month before taxes</v>
          </cell>
          <cell r="AA37" t="str">
            <v>Gross</v>
          </cell>
          <cell r="AB37" t="str">
            <v>Y</v>
          </cell>
          <cell r="AC37">
            <v>17.333333333333332</v>
          </cell>
          <cell r="AD37" t="str">
            <v>-</v>
          </cell>
          <cell r="AE37" t="str">
            <v>-</v>
          </cell>
          <cell r="AF37" t="str">
            <v>-</v>
          </cell>
          <cell r="AG37" t="str">
            <v>-</v>
          </cell>
          <cell r="AH37" t="str">
            <v>-</v>
          </cell>
          <cell r="AI37">
            <v>818.56</v>
          </cell>
          <cell r="AJ37" t="str">
            <v>month</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cell r="BL37" t="str">
            <v>-</v>
          </cell>
          <cell r="BM37">
            <v>0.19731072856195891</v>
          </cell>
          <cell r="BN37">
            <v>0.19731072856195891</v>
          </cell>
          <cell r="BO37" t="str">
            <v>-</v>
          </cell>
          <cell r="BP37" t="str">
            <v>-</v>
          </cell>
          <cell r="BQ37">
            <v>9822.7200000000012</v>
          </cell>
          <cell r="BR37">
            <v>818.56</v>
          </cell>
          <cell r="BS37">
            <v>188.89991461472781</v>
          </cell>
          <cell r="BT37">
            <v>37.779982922945557</v>
          </cell>
        </row>
        <row r="38">
          <cell r="A38" t="str">
            <v>Belgium2020100 / 100</v>
          </cell>
          <cell r="B38" t="str">
            <v>Belgium</v>
          </cell>
          <cell r="C38">
            <v>2020</v>
          </cell>
          <cell r="D38" t="str">
            <v>100 / 100</v>
          </cell>
          <cell r="E38">
            <v>50312</v>
          </cell>
          <cell r="F38">
            <v>4192.666666666667</v>
          </cell>
          <cell r="G38">
            <v>967.54590419926308</v>
          </cell>
          <cell r="H38">
            <v>193.5091808398526</v>
          </cell>
          <cell r="I38">
            <v>50312</v>
          </cell>
          <cell r="J38">
            <v>4192.666666666667</v>
          </cell>
          <cell r="K38">
            <v>967.54590419926308</v>
          </cell>
          <cell r="L38">
            <v>193.5091808398526</v>
          </cell>
          <cell r="M38" t="str">
            <v>..</v>
          </cell>
          <cell r="N38" t="str">
            <v>..</v>
          </cell>
          <cell r="O38" t="str">
            <v>..</v>
          </cell>
          <cell r="P38" t="str">
            <v>..</v>
          </cell>
          <cell r="Q38" t="str">
            <v>..</v>
          </cell>
          <cell r="R38" t="str">
            <v>..</v>
          </cell>
          <cell r="S38" t="str">
            <v>..</v>
          </cell>
          <cell r="T38" t="str">
            <v>..</v>
          </cell>
          <cell r="U38" t="str">
            <v>..</v>
          </cell>
          <cell r="V38">
            <v>17.333333333333332</v>
          </cell>
          <cell r="W38">
            <v>17.333333333333332</v>
          </cell>
          <cell r="X38">
            <v>0</v>
          </cell>
          <cell r="Y38" t="str">
            <v>-</v>
          </cell>
          <cell r="Z38" t="str">
            <v>Four month individual entitlement. Paid at €818.56 per month before taxes</v>
          </cell>
          <cell r="AA38" t="str">
            <v>Gross</v>
          </cell>
          <cell r="AB38" t="str">
            <v>Y</v>
          </cell>
          <cell r="AC38">
            <v>17.333333333333332</v>
          </cell>
          <cell r="AD38" t="str">
            <v>-</v>
          </cell>
          <cell r="AE38" t="str">
            <v>-</v>
          </cell>
          <cell r="AF38" t="str">
            <v>-</v>
          </cell>
          <cell r="AG38" t="str">
            <v>-</v>
          </cell>
          <cell r="AH38" t="str">
            <v>-</v>
          </cell>
          <cell r="AI38">
            <v>834.9</v>
          </cell>
          <cell r="AJ38" t="str">
            <v>month</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cell r="BL38" t="str">
            <v>-</v>
          </cell>
          <cell r="BM38">
            <v>0.19913340753696929</v>
          </cell>
          <cell r="BN38">
            <v>0.19913340753696929</v>
          </cell>
          <cell r="BO38" t="str">
            <v>-</v>
          </cell>
          <cell r="BP38" t="str">
            <v>-</v>
          </cell>
          <cell r="BQ38">
            <v>10018.799999999999</v>
          </cell>
          <cell r="BR38">
            <v>834.9</v>
          </cell>
          <cell r="BS38">
            <v>192.67071285163729</v>
          </cell>
          <cell r="BT38">
            <v>38.534142570327454</v>
          </cell>
        </row>
        <row r="39">
          <cell r="A39" t="str">
            <v>Belgium2021100 / 100</v>
          </cell>
          <cell r="B39" t="str">
            <v>Belgium</v>
          </cell>
          <cell r="C39">
            <v>2021</v>
          </cell>
          <cell r="D39" t="str">
            <v>100 / 100</v>
          </cell>
          <cell r="E39">
            <v>51328</v>
          </cell>
          <cell r="F39">
            <v>4277.333333333333</v>
          </cell>
          <cell r="G39">
            <v>987.08451603473861</v>
          </cell>
          <cell r="H39">
            <v>197.41690320694772</v>
          </cell>
          <cell r="I39">
            <v>51328</v>
          </cell>
          <cell r="J39">
            <v>4277.333333333333</v>
          </cell>
          <cell r="K39">
            <v>987.08451603473861</v>
          </cell>
          <cell r="L39">
            <v>197.41690320694772</v>
          </cell>
          <cell r="M39" t="str">
            <v>..</v>
          </cell>
          <cell r="N39" t="str">
            <v>..</v>
          </cell>
          <cell r="O39" t="str">
            <v>..</v>
          </cell>
          <cell r="P39" t="str">
            <v>..</v>
          </cell>
          <cell r="Q39" t="str">
            <v>..</v>
          </cell>
          <cell r="R39" t="str">
            <v>..</v>
          </cell>
          <cell r="S39" t="str">
            <v>..</v>
          </cell>
          <cell r="T39" t="str">
            <v>..</v>
          </cell>
          <cell r="U39" t="str">
            <v>..</v>
          </cell>
          <cell r="V39">
            <v>17.333333333333332</v>
          </cell>
          <cell r="W39">
            <v>17.333333333333332</v>
          </cell>
          <cell r="X39">
            <v>0</v>
          </cell>
          <cell r="Y39" t="str">
            <v>-</v>
          </cell>
          <cell r="Z39" t="str">
            <v>Four month individual entitlement. Paid at €818.56 per month before taxes</v>
          </cell>
          <cell r="AA39" t="str">
            <v>Gross</v>
          </cell>
          <cell r="AB39" t="str">
            <v>Y</v>
          </cell>
          <cell r="AC39">
            <v>17.333333333333332</v>
          </cell>
          <cell r="AD39" t="str">
            <v>-</v>
          </cell>
          <cell r="AE39" t="str">
            <v>-</v>
          </cell>
          <cell r="AF39" t="str">
            <v>-</v>
          </cell>
          <cell r="AG39" t="str">
            <v>-</v>
          </cell>
          <cell r="AH39" t="str">
            <v>-</v>
          </cell>
          <cell r="AI39">
            <v>851.59</v>
          </cell>
          <cell r="AJ39" t="str">
            <v>month</v>
          </cell>
          <cell r="AK39" t="str">
            <v>-</v>
          </cell>
          <cell r="AL39" t="str">
            <v>-</v>
          </cell>
          <cell r="AM39" t="str">
            <v>-</v>
          </cell>
          <cell r="AN39" t="str">
            <v>-</v>
          </cell>
          <cell r="AO39" t="str">
            <v>-</v>
          </cell>
          <cell r="AP39" t="str">
            <v>-</v>
          </cell>
          <cell r="AQ39" t="str">
            <v>-</v>
          </cell>
          <cell r="AR39" t="str">
            <v>-</v>
          </cell>
          <cell r="AS39" t="str">
            <v>-</v>
          </cell>
          <cell r="AT39" t="str">
            <v>-</v>
          </cell>
          <cell r="AU39" t="str">
            <v>-</v>
          </cell>
          <cell r="AV39" t="str">
            <v>-</v>
          </cell>
          <cell r="AW39" t="str">
            <v>-</v>
          </cell>
          <cell r="AX39" t="str">
            <v>-</v>
          </cell>
          <cell r="AY39" t="str">
            <v>-</v>
          </cell>
          <cell r="AZ39" t="str">
            <v>-</v>
          </cell>
          <cell r="BA39" t="str">
            <v>-</v>
          </cell>
          <cell r="BB39" t="str">
            <v>-</v>
          </cell>
          <cell r="BC39" t="str">
            <v>-</v>
          </cell>
          <cell r="BD39" t="str">
            <v>-</v>
          </cell>
          <cell r="BE39" t="str">
            <v>-</v>
          </cell>
          <cell r="BF39" t="str">
            <v>-</v>
          </cell>
          <cell r="BG39" t="str">
            <v>-</v>
          </cell>
          <cell r="BH39" t="str">
            <v>-</v>
          </cell>
          <cell r="BI39" t="str">
            <v>-</v>
          </cell>
          <cell r="BJ39" t="str">
            <v>-</v>
          </cell>
          <cell r="BK39" t="str">
            <v>-</v>
          </cell>
          <cell r="BL39" t="str">
            <v>-</v>
          </cell>
          <cell r="BM39">
            <v>0.19909367206982545</v>
          </cell>
          <cell r="BN39">
            <v>0.19909367206982545</v>
          </cell>
          <cell r="BO39" t="str">
            <v>-</v>
          </cell>
          <cell r="BP39" t="str">
            <v>-</v>
          </cell>
          <cell r="BQ39">
            <v>10219.08</v>
          </cell>
          <cell r="BR39">
            <v>851.59</v>
          </cell>
          <cell r="BS39">
            <v>196.52228094062261</v>
          </cell>
          <cell r="BT39">
            <v>39.304456188124519</v>
          </cell>
        </row>
        <row r="40">
          <cell r="A40" t="str">
            <v>Belgium2022100 / 100</v>
          </cell>
          <cell r="B40" t="str">
            <v>Belgium</v>
          </cell>
          <cell r="C40">
            <v>2022</v>
          </cell>
          <cell r="D40" t="str">
            <v>100 / 100</v>
          </cell>
          <cell r="E40">
            <v>55038</v>
          </cell>
          <cell r="F40">
            <v>4586.5</v>
          </cell>
          <cell r="G40">
            <v>1058.4312187016822</v>
          </cell>
          <cell r="H40">
            <v>211.68624374033644</v>
          </cell>
          <cell r="I40">
            <v>55038</v>
          </cell>
          <cell r="J40">
            <v>4586.5</v>
          </cell>
          <cell r="K40">
            <v>1058.4312187016822</v>
          </cell>
          <cell r="L40">
            <v>211.68624374033644</v>
          </cell>
          <cell r="M40" t="str">
            <v>..</v>
          </cell>
          <cell r="N40" t="str">
            <v>..</v>
          </cell>
          <cell r="O40" t="str">
            <v>..</v>
          </cell>
          <cell r="P40" t="str">
            <v>..</v>
          </cell>
          <cell r="Q40" t="str">
            <v>..</v>
          </cell>
          <cell r="R40" t="str">
            <v>..</v>
          </cell>
          <cell r="S40" t="str">
            <v>..</v>
          </cell>
          <cell r="T40" t="str">
            <v>..</v>
          </cell>
          <cell r="U40" t="str">
            <v>..</v>
          </cell>
          <cell r="V40">
            <v>17.333333333333332</v>
          </cell>
          <cell r="W40">
            <v>17.333333333333332</v>
          </cell>
          <cell r="X40">
            <v>0</v>
          </cell>
          <cell r="Y40" t="str">
            <v>-</v>
          </cell>
          <cell r="Z40" t="str">
            <v>Four month individual entitlement. Paid at €886.00 per month before taxes</v>
          </cell>
          <cell r="AA40" t="str">
            <v>Gross</v>
          </cell>
          <cell r="AB40" t="str">
            <v>Y</v>
          </cell>
          <cell r="AC40">
            <v>17.3333333333333</v>
          </cell>
          <cell r="AD40" t="str">
            <v>-</v>
          </cell>
          <cell r="AE40" t="str">
            <v>-</v>
          </cell>
          <cell r="AF40" t="str">
            <v>-</v>
          </cell>
          <cell r="AG40" t="str">
            <v>-</v>
          </cell>
          <cell r="AH40" t="str">
            <v>-</v>
          </cell>
          <cell r="AI40">
            <v>886</v>
          </cell>
          <cell r="AJ40" t="str">
            <v>month</v>
          </cell>
          <cell r="AK40" t="str">
            <v>-</v>
          </cell>
          <cell r="AL40" t="str">
            <v>-</v>
          </cell>
          <cell r="AM40" t="str">
            <v>-</v>
          </cell>
          <cell r="AN40" t="str">
            <v>-</v>
          </cell>
          <cell r="AO40" t="str">
            <v>-</v>
          </cell>
          <cell r="AP40" t="str">
            <v>-</v>
          </cell>
          <cell r="AQ40" t="str">
            <v>-</v>
          </cell>
          <cell r="AR40" t="str">
            <v>-</v>
          </cell>
          <cell r="AS40" t="str">
            <v>-</v>
          </cell>
          <cell r="AT40" t="str">
            <v>-</v>
          </cell>
          <cell r="AU40" t="str">
            <v>-</v>
          </cell>
          <cell r="AV40" t="str">
            <v>-</v>
          </cell>
          <cell r="AW40" t="str">
            <v>-</v>
          </cell>
          <cell r="AX40" t="str">
            <v>-</v>
          </cell>
          <cell r="AY40" t="str">
            <v>-</v>
          </cell>
          <cell r="AZ40" t="str">
            <v>-</v>
          </cell>
          <cell r="BA40" t="str">
            <v>-</v>
          </cell>
          <cell r="BB40" t="str">
            <v>-</v>
          </cell>
          <cell r="BC40" t="str">
            <v>-</v>
          </cell>
          <cell r="BD40" t="str">
            <v>-</v>
          </cell>
          <cell r="BE40" t="str">
            <v>-</v>
          </cell>
          <cell r="BF40" t="str">
            <v>-</v>
          </cell>
          <cell r="BG40" t="str">
            <v>-</v>
          </cell>
          <cell r="BH40" t="str">
            <v>-</v>
          </cell>
          <cell r="BI40" t="str">
            <v>-</v>
          </cell>
          <cell r="BJ40" t="str">
            <v>-</v>
          </cell>
          <cell r="BK40" t="str">
            <v>-</v>
          </cell>
          <cell r="BL40" t="str">
            <v>-</v>
          </cell>
          <cell r="BM40">
            <v>0.19317562411424799</v>
          </cell>
          <cell r="BN40">
            <v>0.19317562411424799</v>
          </cell>
          <cell r="BO40" t="str">
            <v>-</v>
          </cell>
          <cell r="BP40" t="str">
            <v>-</v>
          </cell>
          <cell r="BQ40">
            <v>10631.99999999998</v>
          </cell>
          <cell r="BR40">
            <v>885.99999999999841</v>
          </cell>
          <cell r="BS40">
            <v>204.46311125470157</v>
          </cell>
          <cell r="BT40">
            <v>40.892622250940313</v>
          </cell>
        </row>
        <row r="41">
          <cell r="A41" t="str">
            <v>Belgium2023100 / 100</v>
          </cell>
          <cell r="B41" t="str">
            <v>Belgium</v>
          </cell>
          <cell r="C41">
            <v>2023</v>
          </cell>
          <cell r="D41" t="str">
            <v>100 / 100</v>
          </cell>
          <cell r="E41">
            <v>59292.535000000003</v>
          </cell>
          <cell r="F41">
            <v>4941.0445833333333</v>
          </cell>
          <cell r="G41">
            <v>1140.2498288448371</v>
          </cell>
          <cell r="H41">
            <v>228.04996576896741</v>
          </cell>
          <cell r="I41">
            <v>59292.535000000003</v>
          </cell>
          <cell r="J41">
            <v>4941.0445833333333</v>
          </cell>
          <cell r="K41">
            <v>1140.2498288448371</v>
          </cell>
          <cell r="L41">
            <v>228.04996576896741</v>
          </cell>
          <cell r="M41" t="str">
            <v>..</v>
          </cell>
          <cell r="N41" t="str">
            <v>..</v>
          </cell>
          <cell r="O41" t="str">
            <v>..</v>
          </cell>
          <cell r="P41" t="str">
            <v>..</v>
          </cell>
          <cell r="Q41" t="str">
            <v>..</v>
          </cell>
          <cell r="R41" t="str">
            <v>..</v>
          </cell>
          <cell r="S41" t="str">
            <v>..</v>
          </cell>
          <cell r="T41" t="str">
            <v>..</v>
          </cell>
          <cell r="U41" t="str">
            <v>..</v>
          </cell>
          <cell r="V41">
            <v>17.333333333333332</v>
          </cell>
          <cell r="W41">
            <v>17.333333333333332</v>
          </cell>
          <cell r="X41">
            <v>0</v>
          </cell>
          <cell r="Y41" t="str">
            <v>-</v>
          </cell>
          <cell r="Z41" t="str">
            <v>Four month individual entitlement. Paid at €978.24 per month before taxes</v>
          </cell>
          <cell r="AA41" t="str">
            <v>Gross</v>
          </cell>
          <cell r="AB41" t="str">
            <v>Y</v>
          </cell>
          <cell r="AC41">
            <v>17.3333333333333</v>
          </cell>
          <cell r="AD41" t="str">
            <v>-</v>
          </cell>
          <cell r="AE41" t="str">
            <v>-</v>
          </cell>
          <cell r="AF41" t="str">
            <v>-</v>
          </cell>
          <cell r="AG41" t="str">
            <v>-</v>
          </cell>
          <cell r="AH41" t="str">
            <v>-</v>
          </cell>
          <cell r="AI41">
            <v>978.24</v>
          </cell>
          <cell r="AJ41" t="str">
            <v>month</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v>0.1979824272988156</v>
          </cell>
          <cell r="BN41">
            <v>0.1979824272988156</v>
          </cell>
          <cell r="BO41" t="str">
            <v>-</v>
          </cell>
          <cell r="BP41" t="str">
            <v>-</v>
          </cell>
          <cell r="BQ41">
            <v>11738.879999999979</v>
          </cell>
          <cell r="BR41">
            <v>978.2399999999983</v>
          </cell>
          <cell r="BS41">
            <v>225.74942884175991</v>
          </cell>
          <cell r="BT41">
            <v>45.149885768351979</v>
          </cell>
        </row>
        <row r="42">
          <cell r="A42" t="str">
            <v>Belgium2024100 / 100</v>
          </cell>
          <cell r="B42" t="str">
            <v>Belgium</v>
          </cell>
          <cell r="C42">
            <v>2024</v>
          </cell>
          <cell r="D42" t="str">
            <v>100 / 100</v>
          </cell>
          <cell r="E42">
            <v>60841</v>
          </cell>
          <cell r="F42">
            <v>5070.083333333333</v>
          </cell>
          <cell r="G42">
            <v>1170.0282309863921</v>
          </cell>
          <cell r="H42">
            <v>234.00564619727842</v>
          </cell>
          <cell r="I42">
            <v>60841</v>
          </cell>
          <cell r="J42">
            <v>5070.083333333333</v>
          </cell>
          <cell r="K42">
            <v>1170.0282309863921</v>
          </cell>
          <cell r="L42">
            <v>234.00564619727842</v>
          </cell>
          <cell r="M42" t="str">
            <v>..</v>
          </cell>
          <cell r="N42" t="str">
            <v>..</v>
          </cell>
          <cell r="O42" t="str">
            <v>..</v>
          </cell>
          <cell r="P42" t="str">
            <v>..</v>
          </cell>
          <cell r="Q42" t="str">
            <v>..</v>
          </cell>
          <cell r="R42" t="str">
            <v>..</v>
          </cell>
          <cell r="S42" t="str">
            <v>..</v>
          </cell>
          <cell r="T42" t="str">
            <v>..</v>
          </cell>
          <cell r="U42" t="str">
            <v>..</v>
          </cell>
          <cell r="V42">
            <v>17.333333333333332</v>
          </cell>
          <cell r="W42">
            <v>17.333333333333332</v>
          </cell>
          <cell r="X42">
            <v>0</v>
          </cell>
          <cell r="Y42" t="str">
            <v>-</v>
          </cell>
          <cell r="Z42" t="str">
            <v>Four month individual entitlement. Paid at €997.80 per month before taxes</v>
          </cell>
          <cell r="AA42" t="str">
            <v>Gross</v>
          </cell>
          <cell r="AB42" t="str">
            <v>Y</v>
          </cell>
          <cell r="AC42">
            <v>17.3333333333333</v>
          </cell>
          <cell r="AD42" t="str">
            <v>-</v>
          </cell>
          <cell r="AE42" t="str">
            <v>-</v>
          </cell>
          <cell r="AF42" t="str">
            <v>-</v>
          </cell>
          <cell r="AG42" t="str">
            <v>-</v>
          </cell>
          <cell r="AH42" t="str">
            <v>-</v>
          </cell>
          <cell r="AI42">
            <v>997.8</v>
          </cell>
          <cell r="AJ42" t="str">
            <v>month</v>
          </cell>
          <cell r="AK42" t="str">
            <v>-</v>
          </cell>
          <cell r="AL42" t="str">
            <v>-</v>
          </cell>
          <cell r="AM42" t="str">
            <v>-</v>
          </cell>
          <cell r="AN42" t="str">
            <v>-</v>
          </cell>
          <cell r="AO42" t="str">
            <v>-</v>
          </cell>
          <cell r="AP42" t="str">
            <v>-</v>
          </cell>
          <cell r="AQ42" t="str">
            <v>-</v>
          </cell>
          <cell r="AR42" t="str">
            <v>-</v>
          </cell>
          <cell r="AS42" t="str">
            <v>-</v>
          </cell>
          <cell r="AT42" t="str">
            <v>-</v>
          </cell>
          <cell r="AU42" t="str">
            <v>-</v>
          </cell>
          <cell r="AV42" t="str">
            <v>-</v>
          </cell>
          <cell r="AW42" t="str">
            <v>-</v>
          </cell>
          <cell r="AX42" t="str">
            <v>-</v>
          </cell>
          <cell r="AY42" t="str">
            <v>-</v>
          </cell>
          <cell r="AZ42" t="str">
            <v>-</v>
          </cell>
          <cell r="BA42" t="str">
            <v>-</v>
          </cell>
          <cell r="BB42" t="str">
            <v>-</v>
          </cell>
          <cell r="BC42" t="str">
            <v>-</v>
          </cell>
          <cell r="BD42" t="str">
            <v>-</v>
          </cell>
          <cell r="BE42" t="str">
            <v>-</v>
          </cell>
          <cell r="BF42" t="str">
            <v>-</v>
          </cell>
          <cell r="BG42" t="str">
            <v>-</v>
          </cell>
          <cell r="BH42" t="str">
            <v>-</v>
          </cell>
          <cell r="BI42" t="str">
            <v>-</v>
          </cell>
          <cell r="BJ42" t="str">
            <v>-</v>
          </cell>
          <cell r="BK42" t="str">
            <v>-</v>
          </cell>
          <cell r="BL42" t="str">
            <v>-</v>
          </cell>
          <cell r="BM42">
            <v>0.1968014989891681</v>
          </cell>
          <cell r="BN42">
            <v>0.1968014989891681</v>
          </cell>
          <cell r="BO42" t="str">
            <v>-</v>
          </cell>
          <cell r="BP42" t="str">
            <v>-</v>
          </cell>
          <cell r="BQ42">
            <v>11973.599999999977</v>
          </cell>
          <cell r="BR42">
            <v>997.79999999999802</v>
          </cell>
          <cell r="BS42">
            <v>230.26330971776659</v>
          </cell>
          <cell r="BT42">
            <v>46.052661943553318</v>
          </cell>
        </row>
        <row r="43">
          <cell r="A43" t="str">
            <v>Belgium2025100 / 100</v>
          </cell>
          <cell r="B43" t="str">
            <v>Belgium</v>
          </cell>
          <cell r="C43">
            <v>2025</v>
          </cell>
          <cell r="D43" t="str">
            <v>100 / 100</v>
          </cell>
          <cell r="E43">
            <v>60841</v>
          </cell>
          <cell r="F43">
            <v>5070.083333333333</v>
          </cell>
          <cell r="G43">
            <v>1170.0282309863921</v>
          </cell>
          <cell r="H43">
            <v>234.00564619727842</v>
          </cell>
          <cell r="I43">
            <v>60841</v>
          </cell>
          <cell r="J43">
            <v>5070.083333333333</v>
          </cell>
          <cell r="K43">
            <v>1170.0282309863921</v>
          </cell>
          <cell r="L43">
            <v>234.00564619727842</v>
          </cell>
          <cell r="M43" t="str">
            <v>..</v>
          </cell>
          <cell r="N43" t="str">
            <v>..</v>
          </cell>
          <cell r="O43" t="str">
            <v>..</v>
          </cell>
          <cell r="P43" t="str">
            <v>..</v>
          </cell>
          <cell r="Q43" t="str">
            <v>..</v>
          </cell>
          <cell r="R43" t="str">
            <v>..</v>
          </cell>
          <cell r="S43" t="str">
            <v>..</v>
          </cell>
          <cell r="T43" t="str">
            <v>..</v>
          </cell>
          <cell r="U43" t="str">
            <v>..</v>
          </cell>
          <cell r="V43">
            <v>17.333333333333332</v>
          </cell>
          <cell r="W43">
            <v>17.333333333333332</v>
          </cell>
          <cell r="X43">
            <v>0</v>
          </cell>
          <cell r="Y43" t="str">
            <v>-</v>
          </cell>
          <cell r="Z43" t="str">
            <v>Four month individual entitlement. Paid at €1038.11 per month before taxes</v>
          </cell>
          <cell r="AA43" t="str">
            <v>Gross</v>
          </cell>
          <cell r="AB43" t="str">
            <v>Y</v>
          </cell>
          <cell r="AC43">
            <v>17.3333333333333</v>
          </cell>
          <cell r="AD43" t="str">
            <v>-</v>
          </cell>
          <cell r="AE43" t="str">
            <v>-</v>
          </cell>
          <cell r="AF43" t="str">
            <v>-</v>
          </cell>
          <cell r="AG43" t="str">
            <v>-</v>
          </cell>
          <cell r="AH43" t="str">
            <v>-</v>
          </cell>
          <cell r="AI43">
            <v>1038.1099999999999</v>
          </cell>
          <cell r="AJ43" t="str">
            <v>month</v>
          </cell>
          <cell r="AK43" t="str">
            <v>-</v>
          </cell>
          <cell r="AL43" t="str">
            <v>-</v>
          </cell>
          <cell r="AM43" t="str">
            <v>-</v>
          </cell>
          <cell r="AN43" t="str">
            <v>-</v>
          </cell>
          <cell r="AO43" t="str">
            <v>-</v>
          </cell>
          <cell r="AP43" t="str">
            <v>-</v>
          </cell>
          <cell r="AQ43" t="str">
            <v>-</v>
          </cell>
          <cell r="AR43" t="str">
            <v>-</v>
          </cell>
          <cell r="AS43" t="str">
            <v>-</v>
          </cell>
          <cell r="AT43" t="str">
            <v>-</v>
          </cell>
          <cell r="AU43" t="str">
            <v>-</v>
          </cell>
          <cell r="AV43" t="str">
            <v>-</v>
          </cell>
          <cell r="AW43" t="str">
            <v>-</v>
          </cell>
          <cell r="AX43" t="str">
            <v>-</v>
          </cell>
          <cell r="AY43" t="str">
            <v>-</v>
          </cell>
          <cell r="AZ43" t="str">
            <v>-</v>
          </cell>
          <cell r="BA43" t="str">
            <v>-</v>
          </cell>
          <cell r="BB43" t="str">
            <v>-</v>
          </cell>
          <cell r="BC43" t="str">
            <v>-</v>
          </cell>
          <cell r="BD43" t="str">
            <v>-</v>
          </cell>
          <cell r="BE43" t="str">
            <v>-</v>
          </cell>
          <cell r="BF43" t="str">
            <v>-</v>
          </cell>
          <cell r="BG43" t="str">
            <v>-</v>
          </cell>
          <cell r="BH43" t="str">
            <v>-</v>
          </cell>
          <cell r="BI43" t="str">
            <v>-</v>
          </cell>
          <cell r="BJ43" t="str">
            <v>-</v>
          </cell>
          <cell r="BK43" t="str">
            <v>-</v>
          </cell>
          <cell r="BL43" t="str">
            <v>-</v>
          </cell>
          <cell r="BM43">
            <v>0.20475205864466356</v>
          </cell>
          <cell r="BN43">
            <v>0.20475205864466356</v>
          </cell>
          <cell r="BO43" t="str">
            <v>-</v>
          </cell>
          <cell r="BP43" t="str">
            <v>-</v>
          </cell>
          <cell r="BQ43">
            <v>12457.319999999976</v>
          </cell>
          <cell r="BR43">
            <v>1038.1099999999979</v>
          </cell>
          <cell r="BS43">
            <v>239.56568896683771</v>
          </cell>
          <cell r="BT43">
            <v>47.913137793367547</v>
          </cell>
        </row>
        <row r="44">
          <cell r="A44" t="str">
            <v>Canada2014100 / 100</v>
          </cell>
          <cell r="B44" t="str">
            <v>Canada</v>
          </cell>
          <cell r="C44">
            <v>2014</v>
          </cell>
          <cell r="D44" t="str">
            <v>100 / 100</v>
          </cell>
          <cell r="E44">
            <v>64300</v>
          </cell>
          <cell r="F44">
            <v>5358.333333333333</v>
          </cell>
          <cell r="G44">
            <v>1236.5479734459493</v>
          </cell>
          <cell r="H44">
            <v>247.30959468918985</v>
          </cell>
          <cell r="I44">
            <v>64300</v>
          </cell>
          <cell r="J44">
            <v>5358.333333333333</v>
          </cell>
          <cell r="K44">
            <v>1236.5479734459493</v>
          </cell>
          <cell r="L44">
            <v>247.30959468918985</v>
          </cell>
          <cell r="M44" t="str">
            <v>..</v>
          </cell>
          <cell r="N44" t="str">
            <v>..</v>
          </cell>
          <cell r="O44" t="str">
            <v>..</v>
          </cell>
          <cell r="P44" t="str">
            <v>..</v>
          </cell>
          <cell r="Q44" t="str">
            <v>..</v>
          </cell>
          <cell r="R44" t="str">
            <v>..</v>
          </cell>
          <cell r="S44" t="str">
            <v>..</v>
          </cell>
          <cell r="T44" t="str">
            <v>..</v>
          </cell>
          <cell r="U44" t="str">
            <v>..</v>
          </cell>
          <cell r="V44">
            <v>0</v>
          </cell>
          <cell r="W44">
            <v>0</v>
          </cell>
          <cell r="X44">
            <v>0</v>
          </cell>
          <cell r="Y44" t="str">
            <v>-</v>
          </cell>
          <cell r="Z44" t="str">
            <v>No statutory entitlement</v>
          </cell>
          <cell r="AA44" t="str">
            <v>-</v>
          </cell>
          <cell r="AB44" t="str">
            <v>-</v>
          </cell>
          <cell r="AC44" t="str">
            <v>-</v>
          </cell>
          <cell r="AD44" t="str">
            <v>-</v>
          </cell>
          <cell r="AE44" t="str">
            <v>-</v>
          </cell>
          <cell r="AF44" t="str">
            <v>-</v>
          </cell>
          <cell r="AG44" t="str">
            <v>-</v>
          </cell>
          <cell r="AH44" t="str">
            <v>-</v>
          </cell>
          <cell r="AI44" t="str">
            <v>-</v>
          </cell>
          <cell r="AJ44" t="str">
            <v>-</v>
          </cell>
          <cell r="AK44" t="str">
            <v>-</v>
          </cell>
          <cell r="AL44" t="str">
            <v>-</v>
          </cell>
          <cell r="AM44" t="str">
            <v>-</v>
          </cell>
          <cell r="AN44" t="str">
            <v>-</v>
          </cell>
          <cell r="AO44" t="str">
            <v>-</v>
          </cell>
          <cell r="AP44" t="str">
            <v>-</v>
          </cell>
          <cell r="AQ44" t="str">
            <v>-</v>
          </cell>
          <cell r="AR44" t="str">
            <v>-</v>
          </cell>
          <cell r="AS44" t="str">
            <v>-</v>
          </cell>
          <cell r="AT44" t="str">
            <v>-</v>
          </cell>
          <cell r="AU44" t="str">
            <v>-</v>
          </cell>
          <cell r="AV44" t="str">
            <v>-</v>
          </cell>
          <cell r="AW44" t="str">
            <v>-</v>
          </cell>
          <cell r="AX44" t="str">
            <v>-</v>
          </cell>
          <cell r="AY44" t="str">
            <v>-</v>
          </cell>
          <cell r="AZ44" t="str">
            <v>-</v>
          </cell>
          <cell r="BA44" t="str">
            <v>-</v>
          </cell>
          <cell r="BB44" t="str">
            <v>-</v>
          </cell>
          <cell r="BC44" t="str">
            <v>-</v>
          </cell>
          <cell r="BD44" t="str">
            <v>-</v>
          </cell>
          <cell r="BE44" t="str">
            <v>-</v>
          </cell>
          <cell r="BF44" t="str">
            <v>-</v>
          </cell>
          <cell r="BG44" t="str">
            <v>-</v>
          </cell>
          <cell r="BH44" t="str">
            <v>-</v>
          </cell>
          <cell r="BI44" t="str">
            <v>-</v>
          </cell>
          <cell r="BJ44" t="str">
            <v>-</v>
          </cell>
          <cell r="BK44" t="str">
            <v>-</v>
          </cell>
          <cell r="BL44" t="str">
            <v>-</v>
          </cell>
          <cell r="BM44">
            <v>0</v>
          </cell>
          <cell r="BN44">
            <v>0</v>
          </cell>
          <cell r="BO44" t="str">
            <v>-</v>
          </cell>
          <cell r="BP44" t="str">
            <v>-</v>
          </cell>
          <cell r="BQ44">
            <v>0</v>
          </cell>
          <cell r="BR44">
            <v>0</v>
          </cell>
          <cell r="BS44">
            <v>0</v>
          </cell>
          <cell r="BT44">
            <v>0</v>
          </cell>
        </row>
        <row r="45">
          <cell r="A45" t="str">
            <v>Canada2015100 / 100</v>
          </cell>
          <cell r="B45" t="str">
            <v>Canada</v>
          </cell>
          <cell r="C45">
            <v>2015</v>
          </cell>
          <cell r="D45" t="str">
            <v>100 / 100</v>
          </cell>
          <cell r="E45">
            <v>65600</v>
          </cell>
          <cell r="F45">
            <v>5466.666666666667</v>
          </cell>
          <cell r="G45">
            <v>1261.5481657551211</v>
          </cell>
          <cell r="H45">
            <v>252.30963315102423</v>
          </cell>
          <cell r="I45">
            <v>65600</v>
          </cell>
          <cell r="J45">
            <v>5466.666666666667</v>
          </cell>
          <cell r="K45">
            <v>1261.5481657551211</v>
          </cell>
          <cell r="L45">
            <v>252.30963315102423</v>
          </cell>
          <cell r="M45" t="str">
            <v>..</v>
          </cell>
          <cell r="N45" t="str">
            <v>..</v>
          </cell>
          <cell r="O45" t="str">
            <v>..</v>
          </cell>
          <cell r="P45" t="str">
            <v>..</v>
          </cell>
          <cell r="Q45" t="str">
            <v>..</v>
          </cell>
          <cell r="R45" t="str">
            <v>..</v>
          </cell>
          <cell r="S45" t="str">
            <v>..</v>
          </cell>
          <cell r="T45" t="str">
            <v>..</v>
          </cell>
          <cell r="U45" t="str">
            <v>..</v>
          </cell>
          <cell r="V45">
            <v>0</v>
          </cell>
          <cell r="W45">
            <v>0</v>
          </cell>
          <cell r="X45">
            <v>0</v>
          </cell>
          <cell r="Y45" t="str">
            <v>-</v>
          </cell>
          <cell r="Z45" t="str">
            <v>No statutory entitlement</v>
          </cell>
          <cell r="AA45" t="str">
            <v>-</v>
          </cell>
          <cell r="AB45" t="str">
            <v>-</v>
          </cell>
          <cell r="AC45" t="str">
            <v>-</v>
          </cell>
          <cell r="AD45" t="str">
            <v>-</v>
          </cell>
          <cell r="AE45" t="str">
            <v>-</v>
          </cell>
          <cell r="AF45" t="str">
            <v>-</v>
          </cell>
          <cell r="AG45" t="str">
            <v>-</v>
          </cell>
          <cell r="AH45" t="str">
            <v>-</v>
          </cell>
          <cell r="AI45" t="str">
            <v>-</v>
          </cell>
          <cell r="AJ45" t="str">
            <v>-</v>
          </cell>
          <cell r="AK45" t="str">
            <v>-</v>
          </cell>
          <cell r="AL45" t="str">
            <v>-</v>
          </cell>
          <cell r="AM45" t="str">
            <v>-</v>
          </cell>
          <cell r="AN45" t="str">
            <v>-</v>
          </cell>
          <cell r="AO45" t="str">
            <v>-</v>
          </cell>
          <cell r="AP45" t="str">
            <v>-</v>
          </cell>
          <cell r="AQ45" t="str">
            <v>-</v>
          </cell>
          <cell r="AR45" t="str">
            <v>-</v>
          </cell>
          <cell r="AS45" t="str">
            <v>-</v>
          </cell>
          <cell r="AT45" t="str">
            <v>-</v>
          </cell>
          <cell r="AU45" t="str">
            <v>-</v>
          </cell>
          <cell r="AV45" t="str">
            <v>-</v>
          </cell>
          <cell r="AW45" t="str">
            <v>-</v>
          </cell>
          <cell r="AX45" t="str">
            <v>-</v>
          </cell>
          <cell r="AY45" t="str">
            <v>-</v>
          </cell>
          <cell r="AZ45" t="str">
            <v>-</v>
          </cell>
          <cell r="BA45" t="str">
            <v>-</v>
          </cell>
          <cell r="BB45" t="str">
            <v>-</v>
          </cell>
          <cell r="BC45" t="str">
            <v>-</v>
          </cell>
          <cell r="BD45" t="str">
            <v>-</v>
          </cell>
          <cell r="BE45" t="str">
            <v>-</v>
          </cell>
          <cell r="BF45" t="str">
            <v>-</v>
          </cell>
          <cell r="BG45" t="str">
            <v>-</v>
          </cell>
          <cell r="BH45" t="str">
            <v>-</v>
          </cell>
          <cell r="BI45" t="str">
            <v>-</v>
          </cell>
          <cell r="BJ45" t="str">
            <v>-</v>
          </cell>
          <cell r="BK45" t="str">
            <v>-</v>
          </cell>
          <cell r="BL45" t="str">
            <v>-</v>
          </cell>
          <cell r="BM45">
            <v>0</v>
          </cell>
          <cell r="BN45">
            <v>0</v>
          </cell>
          <cell r="BO45" t="str">
            <v>-</v>
          </cell>
          <cell r="BP45" t="str">
            <v>-</v>
          </cell>
          <cell r="BQ45">
            <v>0</v>
          </cell>
          <cell r="BR45">
            <v>0</v>
          </cell>
          <cell r="BS45">
            <v>0</v>
          </cell>
          <cell r="BT45">
            <v>0</v>
          </cell>
        </row>
        <row r="46">
          <cell r="A46" t="str">
            <v>Canada2016100 / 100</v>
          </cell>
          <cell r="B46" t="str">
            <v>Canada</v>
          </cell>
          <cell r="C46">
            <v>2016</v>
          </cell>
          <cell r="D46" t="str">
            <v>100 / 100</v>
          </cell>
          <cell r="E46">
            <v>65200</v>
          </cell>
          <cell r="F46">
            <v>5433.333333333333</v>
          </cell>
          <cell r="G46">
            <v>1253.8557988907605</v>
          </cell>
          <cell r="H46">
            <v>250.77115977815211</v>
          </cell>
          <cell r="I46">
            <v>65200</v>
          </cell>
          <cell r="J46">
            <v>5433.333333333333</v>
          </cell>
          <cell r="K46">
            <v>1253.8557988907605</v>
          </cell>
          <cell r="L46">
            <v>250.77115977815211</v>
          </cell>
          <cell r="M46" t="str">
            <v>..</v>
          </cell>
          <cell r="N46" t="str">
            <v>..</v>
          </cell>
          <cell r="O46" t="str">
            <v>..</v>
          </cell>
          <cell r="P46" t="str">
            <v>..</v>
          </cell>
          <cell r="Q46" t="str">
            <v>..</v>
          </cell>
          <cell r="R46" t="str">
            <v>..</v>
          </cell>
          <cell r="S46" t="str">
            <v>..</v>
          </cell>
          <cell r="T46" t="str">
            <v>..</v>
          </cell>
          <cell r="U46" t="str">
            <v>..</v>
          </cell>
          <cell r="V46">
            <v>0</v>
          </cell>
          <cell r="W46">
            <v>0</v>
          </cell>
          <cell r="X46">
            <v>0</v>
          </cell>
          <cell r="Y46" t="str">
            <v>-</v>
          </cell>
          <cell r="Z46" t="str">
            <v>No statutory entitlement</v>
          </cell>
          <cell r="AA46" t="str">
            <v>-</v>
          </cell>
          <cell r="AB46" t="str">
            <v>-</v>
          </cell>
          <cell r="AC46" t="str">
            <v>-</v>
          </cell>
          <cell r="AD46" t="str">
            <v>-</v>
          </cell>
          <cell r="AE46" t="str">
            <v>-</v>
          </cell>
          <cell r="AF46" t="str">
            <v>-</v>
          </cell>
          <cell r="AG46" t="str">
            <v>-</v>
          </cell>
          <cell r="AH46" t="str">
            <v>-</v>
          </cell>
          <cell r="AI46" t="str">
            <v>-</v>
          </cell>
          <cell r="AJ46" t="str">
            <v>-</v>
          </cell>
          <cell r="AK46" t="str">
            <v>-</v>
          </cell>
          <cell r="AL46" t="str">
            <v>-</v>
          </cell>
          <cell r="AM46" t="str">
            <v>-</v>
          </cell>
          <cell r="AN46" t="str">
            <v>-</v>
          </cell>
          <cell r="AO46" t="str">
            <v>-</v>
          </cell>
          <cell r="AP46" t="str">
            <v>-</v>
          </cell>
          <cell r="AQ46" t="str">
            <v>-</v>
          </cell>
          <cell r="AR46" t="str">
            <v>-</v>
          </cell>
          <cell r="AS46" t="str">
            <v>-</v>
          </cell>
          <cell r="AT46" t="str">
            <v>-</v>
          </cell>
          <cell r="AU46" t="str">
            <v>-</v>
          </cell>
          <cell r="AV46" t="str">
            <v>-</v>
          </cell>
          <cell r="AW46" t="str">
            <v>-</v>
          </cell>
          <cell r="AX46" t="str">
            <v>-</v>
          </cell>
          <cell r="AY46" t="str">
            <v>-</v>
          </cell>
          <cell r="AZ46" t="str">
            <v>-</v>
          </cell>
          <cell r="BA46" t="str">
            <v>-</v>
          </cell>
          <cell r="BB46" t="str">
            <v>-</v>
          </cell>
          <cell r="BC46" t="str">
            <v>-</v>
          </cell>
          <cell r="BD46" t="str">
            <v>-</v>
          </cell>
          <cell r="BE46" t="str">
            <v>-</v>
          </cell>
          <cell r="BF46" t="str">
            <v>-</v>
          </cell>
          <cell r="BG46" t="str">
            <v>-</v>
          </cell>
          <cell r="BH46" t="str">
            <v>-</v>
          </cell>
          <cell r="BI46" t="str">
            <v>-</v>
          </cell>
          <cell r="BJ46" t="str">
            <v>-</v>
          </cell>
          <cell r="BK46" t="str">
            <v>-</v>
          </cell>
          <cell r="BL46" t="str">
            <v>-</v>
          </cell>
          <cell r="BM46">
            <v>0</v>
          </cell>
          <cell r="BN46">
            <v>0</v>
          </cell>
          <cell r="BO46" t="str">
            <v>-</v>
          </cell>
          <cell r="BP46" t="str">
            <v>-</v>
          </cell>
          <cell r="BQ46">
            <v>0</v>
          </cell>
          <cell r="BR46">
            <v>0</v>
          </cell>
          <cell r="BS46">
            <v>0</v>
          </cell>
          <cell r="BT46">
            <v>0</v>
          </cell>
        </row>
        <row r="47">
          <cell r="A47" t="str">
            <v>Canada2017100 / 100</v>
          </cell>
          <cell r="B47" t="str">
            <v>Canada</v>
          </cell>
          <cell r="C47">
            <v>2017</v>
          </cell>
          <cell r="D47" t="str">
            <v>100 / 100</v>
          </cell>
          <cell r="E47">
            <v>67100</v>
          </cell>
          <cell r="F47">
            <v>5591.666666666667</v>
          </cell>
          <cell r="G47">
            <v>1290.394541496473</v>
          </cell>
          <cell r="H47">
            <v>258.0789082992946</v>
          </cell>
          <cell r="I47">
            <v>67100</v>
          </cell>
          <cell r="J47">
            <v>5591.666666666667</v>
          </cell>
          <cell r="K47">
            <v>1290.394541496473</v>
          </cell>
          <cell r="L47">
            <v>258.0789082992946</v>
          </cell>
          <cell r="M47" t="str">
            <v>..</v>
          </cell>
          <cell r="N47" t="str">
            <v>..</v>
          </cell>
          <cell r="O47" t="str">
            <v>..</v>
          </cell>
          <cell r="P47" t="str">
            <v>..</v>
          </cell>
          <cell r="Q47" t="str">
            <v>..</v>
          </cell>
          <cell r="R47" t="str">
            <v>..</v>
          </cell>
          <cell r="S47" t="str">
            <v>..</v>
          </cell>
          <cell r="T47" t="str">
            <v>..</v>
          </cell>
          <cell r="U47" t="str">
            <v>..</v>
          </cell>
          <cell r="V47">
            <v>0</v>
          </cell>
          <cell r="W47">
            <v>0</v>
          </cell>
          <cell r="X47">
            <v>0</v>
          </cell>
          <cell r="Y47" t="str">
            <v>-</v>
          </cell>
          <cell r="Z47" t="str">
            <v>No statutory entitlement</v>
          </cell>
          <cell r="AA47" t="str">
            <v>-</v>
          </cell>
          <cell r="AB47" t="str">
            <v>-</v>
          </cell>
          <cell r="AC47" t="str">
            <v>-</v>
          </cell>
          <cell r="AD47" t="str">
            <v>-</v>
          </cell>
          <cell r="AE47" t="str">
            <v>-</v>
          </cell>
          <cell r="AF47" t="str">
            <v>-</v>
          </cell>
          <cell r="AG47" t="str">
            <v>-</v>
          </cell>
          <cell r="AH47" t="str">
            <v>-</v>
          </cell>
          <cell r="AI47" t="str">
            <v>-</v>
          </cell>
          <cell r="AJ47" t="str">
            <v>-</v>
          </cell>
          <cell r="AK47" t="str">
            <v>-</v>
          </cell>
          <cell r="AL47" t="str">
            <v>-</v>
          </cell>
          <cell r="AM47" t="str">
            <v>-</v>
          </cell>
          <cell r="AN47" t="str">
            <v>-</v>
          </cell>
          <cell r="AO47" t="str">
            <v>-</v>
          </cell>
          <cell r="AP47" t="str">
            <v>-</v>
          </cell>
          <cell r="AQ47" t="str">
            <v>-</v>
          </cell>
          <cell r="AR47" t="str">
            <v>-</v>
          </cell>
          <cell r="AS47" t="str">
            <v>-</v>
          </cell>
          <cell r="AT47" t="str">
            <v>-</v>
          </cell>
          <cell r="AU47" t="str">
            <v>-</v>
          </cell>
          <cell r="AV47" t="str">
            <v>-</v>
          </cell>
          <cell r="AW47" t="str">
            <v>-</v>
          </cell>
          <cell r="AX47" t="str">
            <v>-</v>
          </cell>
          <cell r="AY47" t="str">
            <v>-</v>
          </cell>
          <cell r="AZ47" t="str">
            <v>-</v>
          </cell>
          <cell r="BA47" t="str">
            <v>-</v>
          </cell>
          <cell r="BB47" t="str">
            <v>-</v>
          </cell>
          <cell r="BC47" t="str">
            <v>-</v>
          </cell>
          <cell r="BD47" t="str">
            <v>-</v>
          </cell>
          <cell r="BE47" t="str">
            <v>-</v>
          </cell>
          <cell r="BF47" t="str">
            <v>-</v>
          </cell>
          <cell r="BG47" t="str">
            <v>-</v>
          </cell>
          <cell r="BH47" t="str">
            <v>-</v>
          </cell>
          <cell r="BI47" t="str">
            <v>-</v>
          </cell>
          <cell r="BJ47" t="str">
            <v>-</v>
          </cell>
          <cell r="BK47" t="str">
            <v>-</v>
          </cell>
          <cell r="BL47" t="str">
            <v>-</v>
          </cell>
          <cell r="BM47">
            <v>0</v>
          </cell>
          <cell r="BN47">
            <v>0</v>
          </cell>
          <cell r="BO47" t="str">
            <v>-</v>
          </cell>
          <cell r="BP47" t="str">
            <v>-</v>
          </cell>
          <cell r="BQ47">
            <v>0</v>
          </cell>
          <cell r="BR47">
            <v>0</v>
          </cell>
          <cell r="BS47">
            <v>0</v>
          </cell>
          <cell r="BT47">
            <v>0</v>
          </cell>
        </row>
        <row r="48">
          <cell r="A48" t="str">
            <v>Canada2018100 / 100</v>
          </cell>
          <cell r="B48" t="str">
            <v>Canada</v>
          </cell>
          <cell r="C48">
            <v>2018</v>
          </cell>
          <cell r="D48" t="str">
            <v>100 / 100</v>
          </cell>
          <cell r="E48">
            <v>68500</v>
          </cell>
          <cell r="F48">
            <v>5708.333333333333</v>
          </cell>
          <cell r="G48">
            <v>1317.3178255217347</v>
          </cell>
          <cell r="H48">
            <v>263.46356510434691</v>
          </cell>
          <cell r="I48">
            <v>68500</v>
          </cell>
          <cell r="J48">
            <v>5708.333333333333</v>
          </cell>
          <cell r="K48">
            <v>1317.3178255217347</v>
          </cell>
          <cell r="L48">
            <v>263.46356510434691</v>
          </cell>
          <cell r="M48" t="str">
            <v>..</v>
          </cell>
          <cell r="N48" t="str">
            <v>..</v>
          </cell>
          <cell r="O48" t="str">
            <v>..</v>
          </cell>
          <cell r="P48" t="str">
            <v>..</v>
          </cell>
          <cell r="Q48" t="str">
            <v>..</v>
          </cell>
          <cell r="R48" t="str">
            <v>..</v>
          </cell>
          <cell r="S48" t="str">
            <v>..</v>
          </cell>
          <cell r="T48" t="str">
            <v>..</v>
          </cell>
          <cell r="U48" t="str">
            <v>..</v>
          </cell>
          <cell r="V48">
            <v>0</v>
          </cell>
          <cell r="W48">
            <v>0</v>
          </cell>
          <cell r="X48">
            <v>0</v>
          </cell>
          <cell r="Y48" t="str">
            <v>-</v>
          </cell>
          <cell r="Z48" t="str">
            <v>No statutory entitlement</v>
          </cell>
          <cell r="AA48" t="str">
            <v>-</v>
          </cell>
          <cell r="AB48" t="str">
            <v>-</v>
          </cell>
          <cell r="AC48" t="str">
            <v>-</v>
          </cell>
          <cell r="AD48" t="str">
            <v>-</v>
          </cell>
          <cell r="AE48" t="str">
            <v>-</v>
          </cell>
          <cell r="AF48" t="str">
            <v>-</v>
          </cell>
          <cell r="AG48" t="str">
            <v>-</v>
          </cell>
          <cell r="AH48" t="str">
            <v>-</v>
          </cell>
          <cell r="AI48" t="str">
            <v>-</v>
          </cell>
          <cell r="AJ48" t="str">
            <v>-</v>
          </cell>
          <cell r="AK48" t="str">
            <v>-</v>
          </cell>
          <cell r="AL48" t="str">
            <v>-</v>
          </cell>
          <cell r="AM48" t="str">
            <v>-</v>
          </cell>
          <cell r="AN48" t="str">
            <v>-</v>
          </cell>
          <cell r="AO48" t="str">
            <v>-</v>
          </cell>
          <cell r="AP48" t="str">
            <v>-</v>
          </cell>
          <cell r="AQ48" t="str">
            <v>-</v>
          </cell>
          <cell r="AR48" t="str">
            <v>-</v>
          </cell>
          <cell r="AS48" t="str">
            <v>-</v>
          </cell>
          <cell r="AT48" t="str">
            <v>-</v>
          </cell>
          <cell r="AU48" t="str">
            <v>-</v>
          </cell>
          <cell r="AV48" t="str">
            <v>-</v>
          </cell>
          <cell r="AW48" t="str">
            <v>-</v>
          </cell>
          <cell r="AX48" t="str">
            <v>-</v>
          </cell>
          <cell r="AY48" t="str">
            <v>-</v>
          </cell>
          <cell r="AZ48" t="str">
            <v>-</v>
          </cell>
          <cell r="BA48" t="str">
            <v>-</v>
          </cell>
          <cell r="BB48" t="str">
            <v>-</v>
          </cell>
          <cell r="BC48" t="str">
            <v>-</v>
          </cell>
          <cell r="BD48" t="str">
            <v>-</v>
          </cell>
          <cell r="BE48" t="str">
            <v>-</v>
          </cell>
          <cell r="BF48" t="str">
            <v>-</v>
          </cell>
          <cell r="BG48" t="str">
            <v>-</v>
          </cell>
          <cell r="BH48" t="str">
            <v>-</v>
          </cell>
          <cell r="BI48" t="str">
            <v>-</v>
          </cell>
          <cell r="BJ48" t="str">
            <v>-</v>
          </cell>
          <cell r="BK48" t="str">
            <v>-</v>
          </cell>
          <cell r="BL48" t="str">
            <v>-</v>
          </cell>
          <cell r="BM48">
            <v>0</v>
          </cell>
          <cell r="BN48">
            <v>0</v>
          </cell>
          <cell r="BO48" t="str">
            <v>-</v>
          </cell>
          <cell r="BP48" t="str">
            <v>-</v>
          </cell>
          <cell r="BQ48">
            <v>0</v>
          </cell>
          <cell r="BR48">
            <v>0</v>
          </cell>
          <cell r="BS48">
            <v>0</v>
          </cell>
          <cell r="BT48">
            <v>0</v>
          </cell>
        </row>
        <row r="49">
          <cell r="A49" t="str">
            <v>Canada2019100 / 100</v>
          </cell>
          <cell r="B49" t="str">
            <v>Canada</v>
          </cell>
          <cell r="C49">
            <v>2019</v>
          </cell>
          <cell r="D49" t="str">
            <v>100 / 100</v>
          </cell>
          <cell r="E49">
            <v>68800</v>
          </cell>
          <cell r="F49">
            <v>5733.333333333333</v>
          </cell>
          <cell r="G49">
            <v>1323.0871006700049</v>
          </cell>
          <cell r="H49">
            <v>264.61742013400101</v>
          </cell>
          <cell r="I49">
            <v>68800</v>
          </cell>
          <cell r="J49">
            <v>5733.333333333333</v>
          </cell>
          <cell r="K49">
            <v>1323.0871006700049</v>
          </cell>
          <cell r="L49">
            <v>264.61742013400101</v>
          </cell>
          <cell r="M49" t="str">
            <v>..</v>
          </cell>
          <cell r="N49" t="str">
            <v>..</v>
          </cell>
          <cell r="O49" t="str">
            <v>..</v>
          </cell>
          <cell r="P49" t="str">
            <v>..</v>
          </cell>
          <cell r="Q49" t="str">
            <v>..</v>
          </cell>
          <cell r="R49" t="str">
            <v>..</v>
          </cell>
          <cell r="S49" t="str">
            <v>..</v>
          </cell>
          <cell r="T49" t="str">
            <v>..</v>
          </cell>
          <cell r="U49" t="str">
            <v>..</v>
          </cell>
          <cell r="V49">
            <v>5</v>
          </cell>
          <cell r="W49">
            <v>5</v>
          </cell>
          <cell r="X49">
            <v>0</v>
          </cell>
          <cell r="Y49" t="str">
            <v>-</v>
          </cell>
          <cell r="Z49"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49" t="str">
            <v>Gross</v>
          </cell>
          <cell r="AB49" t="str">
            <v>Y</v>
          </cell>
          <cell r="AC49">
            <v>5</v>
          </cell>
          <cell r="AD49">
            <v>0.55000000000000004</v>
          </cell>
          <cell r="AE49">
            <v>562</v>
          </cell>
          <cell r="AF49" t="str">
            <v>Week</v>
          </cell>
          <cell r="AG49" t="str">
            <v>-</v>
          </cell>
          <cell r="AH49" t="str">
            <v>-</v>
          </cell>
          <cell r="AI49" t="str">
            <v>-</v>
          </cell>
          <cell r="AJ49" t="str">
            <v>-</v>
          </cell>
          <cell r="AK49" t="str">
            <v>-</v>
          </cell>
          <cell r="AL49" t="str">
            <v>-</v>
          </cell>
          <cell r="AM49" t="str">
            <v>-</v>
          </cell>
          <cell r="AN49" t="str">
            <v>-</v>
          </cell>
          <cell r="AO49" t="str">
            <v>-</v>
          </cell>
          <cell r="AP49" t="str">
            <v>-</v>
          </cell>
          <cell r="AQ49" t="str">
            <v>-</v>
          </cell>
          <cell r="AR49" t="str">
            <v>-</v>
          </cell>
          <cell r="AS49" t="str">
            <v>-</v>
          </cell>
          <cell r="AT49" t="str">
            <v>-</v>
          </cell>
          <cell r="AU49" t="str">
            <v>-</v>
          </cell>
          <cell r="AV49" t="str">
            <v>-</v>
          </cell>
          <cell r="AW49" t="str">
            <v>-</v>
          </cell>
          <cell r="AX49" t="str">
            <v>-</v>
          </cell>
          <cell r="AY49" t="str">
            <v>-</v>
          </cell>
          <cell r="AZ49" t="str">
            <v>-</v>
          </cell>
          <cell r="BA49" t="str">
            <v>-</v>
          </cell>
          <cell r="BB49" t="str">
            <v>-</v>
          </cell>
          <cell r="BC49" t="str">
            <v>-</v>
          </cell>
          <cell r="BD49" t="str">
            <v>-</v>
          </cell>
          <cell r="BE49" t="str">
            <v>-</v>
          </cell>
          <cell r="BF49" t="str">
            <v>-</v>
          </cell>
          <cell r="BG49" t="str">
            <v>-</v>
          </cell>
          <cell r="BH49" t="str">
            <v>-</v>
          </cell>
          <cell r="BI49" t="str">
            <v>-</v>
          </cell>
          <cell r="BJ49" t="str">
            <v>-</v>
          </cell>
          <cell r="BK49" t="str">
            <v>-</v>
          </cell>
          <cell r="BL49" t="str">
            <v>-</v>
          </cell>
          <cell r="BM49">
            <v>0.4247641744186047</v>
          </cell>
          <cell r="BN49">
            <v>0.4247641744186047</v>
          </cell>
          <cell r="BO49" t="str">
            <v>-</v>
          </cell>
          <cell r="BP49" t="str">
            <v>-</v>
          </cell>
          <cell r="BQ49">
            <v>29223.775200000004</v>
          </cell>
          <cell r="BR49">
            <v>2435.3146000000002</v>
          </cell>
          <cell r="BS49">
            <v>562</v>
          </cell>
          <cell r="BT49">
            <v>112.4</v>
          </cell>
        </row>
        <row r="50">
          <cell r="A50" t="str">
            <v>Canada2020100 / 100</v>
          </cell>
          <cell r="B50" t="str">
            <v>Canada</v>
          </cell>
          <cell r="C50">
            <v>2020</v>
          </cell>
          <cell r="D50" t="str">
            <v>100 / 100</v>
          </cell>
          <cell r="E50">
            <v>76100</v>
          </cell>
          <cell r="F50">
            <v>6341.666666666667</v>
          </cell>
          <cell r="G50">
            <v>1463.472795944584</v>
          </cell>
          <cell r="H50">
            <v>292.6945591889168</v>
          </cell>
          <cell r="I50">
            <v>76100</v>
          </cell>
          <cell r="J50">
            <v>6341.666666666667</v>
          </cell>
          <cell r="K50">
            <v>1463.472795944584</v>
          </cell>
          <cell r="L50">
            <v>292.6945591889168</v>
          </cell>
          <cell r="M50" t="str">
            <v>..</v>
          </cell>
          <cell r="N50" t="str">
            <v>..</v>
          </cell>
          <cell r="O50" t="str">
            <v>..</v>
          </cell>
          <cell r="P50" t="str">
            <v>..</v>
          </cell>
          <cell r="Q50" t="str">
            <v>..</v>
          </cell>
          <cell r="R50" t="str">
            <v>..</v>
          </cell>
          <cell r="S50" t="str">
            <v>..</v>
          </cell>
          <cell r="T50" t="str">
            <v>..</v>
          </cell>
          <cell r="U50" t="str">
            <v>..</v>
          </cell>
          <cell r="V50">
            <v>5</v>
          </cell>
          <cell r="W50">
            <v>5</v>
          </cell>
          <cell r="X50">
            <v>0</v>
          </cell>
          <cell r="Y50" t="str">
            <v>-</v>
          </cell>
          <cell r="Z50"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0" t="str">
            <v>Gross</v>
          </cell>
          <cell r="AB50" t="str">
            <v>Y</v>
          </cell>
          <cell r="AC50">
            <v>5</v>
          </cell>
          <cell r="AD50">
            <v>0.55000000000000004</v>
          </cell>
          <cell r="AE50">
            <v>573</v>
          </cell>
          <cell r="AF50" t="str">
            <v>Week</v>
          </cell>
          <cell r="AG50" t="str">
            <v>-</v>
          </cell>
          <cell r="AH50" t="str">
            <v>-</v>
          </cell>
          <cell r="AI50" t="str">
            <v>-</v>
          </cell>
          <cell r="AJ50" t="str">
            <v>-</v>
          </cell>
          <cell r="AK50" t="str">
            <v>-</v>
          </cell>
          <cell r="AL50" t="str">
            <v>-</v>
          </cell>
          <cell r="AM50" t="str">
            <v>-</v>
          </cell>
          <cell r="AN50" t="str">
            <v>-</v>
          </cell>
          <cell r="AO50" t="str">
            <v>-</v>
          </cell>
          <cell r="AP50" t="str">
            <v>-</v>
          </cell>
          <cell r="AQ50" t="str">
            <v>-</v>
          </cell>
          <cell r="AR50" t="str">
            <v>-</v>
          </cell>
          <cell r="AS50" t="str">
            <v>-</v>
          </cell>
          <cell r="AT50" t="str">
            <v>-</v>
          </cell>
          <cell r="AU50" t="str">
            <v>-</v>
          </cell>
          <cell r="AV50" t="str">
            <v>-</v>
          </cell>
          <cell r="AW50" t="str">
            <v>-</v>
          </cell>
          <cell r="AX50" t="str">
            <v>-</v>
          </cell>
          <cell r="AY50" t="str">
            <v>-</v>
          </cell>
          <cell r="AZ50" t="str">
            <v>-</v>
          </cell>
          <cell r="BA50" t="str">
            <v>-</v>
          </cell>
          <cell r="BB50" t="str">
            <v>-</v>
          </cell>
          <cell r="BC50" t="str">
            <v>-</v>
          </cell>
          <cell r="BD50" t="str">
            <v>-</v>
          </cell>
          <cell r="BE50" t="str">
            <v>-</v>
          </cell>
          <cell r="BF50" t="str">
            <v>-</v>
          </cell>
          <cell r="BG50" t="str">
            <v>-</v>
          </cell>
          <cell r="BH50" t="str">
            <v>-</v>
          </cell>
          <cell r="BI50" t="str">
            <v>-</v>
          </cell>
          <cell r="BJ50" t="str">
            <v>-</v>
          </cell>
          <cell r="BK50" t="str">
            <v>-</v>
          </cell>
          <cell r="BL50" t="str">
            <v>-</v>
          </cell>
          <cell r="BM50">
            <v>0.39153443889618927</v>
          </cell>
          <cell r="BN50">
            <v>0.39153443889618927</v>
          </cell>
          <cell r="BO50" t="str">
            <v>-</v>
          </cell>
          <cell r="BP50" t="str">
            <v>-</v>
          </cell>
          <cell r="BQ50">
            <v>29795.770800000002</v>
          </cell>
          <cell r="BR50">
            <v>2482.9809000000005</v>
          </cell>
          <cell r="BS50">
            <v>573</v>
          </cell>
          <cell r="BT50">
            <v>114.6</v>
          </cell>
        </row>
        <row r="51">
          <cell r="A51" t="str">
            <v>Canada2021100 / 100</v>
          </cell>
          <cell r="B51" t="str">
            <v>Canada</v>
          </cell>
          <cell r="C51">
            <v>2021</v>
          </cell>
          <cell r="D51" t="str">
            <v>100 / 100</v>
          </cell>
          <cell r="E51">
            <v>79500</v>
          </cell>
          <cell r="F51">
            <v>6625</v>
          </cell>
          <cell r="G51">
            <v>1528.8579142916483</v>
          </cell>
          <cell r="H51">
            <v>305.77158285832968</v>
          </cell>
          <cell r="I51">
            <v>79500</v>
          </cell>
          <cell r="J51">
            <v>6625</v>
          </cell>
          <cell r="K51">
            <v>1528.8579142916483</v>
          </cell>
          <cell r="L51">
            <v>305.77158285832968</v>
          </cell>
          <cell r="M51" t="str">
            <v>..</v>
          </cell>
          <cell r="N51" t="str">
            <v>..</v>
          </cell>
          <cell r="O51" t="str">
            <v>..</v>
          </cell>
          <cell r="P51" t="str">
            <v>..</v>
          </cell>
          <cell r="Q51" t="str">
            <v>..</v>
          </cell>
          <cell r="R51" t="str">
            <v>..</v>
          </cell>
          <cell r="S51" t="str">
            <v>..</v>
          </cell>
          <cell r="T51" t="str">
            <v>..</v>
          </cell>
          <cell r="U51" t="str">
            <v>..</v>
          </cell>
          <cell r="V51">
            <v>5</v>
          </cell>
          <cell r="W51">
            <v>5</v>
          </cell>
          <cell r="X51">
            <v>0</v>
          </cell>
          <cell r="Y51" t="str">
            <v>-</v>
          </cell>
          <cell r="Z51"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1" t="str">
            <v>Gross</v>
          </cell>
          <cell r="AB51" t="str">
            <v>Y</v>
          </cell>
          <cell r="AC51">
            <v>5</v>
          </cell>
          <cell r="AD51">
            <v>0.55000000000000004</v>
          </cell>
          <cell r="AE51">
            <v>595</v>
          </cell>
          <cell r="AF51" t="str">
            <v>Week</v>
          </cell>
          <cell r="AG51" t="str">
            <v>-</v>
          </cell>
          <cell r="AH51" t="str">
            <v>-</v>
          </cell>
          <cell r="AI51" t="str">
            <v>-</v>
          </cell>
          <cell r="AJ51" t="str">
            <v>-</v>
          </cell>
          <cell r="AK51" t="str">
            <v>-</v>
          </cell>
          <cell r="AL51" t="str">
            <v>-</v>
          </cell>
          <cell r="AM51" t="str">
            <v>-</v>
          </cell>
          <cell r="AN51" t="str">
            <v>-</v>
          </cell>
          <cell r="AO51" t="str">
            <v>-</v>
          </cell>
          <cell r="AP51" t="str">
            <v>-</v>
          </cell>
          <cell r="AQ51" t="str">
            <v>-</v>
          </cell>
          <cell r="AR51" t="str">
            <v>-</v>
          </cell>
          <cell r="AS51" t="str">
            <v>-</v>
          </cell>
          <cell r="AT51" t="str">
            <v>-</v>
          </cell>
          <cell r="AU51" t="str">
            <v>-</v>
          </cell>
          <cell r="AV51" t="str">
            <v>-</v>
          </cell>
          <cell r="AW51" t="str">
            <v>-</v>
          </cell>
          <cell r="AX51" t="str">
            <v>-</v>
          </cell>
          <cell r="AY51" t="str">
            <v>-</v>
          </cell>
          <cell r="AZ51" t="str">
            <v>-</v>
          </cell>
          <cell r="BA51" t="str">
            <v>-</v>
          </cell>
          <cell r="BB51" t="str">
            <v>-</v>
          </cell>
          <cell r="BC51" t="str">
            <v>-</v>
          </cell>
          <cell r="BD51" t="str">
            <v>-</v>
          </cell>
          <cell r="BE51" t="str">
            <v>-</v>
          </cell>
          <cell r="BF51" t="str">
            <v>-</v>
          </cell>
          <cell r="BG51" t="str">
            <v>-</v>
          </cell>
          <cell r="BH51" t="str">
            <v>-</v>
          </cell>
          <cell r="BI51" t="str">
            <v>-</v>
          </cell>
          <cell r="BJ51" t="str">
            <v>-</v>
          </cell>
          <cell r="BK51" t="str">
            <v>-</v>
          </cell>
          <cell r="BL51" t="str">
            <v>-</v>
          </cell>
          <cell r="BM51">
            <v>0.38917939622641512</v>
          </cell>
          <cell r="BN51">
            <v>0.38917939622641512</v>
          </cell>
          <cell r="BO51" t="str">
            <v>-</v>
          </cell>
          <cell r="BP51" t="str">
            <v>-</v>
          </cell>
          <cell r="BQ51">
            <v>30939.762000000002</v>
          </cell>
          <cell r="BR51">
            <v>2578.3135000000002</v>
          </cell>
          <cell r="BS51">
            <v>595</v>
          </cell>
          <cell r="BT51">
            <v>119.00000000000001</v>
          </cell>
        </row>
        <row r="52">
          <cell r="A52" t="str">
            <v>Canada2022100 / 100</v>
          </cell>
          <cell r="B52" t="str">
            <v>Canada</v>
          </cell>
          <cell r="C52">
            <v>2022</v>
          </cell>
          <cell r="D52" t="str">
            <v>100 / 100</v>
          </cell>
          <cell r="E52">
            <v>83126.216</v>
          </cell>
          <cell r="F52">
            <v>6927.184666666667</v>
          </cell>
          <cell r="G52">
            <v>1598.593373795183</v>
          </cell>
          <cell r="H52">
            <v>319.71867475903662</v>
          </cell>
          <cell r="I52">
            <v>83126.216</v>
          </cell>
          <cell r="J52">
            <v>6927.184666666667</v>
          </cell>
          <cell r="K52">
            <v>1598.593373795183</v>
          </cell>
          <cell r="L52">
            <v>319.71867475903662</v>
          </cell>
          <cell r="M52" t="str">
            <v>..</v>
          </cell>
          <cell r="N52" t="str">
            <v>..</v>
          </cell>
          <cell r="O52" t="str">
            <v>..</v>
          </cell>
          <cell r="P52" t="str">
            <v>..</v>
          </cell>
          <cell r="Q52" t="str">
            <v>..</v>
          </cell>
          <cell r="R52" t="str">
            <v>..</v>
          </cell>
          <cell r="S52" t="str">
            <v>..</v>
          </cell>
          <cell r="T52" t="str">
            <v>..</v>
          </cell>
          <cell r="U52" t="str">
            <v>..</v>
          </cell>
          <cell r="V52">
            <v>5</v>
          </cell>
          <cell r="W52">
            <v>5</v>
          </cell>
          <cell r="X52">
            <v>0</v>
          </cell>
          <cell r="Y52" t="str">
            <v>-</v>
          </cell>
          <cell r="Z52"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2" t="str">
            <v>Gross</v>
          </cell>
          <cell r="AB52" t="str">
            <v>Y</v>
          </cell>
          <cell r="AC52">
            <v>5</v>
          </cell>
          <cell r="AD52">
            <v>0.55000000000000004</v>
          </cell>
          <cell r="AE52">
            <v>638</v>
          </cell>
          <cell r="AF52" t="str">
            <v>Week</v>
          </cell>
          <cell r="AG52" t="str">
            <v>-</v>
          </cell>
          <cell r="AH52" t="str">
            <v>-</v>
          </cell>
          <cell r="AI52" t="str">
            <v>-</v>
          </cell>
          <cell r="AJ52" t="str">
            <v>-</v>
          </cell>
          <cell r="AK52" t="str">
            <v>-</v>
          </cell>
          <cell r="AL52" t="str">
            <v>-</v>
          </cell>
          <cell r="AM52" t="str">
            <v>-</v>
          </cell>
          <cell r="AN52" t="str">
            <v>-</v>
          </cell>
          <cell r="AO52" t="str">
            <v>-</v>
          </cell>
          <cell r="AP52" t="str">
            <v>-</v>
          </cell>
          <cell r="AQ52" t="str">
            <v>-</v>
          </cell>
          <cell r="AR52" t="str">
            <v>-</v>
          </cell>
          <cell r="AS52" t="str">
            <v>-</v>
          </cell>
          <cell r="AT52" t="str">
            <v>-</v>
          </cell>
          <cell r="AU52" t="str">
            <v>-</v>
          </cell>
          <cell r="AV52" t="str">
            <v>-</v>
          </cell>
          <cell r="AW52" t="str">
            <v>-</v>
          </cell>
          <cell r="AX52" t="str">
            <v>-</v>
          </cell>
          <cell r="AY52" t="str">
            <v>-</v>
          </cell>
          <cell r="AZ52" t="str">
            <v>-</v>
          </cell>
          <cell r="BA52" t="str">
            <v>-</v>
          </cell>
          <cell r="BB52" t="str">
            <v>-</v>
          </cell>
          <cell r="BC52" t="str">
            <v>-</v>
          </cell>
          <cell r="BD52" t="str">
            <v>-</v>
          </cell>
          <cell r="BE52" t="str">
            <v>-</v>
          </cell>
          <cell r="BF52" t="str">
            <v>-</v>
          </cell>
          <cell r="BG52" t="str">
            <v>-</v>
          </cell>
          <cell r="BH52" t="str">
            <v>-</v>
          </cell>
          <cell r="BI52" t="str">
            <v>-</v>
          </cell>
          <cell r="BJ52" t="str">
            <v>-</v>
          </cell>
          <cell r="BK52" t="str">
            <v>-</v>
          </cell>
          <cell r="BL52" t="str">
            <v>-</v>
          </cell>
          <cell r="BM52">
            <v>0.39910086608537554</v>
          </cell>
          <cell r="BN52">
            <v>0.39910086608537554</v>
          </cell>
          <cell r="BO52" t="str">
            <v>-</v>
          </cell>
          <cell r="BP52" t="str">
            <v>-</v>
          </cell>
          <cell r="BQ52">
            <v>33175.7448</v>
          </cell>
          <cell r="BR52">
            <v>2764.6454000000003</v>
          </cell>
          <cell r="BS52">
            <v>638</v>
          </cell>
          <cell r="BT52">
            <v>127.60000000000001</v>
          </cell>
        </row>
        <row r="53">
          <cell r="A53" t="str">
            <v>Canada2023100 / 100</v>
          </cell>
          <cell r="B53" t="str">
            <v>Canada</v>
          </cell>
          <cell r="C53">
            <v>2023</v>
          </cell>
          <cell r="D53" t="str">
            <v>100 / 100</v>
          </cell>
          <cell r="E53">
            <v>85768.735000000001</v>
          </cell>
          <cell r="F53">
            <v>7147.3945833333337</v>
          </cell>
          <cell r="G53">
            <v>1649.4114377802905</v>
          </cell>
          <cell r="H53">
            <v>329.88228755605809</v>
          </cell>
          <cell r="I53">
            <v>85768.735000000001</v>
          </cell>
          <cell r="J53">
            <v>7147.3945833333337</v>
          </cell>
          <cell r="K53">
            <v>1649.4114377802905</v>
          </cell>
          <cell r="L53">
            <v>329.88228755605809</v>
          </cell>
          <cell r="M53" t="str">
            <v>..</v>
          </cell>
          <cell r="N53" t="str">
            <v>..</v>
          </cell>
          <cell r="O53" t="str">
            <v>..</v>
          </cell>
          <cell r="P53" t="str">
            <v>..</v>
          </cell>
          <cell r="Q53" t="str">
            <v>..</v>
          </cell>
          <cell r="R53" t="str">
            <v>..</v>
          </cell>
          <cell r="S53" t="str">
            <v>..</v>
          </cell>
          <cell r="T53" t="str">
            <v>..</v>
          </cell>
          <cell r="U53" t="str">
            <v>..</v>
          </cell>
          <cell r="V53">
            <v>5</v>
          </cell>
          <cell r="W53">
            <v>5</v>
          </cell>
          <cell r="X53">
            <v>0</v>
          </cell>
          <cell r="Y53" t="str">
            <v>-</v>
          </cell>
          <cell r="Z53"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3" t="str">
            <v>Gross</v>
          </cell>
          <cell r="AB53" t="str">
            <v>Y</v>
          </cell>
          <cell r="AC53">
            <v>5</v>
          </cell>
          <cell r="AD53">
            <v>0.55000000000000004</v>
          </cell>
          <cell r="AE53">
            <v>650</v>
          </cell>
          <cell r="AF53" t="str">
            <v>Week</v>
          </cell>
          <cell r="AG53" t="str">
            <v>-</v>
          </cell>
          <cell r="AH53" t="str">
            <v>-</v>
          </cell>
          <cell r="AI53" t="str">
            <v>-</v>
          </cell>
          <cell r="AJ53" t="str">
            <v>-</v>
          </cell>
          <cell r="AK53" t="str">
            <v>-</v>
          </cell>
          <cell r="AL53" t="str">
            <v>-</v>
          </cell>
          <cell r="AM53" t="str">
            <v>-</v>
          </cell>
          <cell r="AN53" t="str">
            <v>-</v>
          </cell>
          <cell r="AO53" t="str">
            <v>-</v>
          </cell>
          <cell r="AP53" t="str">
            <v>-</v>
          </cell>
          <cell r="AQ53" t="str">
            <v>-</v>
          </cell>
          <cell r="AR53" t="str">
            <v>-</v>
          </cell>
          <cell r="AS53" t="str">
            <v>-</v>
          </cell>
          <cell r="AT53" t="str">
            <v>-</v>
          </cell>
          <cell r="AU53" t="str">
            <v>-</v>
          </cell>
          <cell r="AV53" t="str">
            <v>-</v>
          </cell>
          <cell r="AW53" t="str">
            <v>-</v>
          </cell>
          <cell r="AX53" t="str">
            <v>-</v>
          </cell>
          <cell r="AY53" t="str">
            <v>-</v>
          </cell>
          <cell r="AZ53" t="str">
            <v>-</v>
          </cell>
          <cell r="BA53" t="str">
            <v>-</v>
          </cell>
          <cell r="BB53" t="str">
            <v>-</v>
          </cell>
          <cell r="BC53" t="str">
            <v>-</v>
          </cell>
          <cell r="BD53" t="str">
            <v>-</v>
          </cell>
          <cell r="BE53" t="str">
            <v>-</v>
          </cell>
          <cell r="BF53" t="str">
            <v>-</v>
          </cell>
          <cell r="BG53" t="str">
            <v>-</v>
          </cell>
          <cell r="BH53" t="str">
            <v>-</v>
          </cell>
          <cell r="BI53" t="str">
            <v>-</v>
          </cell>
          <cell r="BJ53" t="str">
            <v>-</v>
          </cell>
          <cell r="BK53" t="str">
            <v>-</v>
          </cell>
          <cell r="BL53" t="str">
            <v>-</v>
          </cell>
          <cell r="BM53">
            <v>0.39407996398687706</v>
          </cell>
          <cell r="BN53">
            <v>0.39407996398687706</v>
          </cell>
          <cell r="BO53" t="str">
            <v>-</v>
          </cell>
          <cell r="BP53" t="str">
            <v>-</v>
          </cell>
          <cell r="BQ53">
            <v>33799.740000000005</v>
          </cell>
          <cell r="BR53">
            <v>2816.6450000000004</v>
          </cell>
          <cell r="BS53">
            <v>650</v>
          </cell>
          <cell r="BT53">
            <v>130</v>
          </cell>
        </row>
        <row r="54">
          <cell r="A54" t="str">
            <v>Canada2024100 / 100</v>
          </cell>
          <cell r="B54" t="str">
            <v>Canada</v>
          </cell>
          <cell r="C54">
            <v>2024</v>
          </cell>
          <cell r="D54" t="str">
            <v>100 / 100</v>
          </cell>
          <cell r="E54">
            <v>88359.58</v>
          </cell>
          <cell r="F54">
            <v>7363.2983333333332</v>
          </cell>
          <cell r="G54">
            <v>1699.2357633520255</v>
          </cell>
          <cell r="H54">
            <v>339.84715267040508</v>
          </cell>
          <cell r="I54">
            <v>88359.58</v>
          </cell>
          <cell r="J54">
            <v>7363.2983333333332</v>
          </cell>
          <cell r="K54">
            <v>1699.2357633520255</v>
          </cell>
          <cell r="L54">
            <v>339.84715267040508</v>
          </cell>
          <cell r="M54" t="str">
            <v>..</v>
          </cell>
          <cell r="N54" t="str">
            <v>..</v>
          </cell>
          <cell r="O54" t="str">
            <v>..</v>
          </cell>
          <cell r="P54" t="str">
            <v>..</v>
          </cell>
          <cell r="Q54" t="str">
            <v>..</v>
          </cell>
          <cell r="R54" t="str">
            <v>..</v>
          </cell>
          <cell r="S54" t="str">
            <v>..</v>
          </cell>
          <cell r="T54" t="str">
            <v>..</v>
          </cell>
          <cell r="U54" t="str">
            <v>..</v>
          </cell>
          <cell r="V54">
            <v>5</v>
          </cell>
          <cell r="W54">
            <v>5</v>
          </cell>
          <cell r="X54">
            <v>0</v>
          </cell>
          <cell r="Y54" t="str">
            <v>-</v>
          </cell>
          <cell r="Z54"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4" t="str">
            <v>Gross</v>
          </cell>
          <cell r="AB54" t="str">
            <v>Y</v>
          </cell>
          <cell r="AC54">
            <v>5</v>
          </cell>
          <cell r="AD54">
            <v>0.55000000000000004</v>
          </cell>
          <cell r="AE54">
            <v>668</v>
          </cell>
          <cell r="AF54" t="str">
            <v>Week</v>
          </cell>
          <cell r="AG54" t="str">
            <v>-</v>
          </cell>
          <cell r="AH54" t="str">
            <v>-</v>
          </cell>
          <cell r="AI54" t="str">
            <v>-</v>
          </cell>
          <cell r="AJ54" t="str">
            <v>-</v>
          </cell>
          <cell r="AK54" t="str">
            <v>-</v>
          </cell>
          <cell r="AL54" t="str">
            <v>-</v>
          </cell>
          <cell r="AM54" t="str">
            <v>-</v>
          </cell>
          <cell r="AN54" t="str">
            <v>-</v>
          </cell>
          <cell r="AO54" t="str">
            <v>-</v>
          </cell>
          <cell r="AP54" t="str">
            <v>-</v>
          </cell>
          <cell r="AQ54" t="str">
            <v>-</v>
          </cell>
          <cell r="AR54" t="str">
            <v>-</v>
          </cell>
          <cell r="AS54" t="str">
            <v>-</v>
          </cell>
          <cell r="AT54" t="str">
            <v>-</v>
          </cell>
          <cell r="AU54" t="str">
            <v>-</v>
          </cell>
          <cell r="AV54" t="str">
            <v>-</v>
          </cell>
          <cell r="AW54" t="str">
            <v>-</v>
          </cell>
          <cell r="AX54" t="str">
            <v>-</v>
          </cell>
          <cell r="AY54" t="str">
            <v>-</v>
          </cell>
          <cell r="AZ54" t="str">
            <v>-</v>
          </cell>
          <cell r="BA54" t="str">
            <v>-</v>
          </cell>
          <cell r="BB54" t="str">
            <v>-</v>
          </cell>
          <cell r="BC54" t="str">
            <v>-</v>
          </cell>
          <cell r="BD54" t="str">
            <v>-</v>
          </cell>
          <cell r="BE54" t="str">
            <v>-</v>
          </cell>
          <cell r="BF54" t="str">
            <v>-</v>
          </cell>
          <cell r="BG54" t="str">
            <v>-</v>
          </cell>
          <cell r="BH54" t="str">
            <v>-</v>
          </cell>
          <cell r="BI54" t="str">
            <v>-</v>
          </cell>
          <cell r="BJ54" t="str">
            <v>-</v>
          </cell>
          <cell r="BK54" t="str">
            <v>-</v>
          </cell>
          <cell r="BL54" t="str">
            <v>-</v>
          </cell>
          <cell r="BM54">
            <v>0.39311790300497135</v>
          </cell>
          <cell r="BN54">
            <v>0.39311790300497135</v>
          </cell>
          <cell r="BO54" t="str">
            <v>-</v>
          </cell>
          <cell r="BP54" t="str">
            <v>-</v>
          </cell>
          <cell r="BQ54">
            <v>34735.732800000005</v>
          </cell>
          <cell r="BR54">
            <v>2894.6444000000006</v>
          </cell>
          <cell r="BS54">
            <v>668</v>
          </cell>
          <cell r="BT54">
            <v>133.6</v>
          </cell>
        </row>
        <row r="55">
          <cell r="A55" t="str">
            <v>Canada2025100 / 100</v>
          </cell>
          <cell r="B55" t="str">
            <v>Canada</v>
          </cell>
          <cell r="C55">
            <v>2025</v>
          </cell>
          <cell r="D55" t="str">
            <v>100 / 100</v>
          </cell>
          <cell r="E55">
            <v>88359.58</v>
          </cell>
          <cell r="F55">
            <v>7363.2983333333332</v>
          </cell>
          <cell r="G55">
            <v>1699.2357633520255</v>
          </cell>
          <cell r="H55">
            <v>339.84715267040508</v>
          </cell>
          <cell r="I55">
            <v>88359.58</v>
          </cell>
          <cell r="J55">
            <v>7363.2983333333332</v>
          </cell>
          <cell r="K55">
            <v>1699.2357633520255</v>
          </cell>
          <cell r="L55">
            <v>339.84715267040508</v>
          </cell>
          <cell r="M55" t="str">
            <v>..</v>
          </cell>
          <cell r="N55" t="str">
            <v>..</v>
          </cell>
          <cell r="O55" t="str">
            <v>..</v>
          </cell>
          <cell r="P55" t="str">
            <v>..</v>
          </cell>
          <cell r="Q55" t="str">
            <v>..</v>
          </cell>
          <cell r="R55" t="str">
            <v>..</v>
          </cell>
          <cell r="S55" t="str">
            <v>..</v>
          </cell>
          <cell r="T55" t="str">
            <v>..</v>
          </cell>
          <cell r="U55" t="str">
            <v>..</v>
          </cell>
          <cell r="V55">
            <v>5</v>
          </cell>
          <cell r="W55">
            <v>5</v>
          </cell>
          <cell r="X55">
            <v>0</v>
          </cell>
          <cell r="Y55" t="str">
            <v>-</v>
          </cell>
          <cell r="Z55" t="str">
            <v>Five weeks. An additional five weeks of parental leave benefits is available under the standard option if both parents share parental benefits. One parent cannot receive more than 35 weeks of standard parental benefits. [Note: Here we assume the mother maximizes her 35 weeks of benefits and the father takes the 5 extra weeks]</v>
          </cell>
          <cell r="AA55" t="str">
            <v>Gross</v>
          </cell>
          <cell r="AB55" t="str">
            <v>Y</v>
          </cell>
          <cell r="AC55">
            <v>5</v>
          </cell>
          <cell r="AD55">
            <v>0.55000000000000004</v>
          </cell>
          <cell r="AE55">
            <v>695</v>
          </cell>
          <cell r="AF55" t="str">
            <v>Week</v>
          </cell>
          <cell r="AG55" t="str">
            <v>-</v>
          </cell>
          <cell r="AH55" t="str">
            <v>-</v>
          </cell>
          <cell r="AI55" t="str">
            <v>-</v>
          </cell>
          <cell r="AJ55" t="str">
            <v>-</v>
          </cell>
          <cell r="AK55" t="str">
            <v>-</v>
          </cell>
          <cell r="AL55" t="str">
            <v>-</v>
          </cell>
          <cell r="AM55" t="str">
            <v>-</v>
          </cell>
          <cell r="AN55" t="str">
            <v>-</v>
          </cell>
          <cell r="AO55" t="str">
            <v>-</v>
          </cell>
          <cell r="AP55" t="str">
            <v>-</v>
          </cell>
          <cell r="AQ55" t="str">
            <v>-</v>
          </cell>
          <cell r="AR55" t="str">
            <v>-</v>
          </cell>
          <cell r="AS55" t="str">
            <v>-</v>
          </cell>
          <cell r="AT55" t="str">
            <v>-</v>
          </cell>
          <cell r="AU55" t="str">
            <v>-</v>
          </cell>
          <cell r="AV55" t="str">
            <v>-</v>
          </cell>
          <cell r="AW55" t="str">
            <v>-</v>
          </cell>
          <cell r="AX55" t="str">
            <v>-</v>
          </cell>
          <cell r="AY55" t="str">
            <v>-</v>
          </cell>
          <cell r="AZ55" t="str">
            <v>-</v>
          </cell>
          <cell r="BA55" t="str">
            <v>-</v>
          </cell>
          <cell r="BB55" t="str">
            <v>-</v>
          </cell>
          <cell r="BC55" t="str">
            <v>-</v>
          </cell>
          <cell r="BD55" t="str">
            <v>-</v>
          </cell>
          <cell r="BE55" t="str">
            <v>-</v>
          </cell>
          <cell r="BF55" t="str">
            <v>-</v>
          </cell>
          <cell r="BG55" t="str">
            <v>-</v>
          </cell>
          <cell r="BH55" t="str">
            <v>-</v>
          </cell>
          <cell r="BI55" t="str">
            <v>-</v>
          </cell>
          <cell r="BJ55" t="str">
            <v>-</v>
          </cell>
          <cell r="BK55" t="str">
            <v>-</v>
          </cell>
          <cell r="BL55" t="str">
            <v>-</v>
          </cell>
          <cell r="BM55">
            <v>0.40900739908451361</v>
          </cell>
          <cell r="BN55">
            <v>0.40900739908451361</v>
          </cell>
          <cell r="BO55" t="str">
            <v>-</v>
          </cell>
          <cell r="BP55" t="str">
            <v>-</v>
          </cell>
          <cell r="BQ55">
            <v>36139.722000000009</v>
          </cell>
          <cell r="BR55">
            <v>3011.6435000000006</v>
          </cell>
          <cell r="BS55">
            <v>695</v>
          </cell>
          <cell r="BT55">
            <v>139</v>
          </cell>
        </row>
        <row r="56">
          <cell r="A56" t="str">
            <v>Chile2014100 / 100</v>
          </cell>
          <cell r="B56" t="str">
            <v>Chile</v>
          </cell>
          <cell r="C56">
            <v>2014</v>
          </cell>
          <cell r="D56" t="str">
            <v>100 / 100</v>
          </cell>
          <cell r="E56">
            <v>7877707</v>
          </cell>
          <cell r="F56">
            <v>656475.58333333337</v>
          </cell>
          <cell r="G56">
            <v>151495.53073485181</v>
          </cell>
          <cell r="H56">
            <v>30299.106146970364</v>
          </cell>
          <cell r="I56">
            <v>7877707</v>
          </cell>
          <cell r="J56">
            <v>656475.58333333337</v>
          </cell>
          <cell r="K56">
            <v>151495.53073485181</v>
          </cell>
          <cell r="L56">
            <v>30299.106146970364</v>
          </cell>
          <cell r="M56">
            <v>5344295.8610690003</v>
          </cell>
          <cell r="N56">
            <v>445357.98842241667</v>
          </cell>
          <cell r="O56">
            <v>102775.71098756528</v>
          </cell>
          <cell r="P56">
            <v>20555.142197513058</v>
          </cell>
          <cell r="Q56">
            <v>5344295.8610690003</v>
          </cell>
          <cell r="R56">
            <v>445357.98842241667</v>
          </cell>
          <cell r="S56">
            <v>102775.71098756528</v>
          </cell>
          <cell r="T56">
            <v>20555.142197513058</v>
          </cell>
          <cell r="U56" t="str">
            <v>..</v>
          </cell>
          <cell r="V56">
            <v>0</v>
          </cell>
          <cell r="W56">
            <v>0</v>
          </cell>
          <cell r="X56">
            <v>0</v>
          </cell>
          <cell r="Y56" t="str">
            <v>-</v>
          </cell>
          <cell r="Z56" t="str">
            <v>No statutory entitlement</v>
          </cell>
          <cell r="AA56" t="str">
            <v>-</v>
          </cell>
          <cell r="AB56" t="str">
            <v>-</v>
          </cell>
          <cell r="AC56" t="str">
            <v>-</v>
          </cell>
          <cell r="AD56" t="str">
            <v>-</v>
          </cell>
          <cell r="AE56" t="str">
            <v>-</v>
          </cell>
          <cell r="AF56" t="str">
            <v>-</v>
          </cell>
          <cell r="AG56" t="str">
            <v>-</v>
          </cell>
          <cell r="AH56" t="str">
            <v>-</v>
          </cell>
          <cell r="AI56" t="str">
            <v>-</v>
          </cell>
          <cell r="AJ56" t="str">
            <v>-</v>
          </cell>
          <cell r="AK56" t="str">
            <v>-</v>
          </cell>
          <cell r="AL56" t="str">
            <v>-</v>
          </cell>
          <cell r="AM56" t="str">
            <v>-</v>
          </cell>
          <cell r="AN56" t="str">
            <v>-</v>
          </cell>
          <cell r="AO56" t="str">
            <v>-</v>
          </cell>
          <cell r="AP56" t="str">
            <v>-</v>
          </cell>
          <cell r="AQ56" t="str">
            <v>-</v>
          </cell>
          <cell r="AR56" t="str">
            <v>-</v>
          </cell>
          <cell r="AS56" t="str">
            <v>-</v>
          </cell>
          <cell r="AT56" t="str">
            <v>-</v>
          </cell>
          <cell r="AU56" t="str">
            <v>-</v>
          </cell>
          <cell r="AV56" t="str">
            <v>-</v>
          </cell>
          <cell r="AW56" t="str">
            <v>-</v>
          </cell>
          <cell r="AX56" t="str">
            <v>-</v>
          </cell>
          <cell r="AY56" t="str">
            <v>-</v>
          </cell>
          <cell r="AZ56" t="str">
            <v>-</v>
          </cell>
          <cell r="BA56" t="str">
            <v>-</v>
          </cell>
          <cell r="BB56" t="str">
            <v>-</v>
          </cell>
          <cell r="BC56" t="str">
            <v>-</v>
          </cell>
          <cell r="BD56" t="str">
            <v>-</v>
          </cell>
          <cell r="BE56" t="str">
            <v>-</v>
          </cell>
          <cell r="BF56" t="str">
            <v>-</v>
          </cell>
          <cell r="BG56" t="str">
            <v>-</v>
          </cell>
          <cell r="BH56" t="str">
            <v>-</v>
          </cell>
          <cell r="BI56" t="str">
            <v>-</v>
          </cell>
          <cell r="BJ56" t="str">
            <v>-</v>
          </cell>
          <cell r="BK56" t="str">
            <v>-</v>
          </cell>
          <cell r="BL56" t="str">
            <v>-</v>
          </cell>
          <cell r="BM56">
            <v>0</v>
          </cell>
          <cell r="BN56">
            <v>0</v>
          </cell>
          <cell r="BO56">
            <v>0</v>
          </cell>
          <cell r="BP56">
            <v>0</v>
          </cell>
          <cell r="BQ56">
            <v>0</v>
          </cell>
          <cell r="BR56">
            <v>0</v>
          </cell>
          <cell r="BS56">
            <v>0</v>
          </cell>
          <cell r="BT56">
            <v>0</v>
          </cell>
        </row>
        <row r="57">
          <cell r="A57" t="str">
            <v>Chile2015100 / 100</v>
          </cell>
          <cell r="B57" t="str">
            <v>Chile</v>
          </cell>
          <cell r="C57">
            <v>2015</v>
          </cell>
          <cell r="D57" t="str">
            <v>100 / 100</v>
          </cell>
          <cell r="E57">
            <v>8481551</v>
          </cell>
          <cell r="F57">
            <v>706795.91666666663</v>
          </cell>
          <cell r="G57">
            <v>163108.00467695904</v>
          </cell>
          <cell r="H57">
            <v>32621.600935391809</v>
          </cell>
          <cell r="I57">
            <v>8481551</v>
          </cell>
          <cell r="J57">
            <v>706795.91666666663</v>
          </cell>
          <cell r="K57">
            <v>163108.00467695904</v>
          </cell>
          <cell r="L57">
            <v>32621.600935391809</v>
          </cell>
          <cell r="M57">
            <v>6890412.0323999999</v>
          </cell>
          <cell r="N57">
            <v>574201.00269999995</v>
          </cell>
          <cell r="O57">
            <v>132508.94299956152</v>
          </cell>
          <cell r="P57">
            <v>26501.788599912303</v>
          </cell>
          <cell r="Q57">
            <v>6890412.0323999999</v>
          </cell>
          <cell r="R57">
            <v>574201.00269999995</v>
          </cell>
          <cell r="S57">
            <v>132508.94299956152</v>
          </cell>
          <cell r="T57">
            <v>26501.788599912303</v>
          </cell>
          <cell r="U57" t="str">
            <v>..</v>
          </cell>
          <cell r="V57">
            <v>0</v>
          </cell>
          <cell r="W57">
            <v>0</v>
          </cell>
          <cell r="X57">
            <v>0</v>
          </cell>
          <cell r="Y57" t="str">
            <v>-</v>
          </cell>
          <cell r="Z57" t="str">
            <v>No statutory entitlement</v>
          </cell>
          <cell r="AA57" t="str">
            <v>-</v>
          </cell>
          <cell r="AB57" t="str">
            <v>-</v>
          </cell>
          <cell r="AC57" t="str">
            <v>-</v>
          </cell>
          <cell r="AD57" t="str">
            <v>-</v>
          </cell>
          <cell r="AE57" t="str">
            <v>-</v>
          </cell>
          <cell r="AF57" t="str">
            <v>-</v>
          </cell>
          <cell r="AG57" t="str">
            <v>-</v>
          </cell>
          <cell r="AH57" t="str">
            <v>-</v>
          </cell>
          <cell r="AI57" t="str">
            <v>-</v>
          </cell>
          <cell r="AJ57" t="str">
            <v>-</v>
          </cell>
          <cell r="AK57" t="str">
            <v>-</v>
          </cell>
          <cell r="AL57" t="str">
            <v>-</v>
          </cell>
          <cell r="AM57" t="str">
            <v>-</v>
          </cell>
          <cell r="AN57" t="str">
            <v>-</v>
          </cell>
          <cell r="AO57" t="str">
            <v>-</v>
          </cell>
          <cell r="AP57" t="str">
            <v>-</v>
          </cell>
          <cell r="AQ57" t="str">
            <v>-</v>
          </cell>
          <cell r="AR57" t="str">
            <v>-</v>
          </cell>
          <cell r="AS57" t="str">
            <v>-</v>
          </cell>
          <cell r="AT57" t="str">
            <v>-</v>
          </cell>
          <cell r="AU57" t="str">
            <v>-</v>
          </cell>
          <cell r="AV57" t="str">
            <v>-</v>
          </cell>
          <cell r="AW57" t="str">
            <v>-</v>
          </cell>
          <cell r="AX57" t="str">
            <v>-</v>
          </cell>
          <cell r="AY57" t="str">
            <v>-</v>
          </cell>
          <cell r="AZ57" t="str">
            <v>-</v>
          </cell>
          <cell r="BA57" t="str">
            <v>-</v>
          </cell>
          <cell r="BB57" t="str">
            <v>-</v>
          </cell>
          <cell r="BC57" t="str">
            <v>-</v>
          </cell>
          <cell r="BD57" t="str">
            <v>-</v>
          </cell>
          <cell r="BE57" t="str">
            <v>-</v>
          </cell>
          <cell r="BF57" t="str">
            <v>-</v>
          </cell>
          <cell r="BG57" t="str">
            <v>-</v>
          </cell>
          <cell r="BH57" t="str">
            <v>-</v>
          </cell>
          <cell r="BI57" t="str">
            <v>-</v>
          </cell>
          <cell r="BJ57" t="str">
            <v>-</v>
          </cell>
          <cell r="BK57" t="str">
            <v>-</v>
          </cell>
          <cell r="BL57" t="str">
            <v>-</v>
          </cell>
          <cell r="BM57">
            <v>0</v>
          </cell>
          <cell r="BN57">
            <v>0</v>
          </cell>
          <cell r="BO57">
            <v>0</v>
          </cell>
          <cell r="BP57">
            <v>0</v>
          </cell>
          <cell r="BQ57">
            <v>0</v>
          </cell>
          <cell r="BR57">
            <v>0</v>
          </cell>
          <cell r="BS57">
            <v>0</v>
          </cell>
          <cell r="BT57">
            <v>0</v>
          </cell>
        </row>
        <row r="58">
          <cell r="A58" t="str">
            <v>Chile2016100 / 100</v>
          </cell>
          <cell r="B58" t="str">
            <v>Chile</v>
          </cell>
          <cell r="C58">
            <v>2016</v>
          </cell>
          <cell r="D58" t="str">
            <v>100 / 100</v>
          </cell>
          <cell r="E58">
            <v>8975814.5</v>
          </cell>
          <cell r="F58">
            <v>747984.54166666663</v>
          </cell>
          <cell r="G58">
            <v>172613.14510111613</v>
          </cell>
          <cell r="H58">
            <v>34522.629020223227</v>
          </cell>
          <cell r="I58">
            <v>8975814.5</v>
          </cell>
          <cell r="J58">
            <v>747984.54166666663</v>
          </cell>
          <cell r="K58">
            <v>172613.14510111613</v>
          </cell>
          <cell r="L58">
            <v>34522.629020223227</v>
          </cell>
          <cell r="M58">
            <v>7292718.1991999997</v>
          </cell>
          <cell r="N58">
            <v>607726.51659999997</v>
          </cell>
          <cell r="O58">
            <v>140245.65956661204</v>
          </cell>
          <cell r="P58">
            <v>28049.13191332241</v>
          </cell>
          <cell r="Q58">
            <v>7292718.1991999997</v>
          </cell>
          <cell r="R58">
            <v>607726.51659999997</v>
          </cell>
          <cell r="S58">
            <v>140245.65956661204</v>
          </cell>
          <cell r="T58">
            <v>28049.13191332241</v>
          </cell>
          <cell r="U58" t="str">
            <v>..</v>
          </cell>
          <cell r="V58">
            <v>0</v>
          </cell>
          <cell r="W58">
            <v>0</v>
          </cell>
          <cell r="X58">
            <v>0</v>
          </cell>
          <cell r="Y58" t="str">
            <v>-</v>
          </cell>
          <cell r="Z58" t="str">
            <v>No statutory entitlement</v>
          </cell>
          <cell r="AA58" t="str">
            <v>-</v>
          </cell>
          <cell r="AB58" t="str">
            <v>-</v>
          </cell>
          <cell r="AC58" t="str">
            <v>-</v>
          </cell>
          <cell r="AD58" t="str">
            <v>-</v>
          </cell>
          <cell r="AE58" t="str">
            <v>-</v>
          </cell>
          <cell r="AF58" t="str">
            <v>-</v>
          </cell>
          <cell r="AG58" t="str">
            <v>-</v>
          </cell>
          <cell r="AH58" t="str">
            <v>-</v>
          </cell>
          <cell r="AI58" t="str">
            <v>-</v>
          </cell>
          <cell r="AJ58" t="str">
            <v>-</v>
          </cell>
          <cell r="AK58" t="str">
            <v>-</v>
          </cell>
          <cell r="AL58" t="str">
            <v>-</v>
          </cell>
          <cell r="AM58" t="str">
            <v>-</v>
          </cell>
          <cell r="AN58" t="str">
            <v>-</v>
          </cell>
          <cell r="AO58" t="str">
            <v>-</v>
          </cell>
          <cell r="AP58" t="str">
            <v>-</v>
          </cell>
          <cell r="AQ58" t="str">
            <v>-</v>
          </cell>
          <cell r="AR58" t="str">
            <v>-</v>
          </cell>
          <cell r="AS58" t="str">
            <v>-</v>
          </cell>
          <cell r="AT58" t="str">
            <v>-</v>
          </cell>
          <cell r="AU58" t="str">
            <v>-</v>
          </cell>
          <cell r="AV58" t="str">
            <v>-</v>
          </cell>
          <cell r="AW58" t="str">
            <v>-</v>
          </cell>
          <cell r="AX58" t="str">
            <v>-</v>
          </cell>
          <cell r="AY58" t="str">
            <v>-</v>
          </cell>
          <cell r="AZ58" t="str">
            <v>-</v>
          </cell>
          <cell r="BA58" t="str">
            <v>-</v>
          </cell>
          <cell r="BB58" t="str">
            <v>-</v>
          </cell>
          <cell r="BC58" t="str">
            <v>-</v>
          </cell>
          <cell r="BD58" t="str">
            <v>-</v>
          </cell>
          <cell r="BE58" t="str">
            <v>-</v>
          </cell>
          <cell r="BF58" t="str">
            <v>-</v>
          </cell>
          <cell r="BG58" t="str">
            <v>-</v>
          </cell>
          <cell r="BH58" t="str">
            <v>-</v>
          </cell>
          <cell r="BI58" t="str">
            <v>-</v>
          </cell>
          <cell r="BJ58" t="str">
            <v>-</v>
          </cell>
          <cell r="BK58" t="str">
            <v>-</v>
          </cell>
          <cell r="BL58" t="str">
            <v>-</v>
          </cell>
          <cell r="BM58">
            <v>0</v>
          </cell>
          <cell r="BN58">
            <v>0</v>
          </cell>
          <cell r="BO58">
            <v>0</v>
          </cell>
          <cell r="BP58">
            <v>0</v>
          </cell>
          <cell r="BQ58">
            <v>0</v>
          </cell>
          <cell r="BR58">
            <v>0</v>
          </cell>
          <cell r="BS58">
            <v>0</v>
          </cell>
          <cell r="BT58">
            <v>0</v>
          </cell>
        </row>
        <row r="59">
          <cell r="A59" t="str">
            <v>Chile2017100 / 100</v>
          </cell>
          <cell r="B59" t="str">
            <v>Chile</v>
          </cell>
          <cell r="C59">
            <v>2017</v>
          </cell>
          <cell r="D59" t="str">
            <v>100 / 100</v>
          </cell>
          <cell r="E59">
            <v>9348496</v>
          </cell>
          <cell r="F59">
            <v>779041.33333333337</v>
          </cell>
          <cell r="G59">
            <v>179780.15215501658</v>
          </cell>
          <cell r="H59">
            <v>35956.030431003317</v>
          </cell>
          <cell r="I59">
            <v>9348496</v>
          </cell>
          <cell r="J59">
            <v>779041.33333333337</v>
          </cell>
          <cell r="K59">
            <v>179780.15215501658</v>
          </cell>
          <cell r="L59">
            <v>35956.030431003317</v>
          </cell>
          <cell r="M59">
            <v>7292718.1991999997</v>
          </cell>
          <cell r="N59">
            <v>607726.51659999997</v>
          </cell>
          <cell r="O59">
            <v>140245.65956661204</v>
          </cell>
          <cell r="P59">
            <v>28049.13191332241</v>
          </cell>
          <cell r="Q59">
            <v>7292718.1991999997</v>
          </cell>
          <cell r="R59">
            <v>607726.51659999997</v>
          </cell>
          <cell r="S59">
            <v>140245.65956661204</v>
          </cell>
          <cell r="T59">
            <v>28049.13191332241</v>
          </cell>
          <cell r="U59" t="str">
            <v>..</v>
          </cell>
          <cell r="V59">
            <v>0</v>
          </cell>
          <cell r="W59">
            <v>0</v>
          </cell>
          <cell r="X59">
            <v>0</v>
          </cell>
          <cell r="Y59" t="str">
            <v>-</v>
          </cell>
          <cell r="Z59" t="str">
            <v>No statutory entitlement</v>
          </cell>
          <cell r="AA59" t="str">
            <v>-</v>
          </cell>
          <cell r="AB59" t="str">
            <v>-</v>
          </cell>
          <cell r="AC59" t="str">
            <v>-</v>
          </cell>
          <cell r="AD59" t="str">
            <v>-</v>
          </cell>
          <cell r="AE59" t="str">
            <v>-</v>
          </cell>
          <cell r="AF59" t="str">
            <v>-</v>
          </cell>
          <cell r="AG59" t="str">
            <v>-</v>
          </cell>
          <cell r="AH59" t="str">
            <v>-</v>
          </cell>
          <cell r="AI59" t="str">
            <v>-</v>
          </cell>
          <cell r="AJ59" t="str">
            <v>-</v>
          </cell>
          <cell r="AK59" t="str">
            <v>-</v>
          </cell>
          <cell r="AL59" t="str">
            <v>-</v>
          </cell>
          <cell r="AM59" t="str">
            <v>-</v>
          </cell>
          <cell r="AN59" t="str">
            <v>-</v>
          </cell>
          <cell r="AO59" t="str">
            <v>-</v>
          </cell>
          <cell r="AP59" t="str">
            <v>-</v>
          </cell>
          <cell r="AQ59" t="str">
            <v>-</v>
          </cell>
          <cell r="AR59" t="str">
            <v>-</v>
          </cell>
          <cell r="AS59" t="str">
            <v>-</v>
          </cell>
          <cell r="AT59" t="str">
            <v>-</v>
          </cell>
          <cell r="AU59" t="str">
            <v>-</v>
          </cell>
          <cell r="AV59" t="str">
            <v>-</v>
          </cell>
          <cell r="AW59" t="str">
            <v>-</v>
          </cell>
          <cell r="AX59" t="str">
            <v>-</v>
          </cell>
          <cell r="AY59" t="str">
            <v>-</v>
          </cell>
          <cell r="AZ59" t="str">
            <v>-</v>
          </cell>
          <cell r="BA59" t="str">
            <v>-</v>
          </cell>
          <cell r="BB59" t="str">
            <v>-</v>
          </cell>
          <cell r="BC59" t="str">
            <v>-</v>
          </cell>
          <cell r="BD59" t="str">
            <v>-</v>
          </cell>
          <cell r="BE59" t="str">
            <v>-</v>
          </cell>
          <cell r="BF59" t="str">
            <v>-</v>
          </cell>
          <cell r="BG59" t="str">
            <v>-</v>
          </cell>
          <cell r="BH59" t="str">
            <v>-</v>
          </cell>
          <cell r="BI59" t="str">
            <v>-</v>
          </cell>
          <cell r="BJ59" t="str">
            <v>-</v>
          </cell>
          <cell r="BK59" t="str">
            <v>-</v>
          </cell>
          <cell r="BL59" t="str">
            <v>-</v>
          </cell>
          <cell r="BM59">
            <v>0</v>
          </cell>
          <cell r="BN59">
            <v>0</v>
          </cell>
          <cell r="BO59">
            <v>0</v>
          </cell>
          <cell r="BP59">
            <v>0</v>
          </cell>
          <cell r="BQ59">
            <v>0</v>
          </cell>
          <cell r="BR59">
            <v>0</v>
          </cell>
          <cell r="BS59">
            <v>0</v>
          </cell>
          <cell r="BT59">
            <v>0</v>
          </cell>
        </row>
        <row r="60">
          <cell r="A60" t="str">
            <v>Chile2018100 / 100</v>
          </cell>
          <cell r="B60" t="str">
            <v>Chile</v>
          </cell>
          <cell r="C60">
            <v>2018</v>
          </cell>
          <cell r="D60" t="str">
            <v>100 / 100</v>
          </cell>
          <cell r="E60">
            <v>9669328</v>
          </cell>
          <cell r="F60">
            <v>805777.33333333337</v>
          </cell>
          <cell r="G60">
            <v>185950.04576958282</v>
          </cell>
          <cell r="H60">
            <v>37190.009153916566</v>
          </cell>
          <cell r="I60">
            <v>9669328</v>
          </cell>
          <cell r="J60">
            <v>805777.33333333337</v>
          </cell>
          <cell r="K60">
            <v>185950.04576958282</v>
          </cell>
          <cell r="L60">
            <v>37190.009153916566</v>
          </cell>
          <cell r="M60">
            <v>7292718.1991999997</v>
          </cell>
          <cell r="N60">
            <v>607726.51659999997</v>
          </cell>
          <cell r="O60">
            <v>140245.65956661204</v>
          </cell>
          <cell r="P60">
            <v>28049.13191332241</v>
          </cell>
          <cell r="Q60">
            <v>7292718.1991999997</v>
          </cell>
          <cell r="R60">
            <v>607726.51659999997</v>
          </cell>
          <cell r="S60">
            <v>140245.65956661204</v>
          </cell>
          <cell r="T60">
            <v>28049.13191332241</v>
          </cell>
          <cell r="U60" t="str">
            <v>..</v>
          </cell>
          <cell r="V60">
            <v>0</v>
          </cell>
          <cell r="W60">
            <v>0</v>
          </cell>
          <cell r="X60">
            <v>0</v>
          </cell>
          <cell r="Y60" t="str">
            <v>-</v>
          </cell>
          <cell r="Z60" t="str">
            <v>No statutory entitlement</v>
          </cell>
          <cell r="AA60" t="str">
            <v>-</v>
          </cell>
          <cell r="AB60" t="str">
            <v>-</v>
          </cell>
          <cell r="AC60" t="str">
            <v>-</v>
          </cell>
          <cell r="AD60" t="str">
            <v>-</v>
          </cell>
          <cell r="AE60" t="str">
            <v>-</v>
          </cell>
          <cell r="AF60" t="str">
            <v>-</v>
          </cell>
          <cell r="AG60" t="str">
            <v>-</v>
          </cell>
          <cell r="AH60" t="str">
            <v>-</v>
          </cell>
          <cell r="AI60" t="str">
            <v>-</v>
          </cell>
          <cell r="AJ60" t="str">
            <v>-</v>
          </cell>
          <cell r="AK60" t="str">
            <v>-</v>
          </cell>
          <cell r="AL60" t="str">
            <v>-</v>
          </cell>
          <cell r="AM60" t="str">
            <v>-</v>
          </cell>
          <cell r="AN60" t="str">
            <v>-</v>
          </cell>
          <cell r="AO60" t="str">
            <v>-</v>
          </cell>
          <cell r="AP60" t="str">
            <v>-</v>
          </cell>
          <cell r="AQ60" t="str">
            <v>-</v>
          </cell>
          <cell r="AR60" t="str">
            <v>-</v>
          </cell>
          <cell r="AS60" t="str">
            <v>-</v>
          </cell>
          <cell r="AT60" t="str">
            <v>-</v>
          </cell>
          <cell r="AU60" t="str">
            <v>-</v>
          </cell>
          <cell r="AV60" t="str">
            <v>-</v>
          </cell>
          <cell r="AW60" t="str">
            <v>-</v>
          </cell>
          <cell r="AX60" t="str">
            <v>-</v>
          </cell>
          <cell r="AY60" t="str">
            <v>-</v>
          </cell>
          <cell r="AZ60" t="str">
            <v>-</v>
          </cell>
          <cell r="BA60" t="str">
            <v>-</v>
          </cell>
          <cell r="BB60" t="str">
            <v>-</v>
          </cell>
          <cell r="BC60" t="str">
            <v>-</v>
          </cell>
          <cell r="BD60" t="str">
            <v>-</v>
          </cell>
          <cell r="BE60" t="str">
            <v>-</v>
          </cell>
          <cell r="BF60" t="str">
            <v>-</v>
          </cell>
          <cell r="BG60" t="str">
            <v>-</v>
          </cell>
          <cell r="BH60" t="str">
            <v>-</v>
          </cell>
          <cell r="BI60" t="str">
            <v>-</v>
          </cell>
          <cell r="BJ60" t="str">
            <v>-</v>
          </cell>
          <cell r="BK60" t="str">
            <v>-</v>
          </cell>
          <cell r="BL60" t="str">
            <v>-</v>
          </cell>
          <cell r="BM60">
            <v>0</v>
          </cell>
          <cell r="BN60">
            <v>0</v>
          </cell>
          <cell r="BO60">
            <v>0</v>
          </cell>
          <cell r="BP60">
            <v>0</v>
          </cell>
          <cell r="BQ60">
            <v>0</v>
          </cell>
          <cell r="BR60">
            <v>0</v>
          </cell>
          <cell r="BS60">
            <v>0</v>
          </cell>
          <cell r="BT60">
            <v>0</v>
          </cell>
        </row>
        <row r="61">
          <cell r="A61" t="str">
            <v>Chile2019100 / 100</v>
          </cell>
          <cell r="B61" t="str">
            <v>Chile</v>
          </cell>
          <cell r="C61">
            <v>2019</v>
          </cell>
          <cell r="D61" t="str">
            <v>100 / 100</v>
          </cell>
          <cell r="E61">
            <v>10042276</v>
          </cell>
          <cell r="F61">
            <v>836856.33333333337</v>
          </cell>
          <cell r="G61">
            <v>193122.17786290662</v>
          </cell>
          <cell r="H61">
            <v>38624.435572581322</v>
          </cell>
          <cell r="I61">
            <v>10042276</v>
          </cell>
          <cell r="J61">
            <v>836856.33333333337</v>
          </cell>
          <cell r="K61">
            <v>193122.17786290662</v>
          </cell>
          <cell r="L61">
            <v>38624.435572581322</v>
          </cell>
          <cell r="M61">
            <v>7292718.1991999997</v>
          </cell>
          <cell r="N61">
            <v>607726.51659999997</v>
          </cell>
          <cell r="O61">
            <v>140245.65956661204</v>
          </cell>
          <cell r="P61">
            <v>28049.13191332241</v>
          </cell>
          <cell r="Q61">
            <v>7292718.1991999997</v>
          </cell>
          <cell r="R61">
            <v>607726.51659999997</v>
          </cell>
          <cell r="S61">
            <v>140245.65956661204</v>
          </cell>
          <cell r="T61">
            <v>28049.13191332241</v>
          </cell>
          <cell r="U61" t="str">
            <v>..</v>
          </cell>
          <cell r="V61">
            <v>0</v>
          </cell>
          <cell r="W61">
            <v>0</v>
          </cell>
          <cell r="X61">
            <v>0</v>
          </cell>
          <cell r="Y61" t="str">
            <v>-</v>
          </cell>
          <cell r="Z61" t="str">
            <v>No statutory entitlement</v>
          </cell>
          <cell r="AA61" t="str">
            <v>-</v>
          </cell>
          <cell r="AB61" t="str">
            <v>-</v>
          </cell>
          <cell r="AC61" t="str">
            <v>-</v>
          </cell>
          <cell r="AD61" t="str">
            <v>-</v>
          </cell>
          <cell r="AE61" t="str">
            <v>-</v>
          </cell>
          <cell r="AF61" t="str">
            <v>-</v>
          </cell>
          <cell r="AG61" t="str">
            <v>-</v>
          </cell>
          <cell r="AH61" t="str">
            <v>-</v>
          </cell>
          <cell r="AI61" t="str">
            <v>-</v>
          </cell>
          <cell r="AJ61" t="str">
            <v>-</v>
          </cell>
          <cell r="AK61" t="str">
            <v>-</v>
          </cell>
          <cell r="AL61" t="str">
            <v>-</v>
          </cell>
          <cell r="AM61" t="str">
            <v>-</v>
          </cell>
          <cell r="AN61" t="str">
            <v>-</v>
          </cell>
          <cell r="AO61" t="str">
            <v>-</v>
          </cell>
          <cell r="AP61" t="str">
            <v>-</v>
          </cell>
          <cell r="AQ61" t="str">
            <v>-</v>
          </cell>
          <cell r="AR61" t="str">
            <v>-</v>
          </cell>
          <cell r="AS61" t="str">
            <v>-</v>
          </cell>
          <cell r="AT61" t="str">
            <v>-</v>
          </cell>
          <cell r="AU61" t="str">
            <v>-</v>
          </cell>
          <cell r="AV61" t="str">
            <v>-</v>
          </cell>
          <cell r="AW61" t="str">
            <v>-</v>
          </cell>
          <cell r="AX61" t="str">
            <v>-</v>
          </cell>
          <cell r="AY61" t="str">
            <v>-</v>
          </cell>
          <cell r="AZ61" t="str">
            <v>-</v>
          </cell>
          <cell r="BA61" t="str">
            <v>-</v>
          </cell>
          <cell r="BB61" t="str">
            <v>-</v>
          </cell>
          <cell r="BC61" t="str">
            <v>-</v>
          </cell>
          <cell r="BD61" t="str">
            <v>-</v>
          </cell>
          <cell r="BE61" t="str">
            <v>-</v>
          </cell>
          <cell r="BF61" t="str">
            <v>-</v>
          </cell>
          <cell r="BG61" t="str">
            <v>-</v>
          </cell>
          <cell r="BH61" t="str">
            <v>-</v>
          </cell>
          <cell r="BI61" t="str">
            <v>-</v>
          </cell>
          <cell r="BJ61" t="str">
            <v>-</v>
          </cell>
          <cell r="BK61" t="str">
            <v>-</v>
          </cell>
          <cell r="BL61" t="str">
            <v>-</v>
          </cell>
          <cell r="BM61">
            <v>0</v>
          </cell>
          <cell r="BN61">
            <v>0</v>
          </cell>
          <cell r="BO61">
            <v>0</v>
          </cell>
          <cell r="BP61">
            <v>0</v>
          </cell>
          <cell r="BQ61">
            <v>0</v>
          </cell>
          <cell r="BR61">
            <v>0</v>
          </cell>
          <cell r="BS61">
            <v>0</v>
          </cell>
          <cell r="BT61">
            <v>0</v>
          </cell>
        </row>
        <row r="62">
          <cell r="A62" t="str">
            <v>Chile2020100 / 100</v>
          </cell>
          <cell r="B62" t="str">
            <v>Chile</v>
          </cell>
          <cell r="C62">
            <v>2020</v>
          </cell>
          <cell r="D62" t="str">
            <v>100 / 100</v>
          </cell>
          <cell r="E62">
            <v>10282188</v>
          </cell>
          <cell r="F62">
            <v>856849</v>
          </cell>
          <cell r="G62">
            <v>197735.90566081277</v>
          </cell>
          <cell r="H62">
            <v>39547.181132162557</v>
          </cell>
          <cell r="I62">
            <v>10282188</v>
          </cell>
          <cell r="J62">
            <v>856849</v>
          </cell>
          <cell r="K62">
            <v>197735.90566081277</v>
          </cell>
          <cell r="L62">
            <v>39547.181132162557</v>
          </cell>
          <cell r="M62">
            <v>7292718.1991999997</v>
          </cell>
          <cell r="N62">
            <v>607726.51659999997</v>
          </cell>
          <cell r="O62">
            <v>140245.65956661204</v>
          </cell>
          <cell r="P62">
            <v>28049.13191332241</v>
          </cell>
          <cell r="Q62">
            <v>7292718.1991999997</v>
          </cell>
          <cell r="R62">
            <v>607726.51659999997</v>
          </cell>
          <cell r="S62">
            <v>140245.65956661204</v>
          </cell>
          <cell r="T62">
            <v>28049.13191332241</v>
          </cell>
          <cell r="U62" t="str">
            <v>..</v>
          </cell>
          <cell r="V62">
            <v>0</v>
          </cell>
          <cell r="W62">
            <v>0</v>
          </cell>
          <cell r="X62">
            <v>0</v>
          </cell>
          <cell r="Y62" t="str">
            <v>-</v>
          </cell>
          <cell r="Z62" t="str">
            <v>No statutory entitlement</v>
          </cell>
          <cell r="AA62" t="str">
            <v>-</v>
          </cell>
          <cell r="AB62" t="str">
            <v>-</v>
          </cell>
          <cell r="AC62" t="str">
            <v>-</v>
          </cell>
          <cell r="AD62" t="str">
            <v>-</v>
          </cell>
          <cell r="AE62" t="str">
            <v>-</v>
          </cell>
          <cell r="AF62" t="str">
            <v>-</v>
          </cell>
          <cell r="AG62" t="str">
            <v>-</v>
          </cell>
          <cell r="AH62" t="str">
            <v>-</v>
          </cell>
          <cell r="AI62" t="str">
            <v>-</v>
          </cell>
          <cell r="AJ62" t="str">
            <v>-</v>
          </cell>
          <cell r="AK62" t="str">
            <v>-</v>
          </cell>
          <cell r="AL62" t="str">
            <v>-</v>
          </cell>
          <cell r="AM62" t="str">
            <v>-</v>
          </cell>
          <cell r="AN62" t="str">
            <v>-</v>
          </cell>
          <cell r="AO62" t="str">
            <v>-</v>
          </cell>
          <cell r="AP62" t="str">
            <v>-</v>
          </cell>
          <cell r="AQ62" t="str">
            <v>-</v>
          </cell>
          <cell r="AR62" t="str">
            <v>-</v>
          </cell>
          <cell r="AS62" t="str">
            <v>-</v>
          </cell>
          <cell r="AT62" t="str">
            <v>-</v>
          </cell>
          <cell r="AU62" t="str">
            <v>-</v>
          </cell>
          <cell r="AV62" t="str">
            <v>-</v>
          </cell>
          <cell r="AW62" t="str">
            <v>-</v>
          </cell>
          <cell r="AX62" t="str">
            <v>-</v>
          </cell>
          <cell r="AY62" t="str">
            <v>-</v>
          </cell>
          <cell r="AZ62" t="str">
            <v>-</v>
          </cell>
          <cell r="BA62" t="str">
            <v>-</v>
          </cell>
          <cell r="BB62" t="str">
            <v>-</v>
          </cell>
          <cell r="BC62" t="str">
            <v>-</v>
          </cell>
          <cell r="BD62" t="str">
            <v>-</v>
          </cell>
          <cell r="BE62" t="str">
            <v>-</v>
          </cell>
          <cell r="BF62" t="str">
            <v>-</v>
          </cell>
          <cell r="BG62" t="str">
            <v>-</v>
          </cell>
          <cell r="BH62" t="str">
            <v>-</v>
          </cell>
          <cell r="BI62" t="str">
            <v>-</v>
          </cell>
          <cell r="BJ62" t="str">
            <v>-</v>
          </cell>
          <cell r="BK62" t="str">
            <v>-</v>
          </cell>
          <cell r="BL62" t="str">
            <v>-</v>
          </cell>
          <cell r="BM62">
            <v>0</v>
          </cell>
          <cell r="BN62">
            <v>0</v>
          </cell>
          <cell r="BO62">
            <v>0</v>
          </cell>
          <cell r="BP62">
            <v>0</v>
          </cell>
          <cell r="BQ62">
            <v>0</v>
          </cell>
          <cell r="BR62">
            <v>0</v>
          </cell>
          <cell r="BS62">
            <v>0</v>
          </cell>
          <cell r="BT62">
            <v>0</v>
          </cell>
        </row>
        <row r="63">
          <cell r="A63" t="str">
            <v>Chile2021100 / 100</v>
          </cell>
          <cell r="B63" t="str">
            <v>Chile</v>
          </cell>
          <cell r="C63">
            <v>2021</v>
          </cell>
          <cell r="D63" t="str">
            <v>100 / 100</v>
          </cell>
          <cell r="E63">
            <v>10793531</v>
          </cell>
          <cell r="F63">
            <v>899460.91666666663</v>
          </cell>
          <cell r="G63">
            <v>207569.50053461947</v>
          </cell>
          <cell r="H63">
            <v>41513.900106923895</v>
          </cell>
          <cell r="I63">
            <v>10793531</v>
          </cell>
          <cell r="J63">
            <v>899460.91666666663</v>
          </cell>
          <cell r="K63">
            <v>207569.50053461947</v>
          </cell>
          <cell r="L63">
            <v>41513.900106923895</v>
          </cell>
          <cell r="M63">
            <v>7292718.1991999997</v>
          </cell>
          <cell r="N63">
            <v>607726.51659999997</v>
          </cell>
          <cell r="O63">
            <v>140245.65956661204</v>
          </cell>
          <cell r="P63">
            <v>28049.13191332241</v>
          </cell>
          <cell r="Q63">
            <v>7292718.1991999997</v>
          </cell>
          <cell r="R63">
            <v>607726.51659999997</v>
          </cell>
          <cell r="S63">
            <v>140245.65956661204</v>
          </cell>
          <cell r="T63">
            <v>28049.13191332241</v>
          </cell>
          <cell r="U63" t="str">
            <v>..</v>
          </cell>
          <cell r="V63">
            <v>0</v>
          </cell>
          <cell r="W63">
            <v>0</v>
          </cell>
          <cell r="X63">
            <v>0</v>
          </cell>
          <cell r="Y63" t="str">
            <v>-</v>
          </cell>
          <cell r="Z63" t="str">
            <v>No statutory entitlement</v>
          </cell>
          <cell r="AA63" t="str">
            <v>-</v>
          </cell>
          <cell r="AB63" t="str">
            <v>-</v>
          </cell>
          <cell r="AC63" t="str">
            <v>-</v>
          </cell>
          <cell r="AD63" t="str">
            <v>-</v>
          </cell>
          <cell r="AE63" t="str">
            <v>-</v>
          </cell>
          <cell r="AF63" t="str">
            <v>-</v>
          </cell>
          <cell r="AG63" t="str">
            <v>-</v>
          </cell>
          <cell r="AH63" t="str">
            <v>-</v>
          </cell>
          <cell r="AI63" t="str">
            <v>-</v>
          </cell>
          <cell r="AJ63" t="str">
            <v>-</v>
          </cell>
          <cell r="AK63" t="str">
            <v>-</v>
          </cell>
          <cell r="AL63" t="str">
            <v>-</v>
          </cell>
          <cell r="AM63" t="str">
            <v>-</v>
          </cell>
          <cell r="AN63" t="str">
            <v>-</v>
          </cell>
          <cell r="AO63" t="str">
            <v>-</v>
          </cell>
          <cell r="AP63" t="str">
            <v>-</v>
          </cell>
          <cell r="AQ63" t="str">
            <v>-</v>
          </cell>
          <cell r="AR63" t="str">
            <v>-</v>
          </cell>
          <cell r="AS63" t="str">
            <v>-</v>
          </cell>
          <cell r="AT63" t="str">
            <v>-</v>
          </cell>
          <cell r="AU63" t="str">
            <v>-</v>
          </cell>
          <cell r="AV63" t="str">
            <v>-</v>
          </cell>
          <cell r="AW63" t="str">
            <v>-</v>
          </cell>
          <cell r="AX63" t="str">
            <v>-</v>
          </cell>
          <cell r="AY63" t="str">
            <v>-</v>
          </cell>
          <cell r="AZ63" t="str">
            <v>-</v>
          </cell>
          <cell r="BA63" t="str">
            <v>-</v>
          </cell>
          <cell r="BB63" t="str">
            <v>-</v>
          </cell>
          <cell r="BC63" t="str">
            <v>-</v>
          </cell>
          <cell r="BD63" t="str">
            <v>-</v>
          </cell>
          <cell r="BE63" t="str">
            <v>-</v>
          </cell>
          <cell r="BF63" t="str">
            <v>-</v>
          </cell>
          <cell r="BG63" t="str">
            <v>-</v>
          </cell>
          <cell r="BH63" t="str">
            <v>-</v>
          </cell>
          <cell r="BI63" t="str">
            <v>-</v>
          </cell>
          <cell r="BJ63" t="str">
            <v>-</v>
          </cell>
          <cell r="BK63" t="str">
            <v>-</v>
          </cell>
          <cell r="BL63" t="str">
            <v>-</v>
          </cell>
          <cell r="BM63">
            <v>0</v>
          </cell>
          <cell r="BN63">
            <v>0</v>
          </cell>
          <cell r="BO63">
            <v>0</v>
          </cell>
          <cell r="BP63">
            <v>0</v>
          </cell>
          <cell r="BQ63">
            <v>0</v>
          </cell>
          <cell r="BR63">
            <v>0</v>
          </cell>
          <cell r="BS63">
            <v>0</v>
          </cell>
          <cell r="BT63">
            <v>0</v>
          </cell>
        </row>
        <row r="64">
          <cell r="A64" t="str">
            <v>Chile2022100 / 100</v>
          </cell>
          <cell r="B64" t="str">
            <v>Chile</v>
          </cell>
          <cell r="C64">
            <v>2022</v>
          </cell>
          <cell r="D64" t="str">
            <v>100 / 100</v>
          </cell>
          <cell r="E64">
            <v>11850890</v>
          </cell>
          <cell r="F64">
            <v>987574.16666666663</v>
          </cell>
          <cell r="G64">
            <v>227903.48387295284</v>
          </cell>
          <cell r="H64">
            <v>45580.696774590571</v>
          </cell>
          <cell r="I64">
            <v>11850890</v>
          </cell>
          <cell r="J64">
            <v>987574.16666666663</v>
          </cell>
          <cell r="K64">
            <v>227903.48387295284</v>
          </cell>
          <cell r="L64">
            <v>45580.696774590571</v>
          </cell>
          <cell r="M64">
            <v>7292718.1991999997</v>
          </cell>
          <cell r="N64">
            <v>607726.51659999997</v>
          </cell>
          <cell r="O64">
            <v>140245.65956661204</v>
          </cell>
          <cell r="P64">
            <v>28049.13191332241</v>
          </cell>
          <cell r="Q64">
            <v>7292718.1991999997</v>
          </cell>
          <cell r="R64">
            <v>607726.51659999997</v>
          </cell>
          <cell r="S64">
            <v>140245.65956661204</v>
          </cell>
          <cell r="T64">
            <v>28049.13191332241</v>
          </cell>
          <cell r="U64" t="str">
            <v>..</v>
          </cell>
          <cell r="V64">
            <v>0</v>
          </cell>
          <cell r="W64">
            <v>0</v>
          </cell>
          <cell r="X64">
            <v>0</v>
          </cell>
          <cell r="Y64" t="str">
            <v>-</v>
          </cell>
          <cell r="Z64" t="str">
            <v>No statutory entitlement</v>
          </cell>
          <cell r="AA64" t="str">
            <v>-</v>
          </cell>
          <cell r="AB64" t="str">
            <v>-</v>
          </cell>
          <cell r="AC64" t="str">
            <v>-</v>
          </cell>
          <cell r="AD64" t="str">
            <v>-</v>
          </cell>
          <cell r="AE64" t="str">
            <v>-</v>
          </cell>
          <cell r="AF64" t="str">
            <v>-</v>
          </cell>
          <cell r="AG64" t="str">
            <v>-</v>
          </cell>
          <cell r="AH64" t="str">
            <v>-</v>
          </cell>
          <cell r="AI64" t="str">
            <v>-</v>
          </cell>
          <cell r="AJ64" t="str">
            <v>-</v>
          </cell>
          <cell r="AK64" t="str">
            <v>-</v>
          </cell>
          <cell r="AL64" t="str">
            <v>-</v>
          </cell>
          <cell r="AM64" t="str">
            <v>-</v>
          </cell>
          <cell r="AN64" t="str">
            <v>-</v>
          </cell>
          <cell r="AO64" t="str">
            <v>-</v>
          </cell>
          <cell r="AP64" t="str">
            <v>-</v>
          </cell>
          <cell r="AQ64" t="str">
            <v>-</v>
          </cell>
          <cell r="AR64" t="str">
            <v>-</v>
          </cell>
          <cell r="AS64" t="str">
            <v>-</v>
          </cell>
          <cell r="AT64" t="str">
            <v>-</v>
          </cell>
          <cell r="AU64" t="str">
            <v>-</v>
          </cell>
          <cell r="AV64" t="str">
            <v>-</v>
          </cell>
          <cell r="AW64" t="str">
            <v>-</v>
          </cell>
          <cell r="AX64" t="str">
            <v>-</v>
          </cell>
          <cell r="AY64" t="str">
            <v>-</v>
          </cell>
          <cell r="AZ64" t="str">
            <v>-</v>
          </cell>
          <cell r="BA64" t="str">
            <v>-</v>
          </cell>
          <cell r="BB64" t="str">
            <v>-</v>
          </cell>
          <cell r="BC64" t="str">
            <v>-</v>
          </cell>
          <cell r="BD64" t="str">
            <v>-</v>
          </cell>
          <cell r="BE64" t="str">
            <v>-</v>
          </cell>
          <cell r="BF64" t="str">
            <v>-</v>
          </cell>
          <cell r="BG64" t="str">
            <v>-</v>
          </cell>
          <cell r="BH64" t="str">
            <v>-</v>
          </cell>
          <cell r="BI64" t="str">
            <v>-</v>
          </cell>
          <cell r="BJ64" t="str">
            <v>-</v>
          </cell>
          <cell r="BK64" t="str">
            <v>-</v>
          </cell>
          <cell r="BL64" t="str">
            <v>-</v>
          </cell>
          <cell r="BM64">
            <v>0</v>
          </cell>
          <cell r="BN64">
            <v>0</v>
          </cell>
          <cell r="BO64">
            <v>0</v>
          </cell>
          <cell r="BP64">
            <v>0</v>
          </cell>
          <cell r="BQ64">
            <v>0</v>
          </cell>
          <cell r="BR64">
            <v>0</v>
          </cell>
          <cell r="BS64">
            <v>0</v>
          </cell>
          <cell r="BT64">
            <v>0</v>
          </cell>
        </row>
        <row r="65">
          <cell r="A65" t="str">
            <v>Chile2023100 / 100</v>
          </cell>
          <cell r="B65" t="str">
            <v>Chile</v>
          </cell>
          <cell r="C65">
            <v>2023</v>
          </cell>
          <cell r="D65" t="str">
            <v>100 / 100</v>
          </cell>
          <cell r="E65">
            <v>13442766</v>
          </cell>
          <cell r="F65">
            <v>1120230.5</v>
          </cell>
          <cell r="G65">
            <v>258516.71935937967</v>
          </cell>
          <cell r="H65">
            <v>51703.343871875935</v>
          </cell>
          <cell r="I65">
            <v>13442766</v>
          </cell>
          <cell r="J65">
            <v>1120230.5</v>
          </cell>
          <cell r="K65">
            <v>258516.71935937967</v>
          </cell>
          <cell r="L65">
            <v>51703.343871875935</v>
          </cell>
          <cell r="M65">
            <v>7292718.1991999997</v>
          </cell>
          <cell r="N65">
            <v>607726.51659999997</v>
          </cell>
          <cell r="O65">
            <v>140245.65956661204</v>
          </cell>
          <cell r="P65">
            <v>28049.13191332241</v>
          </cell>
          <cell r="Q65">
            <v>7292718.1991999997</v>
          </cell>
          <cell r="R65">
            <v>607726.51659999997</v>
          </cell>
          <cell r="S65">
            <v>140245.65956661204</v>
          </cell>
          <cell r="T65">
            <v>28049.13191332241</v>
          </cell>
          <cell r="U65" t="str">
            <v>..</v>
          </cell>
          <cell r="V65">
            <v>0</v>
          </cell>
          <cell r="W65">
            <v>0</v>
          </cell>
          <cell r="X65">
            <v>0</v>
          </cell>
          <cell r="Y65" t="str">
            <v>-</v>
          </cell>
          <cell r="Z65" t="str">
            <v>No statutory entitlement</v>
          </cell>
          <cell r="AA65" t="str">
            <v>-</v>
          </cell>
          <cell r="AB65" t="str">
            <v>-</v>
          </cell>
          <cell r="AC65" t="str">
            <v>-</v>
          </cell>
          <cell r="AD65" t="str">
            <v>-</v>
          </cell>
          <cell r="AE65" t="str">
            <v>-</v>
          </cell>
          <cell r="AF65" t="str">
            <v>-</v>
          </cell>
          <cell r="AG65" t="str">
            <v>-</v>
          </cell>
          <cell r="AH65" t="str">
            <v>-</v>
          </cell>
          <cell r="AI65" t="str">
            <v>-</v>
          </cell>
          <cell r="AJ65" t="str">
            <v>-</v>
          </cell>
          <cell r="AK65" t="str">
            <v>-</v>
          </cell>
          <cell r="AL65" t="str">
            <v>-</v>
          </cell>
          <cell r="AM65" t="str">
            <v>-</v>
          </cell>
          <cell r="AN65" t="str">
            <v>-</v>
          </cell>
          <cell r="AO65" t="str">
            <v>-</v>
          </cell>
          <cell r="AP65" t="str">
            <v>-</v>
          </cell>
          <cell r="AQ65" t="str">
            <v>-</v>
          </cell>
          <cell r="AR65" t="str">
            <v>-</v>
          </cell>
          <cell r="AS65" t="str">
            <v>-</v>
          </cell>
          <cell r="AT65" t="str">
            <v>-</v>
          </cell>
          <cell r="AU65" t="str">
            <v>-</v>
          </cell>
          <cell r="AV65" t="str">
            <v>-</v>
          </cell>
          <cell r="AW65" t="str">
            <v>-</v>
          </cell>
          <cell r="AX65" t="str">
            <v>-</v>
          </cell>
          <cell r="AY65" t="str">
            <v>-</v>
          </cell>
          <cell r="AZ65" t="str">
            <v>-</v>
          </cell>
          <cell r="BA65" t="str">
            <v>-</v>
          </cell>
          <cell r="BB65" t="str">
            <v>-</v>
          </cell>
          <cell r="BC65" t="str">
            <v>-</v>
          </cell>
          <cell r="BD65" t="str">
            <v>-</v>
          </cell>
          <cell r="BE65" t="str">
            <v>-</v>
          </cell>
          <cell r="BF65" t="str">
            <v>-</v>
          </cell>
          <cell r="BG65" t="str">
            <v>-</v>
          </cell>
          <cell r="BH65" t="str">
            <v>-</v>
          </cell>
          <cell r="BI65" t="str">
            <v>-</v>
          </cell>
          <cell r="BJ65" t="str">
            <v>-</v>
          </cell>
          <cell r="BK65" t="str">
            <v>-</v>
          </cell>
          <cell r="BL65" t="str">
            <v>-</v>
          </cell>
          <cell r="BM65">
            <v>0</v>
          </cell>
          <cell r="BN65">
            <v>0</v>
          </cell>
          <cell r="BO65">
            <v>0</v>
          </cell>
          <cell r="BP65">
            <v>0</v>
          </cell>
          <cell r="BQ65">
            <v>0</v>
          </cell>
          <cell r="BR65">
            <v>0</v>
          </cell>
          <cell r="BS65">
            <v>0</v>
          </cell>
          <cell r="BT65">
            <v>0</v>
          </cell>
        </row>
        <row r="66">
          <cell r="A66" t="str">
            <v>Chile2024100 / 100</v>
          </cell>
          <cell r="B66" t="str">
            <v>Chile</v>
          </cell>
          <cell r="C66">
            <v>2024</v>
          </cell>
          <cell r="D66" t="str">
            <v>100 / 100</v>
          </cell>
          <cell r="E66">
            <v>14074320</v>
          </cell>
          <cell r="F66">
            <v>1172860</v>
          </cell>
          <cell r="G66">
            <v>270662.08201601548</v>
          </cell>
          <cell r="H66">
            <v>54132.416403203097</v>
          </cell>
          <cell r="I66">
            <v>14074320</v>
          </cell>
          <cell r="J66">
            <v>1172860</v>
          </cell>
          <cell r="K66">
            <v>270662.08201601548</v>
          </cell>
          <cell r="L66">
            <v>54132.416403203097</v>
          </cell>
          <cell r="M66">
            <v>7292718.1991999997</v>
          </cell>
          <cell r="N66">
            <v>607726.51659999997</v>
          </cell>
          <cell r="O66">
            <v>140245.65956661204</v>
          </cell>
          <cell r="P66">
            <v>28049.13191332241</v>
          </cell>
          <cell r="Q66">
            <v>7292718.1991999997</v>
          </cell>
          <cell r="R66">
            <v>607726.51659999997</v>
          </cell>
          <cell r="S66">
            <v>140245.65956661204</v>
          </cell>
          <cell r="T66">
            <v>28049.13191332241</v>
          </cell>
          <cell r="U66" t="str">
            <v>..</v>
          </cell>
          <cell r="V66">
            <v>0</v>
          </cell>
          <cell r="W66">
            <v>0</v>
          </cell>
          <cell r="X66">
            <v>0</v>
          </cell>
          <cell r="Y66" t="str">
            <v>-</v>
          </cell>
          <cell r="Z66" t="str">
            <v>No statutory entitlement</v>
          </cell>
          <cell r="AA66" t="str">
            <v>-</v>
          </cell>
          <cell r="AB66" t="str">
            <v>-</v>
          </cell>
          <cell r="AC66" t="str">
            <v>-</v>
          </cell>
          <cell r="AD66" t="str">
            <v>-</v>
          </cell>
          <cell r="AE66" t="str">
            <v>-</v>
          </cell>
          <cell r="AF66" t="str">
            <v>-</v>
          </cell>
          <cell r="AG66" t="str">
            <v>-</v>
          </cell>
          <cell r="AH66" t="str">
            <v>-</v>
          </cell>
          <cell r="AI66" t="str">
            <v>-</v>
          </cell>
          <cell r="AJ66" t="str">
            <v>-</v>
          </cell>
          <cell r="AK66" t="str">
            <v>-</v>
          </cell>
          <cell r="AL66" t="str">
            <v>-</v>
          </cell>
          <cell r="AM66" t="str">
            <v>-</v>
          </cell>
          <cell r="AN66" t="str">
            <v>-</v>
          </cell>
          <cell r="AO66" t="str">
            <v>-</v>
          </cell>
          <cell r="AP66" t="str">
            <v>-</v>
          </cell>
          <cell r="AQ66" t="str">
            <v>-</v>
          </cell>
          <cell r="AR66" t="str">
            <v>-</v>
          </cell>
          <cell r="AS66" t="str">
            <v>-</v>
          </cell>
          <cell r="AT66" t="str">
            <v>-</v>
          </cell>
          <cell r="AU66" t="str">
            <v>-</v>
          </cell>
          <cell r="AV66" t="str">
            <v>-</v>
          </cell>
          <cell r="AW66" t="str">
            <v>-</v>
          </cell>
          <cell r="AX66" t="str">
            <v>-</v>
          </cell>
          <cell r="AY66" t="str">
            <v>-</v>
          </cell>
          <cell r="AZ66" t="str">
            <v>-</v>
          </cell>
          <cell r="BA66" t="str">
            <v>-</v>
          </cell>
          <cell r="BB66" t="str">
            <v>-</v>
          </cell>
          <cell r="BC66" t="str">
            <v>-</v>
          </cell>
          <cell r="BD66" t="str">
            <v>-</v>
          </cell>
          <cell r="BE66" t="str">
            <v>-</v>
          </cell>
          <cell r="BF66" t="str">
            <v>-</v>
          </cell>
          <cell r="BG66" t="str">
            <v>-</v>
          </cell>
          <cell r="BH66" t="str">
            <v>-</v>
          </cell>
          <cell r="BI66" t="str">
            <v>-</v>
          </cell>
          <cell r="BJ66" t="str">
            <v>-</v>
          </cell>
          <cell r="BK66" t="str">
            <v>-</v>
          </cell>
          <cell r="BL66" t="str">
            <v>-</v>
          </cell>
          <cell r="BM66">
            <v>0</v>
          </cell>
          <cell r="BN66">
            <v>0</v>
          </cell>
          <cell r="BO66">
            <v>0</v>
          </cell>
          <cell r="BP66">
            <v>0</v>
          </cell>
          <cell r="BQ66">
            <v>0</v>
          </cell>
          <cell r="BR66">
            <v>0</v>
          </cell>
          <cell r="BS66">
            <v>0</v>
          </cell>
          <cell r="BT66">
            <v>0</v>
          </cell>
        </row>
        <row r="67">
          <cell r="A67" t="str">
            <v>Chile2025100 / 100</v>
          </cell>
          <cell r="B67" t="str">
            <v>Chile</v>
          </cell>
          <cell r="C67">
            <v>2025</v>
          </cell>
          <cell r="D67" t="str">
            <v>100 / 100</v>
          </cell>
          <cell r="E67">
            <v>14074320</v>
          </cell>
          <cell r="F67">
            <v>1172860</v>
          </cell>
          <cell r="G67">
            <v>270662.08201601548</v>
          </cell>
          <cell r="H67">
            <v>54132.416403203097</v>
          </cell>
          <cell r="I67">
            <v>14074320</v>
          </cell>
          <cell r="J67">
            <v>1172860</v>
          </cell>
          <cell r="K67">
            <v>270662.08201601548</v>
          </cell>
          <cell r="L67">
            <v>54132.416403203097</v>
          </cell>
          <cell r="M67">
            <v>7292718.1991999997</v>
          </cell>
          <cell r="N67">
            <v>607726.51659999997</v>
          </cell>
          <cell r="O67">
            <v>140245.65956661204</v>
          </cell>
          <cell r="P67">
            <v>28049.13191332241</v>
          </cell>
          <cell r="Q67">
            <v>7292718.1991999997</v>
          </cell>
          <cell r="R67">
            <v>607726.51659999997</v>
          </cell>
          <cell r="S67">
            <v>140245.65956661204</v>
          </cell>
          <cell r="T67">
            <v>28049.13191332241</v>
          </cell>
          <cell r="U67" t="str">
            <v>..</v>
          </cell>
          <cell r="V67">
            <v>0</v>
          </cell>
          <cell r="W67">
            <v>0</v>
          </cell>
          <cell r="X67">
            <v>0</v>
          </cell>
          <cell r="Y67" t="str">
            <v>-</v>
          </cell>
          <cell r="Z67" t="str">
            <v>No statutory entitlement</v>
          </cell>
          <cell r="AA67" t="str">
            <v>-</v>
          </cell>
          <cell r="AB67" t="str">
            <v>-</v>
          </cell>
          <cell r="AC67" t="str">
            <v>-</v>
          </cell>
          <cell r="AD67" t="str">
            <v>-</v>
          </cell>
          <cell r="AE67" t="str">
            <v>-</v>
          </cell>
          <cell r="AF67" t="str">
            <v>-</v>
          </cell>
          <cell r="AG67" t="str">
            <v>-</v>
          </cell>
          <cell r="AH67" t="str">
            <v>-</v>
          </cell>
          <cell r="AI67" t="str">
            <v>-</v>
          </cell>
          <cell r="AJ67" t="str">
            <v>-</v>
          </cell>
          <cell r="AK67" t="str">
            <v>-</v>
          </cell>
          <cell r="AL67" t="str">
            <v>-</v>
          </cell>
          <cell r="AM67" t="str">
            <v>-</v>
          </cell>
          <cell r="AN67" t="str">
            <v>-</v>
          </cell>
          <cell r="AO67" t="str">
            <v>-</v>
          </cell>
          <cell r="AP67" t="str">
            <v>-</v>
          </cell>
          <cell r="AQ67" t="str">
            <v>-</v>
          </cell>
          <cell r="AR67" t="str">
            <v>-</v>
          </cell>
          <cell r="AS67" t="str">
            <v>-</v>
          </cell>
          <cell r="AT67" t="str">
            <v>-</v>
          </cell>
          <cell r="AU67" t="str">
            <v>-</v>
          </cell>
          <cell r="AV67" t="str">
            <v>-</v>
          </cell>
          <cell r="AW67" t="str">
            <v>-</v>
          </cell>
          <cell r="AX67" t="str">
            <v>-</v>
          </cell>
          <cell r="AY67" t="str">
            <v>-</v>
          </cell>
          <cell r="AZ67" t="str">
            <v>-</v>
          </cell>
          <cell r="BA67" t="str">
            <v>-</v>
          </cell>
          <cell r="BB67" t="str">
            <v>-</v>
          </cell>
          <cell r="BC67" t="str">
            <v>-</v>
          </cell>
          <cell r="BD67" t="str">
            <v>-</v>
          </cell>
          <cell r="BE67" t="str">
            <v>-</v>
          </cell>
          <cell r="BF67" t="str">
            <v>-</v>
          </cell>
          <cell r="BG67" t="str">
            <v>-</v>
          </cell>
          <cell r="BH67" t="str">
            <v>-</v>
          </cell>
          <cell r="BI67" t="str">
            <v>-</v>
          </cell>
          <cell r="BJ67" t="str">
            <v>-</v>
          </cell>
          <cell r="BK67" t="str">
            <v>-</v>
          </cell>
          <cell r="BL67" t="str">
            <v>-</v>
          </cell>
          <cell r="BM67">
            <v>0</v>
          </cell>
          <cell r="BN67">
            <v>0</v>
          </cell>
          <cell r="BO67">
            <v>0</v>
          </cell>
          <cell r="BP67">
            <v>0</v>
          </cell>
          <cell r="BQ67">
            <v>0</v>
          </cell>
          <cell r="BR67">
            <v>0</v>
          </cell>
          <cell r="BS67">
            <v>0</v>
          </cell>
          <cell r="BT67">
            <v>0</v>
          </cell>
        </row>
        <row r="68">
          <cell r="A68" t="str">
            <v>Colombia2014100 / 100</v>
          </cell>
          <cell r="B68" t="str">
            <v>Colombia</v>
          </cell>
          <cell r="C68">
            <v>2014</v>
          </cell>
          <cell r="D68" t="str">
            <v>100 / 100</v>
          </cell>
          <cell r="E68" t="e">
            <v>#N/A</v>
          </cell>
          <cell r="F68" t="e">
            <v>#N/A</v>
          </cell>
          <cell r="G68" t="e">
            <v>#N/A</v>
          </cell>
          <cell r="H68" t="e">
            <v>#N/A</v>
          </cell>
          <cell r="I68" t="e">
            <v>#N/A</v>
          </cell>
          <cell r="J68" t="e">
            <v>#N/A</v>
          </cell>
          <cell r="K68" t="e">
            <v>#N/A</v>
          </cell>
          <cell r="L68" t="e">
            <v>#N/A</v>
          </cell>
          <cell r="M68" t="str">
            <v>..</v>
          </cell>
          <cell r="N68" t="str">
            <v>..</v>
          </cell>
          <cell r="O68" t="str">
            <v>..</v>
          </cell>
          <cell r="P68" t="str">
            <v>..</v>
          </cell>
          <cell r="Q68" t="str">
            <v>..</v>
          </cell>
          <cell r="R68" t="str">
            <v>..</v>
          </cell>
          <cell r="S68" t="str">
            <v>..</v>
          </cell>
          <cell r="T68" t="str">
            <v>..</v>
          </cell>
          <cell r="U68" t="str">
            <v>..</v>
          </cell>
          <cell r="V68">
            <v>0</v>
          </cell>
          <cell r="W68">
            <v>0</v>
          </cell>
          <cell r="X68">
            <v>0</v>
          </cell>
          <cell r="Y68" t="str">
            <v>-</v>
          </cell>
          <cell r="Z68" t="str">
            <v>No statutory entitlement</v>
          </cell>
          <cell r="AA68" t="str">
            <v>-</v>
          </cell>
          <cell r="AB68" t="str">
            <v>-</v>
          </cell>
          <cell r="AC68" t="str">
            <v>-</v>
          </cell>
          <cell r="AD68" t="str">
            <v>-</v>
          </cell>
          <cell r="AE68" t="str">
            <v>-</v>
          </cell>
          <cell r="AF68" t="str">
            <v>-</v>
          </cell>
          <cell r="AG68" t="str">
            <v>-</v>
          </cell>
          <cell r="AH68" t="str">
            <v>-</v>
          </cell>
          <cell r="AI68" t="str">
            <v>-</v>
          </cell>
          <cell r="AJ68" t="str">
            <v>-</v>
          </cell>
          <cell r="AK68" t="str">
            <v>-</v>
          </cell>
          <cell r="AL68" t="str">
            <v>-</v>
          </cell>
          <cell r="AM68" t="str">
            <v>-</v>
          </cell>
          <cell r="AN68" t="str">
            <v>-</v>
          </cell>
          <cell r="AO68" t="str">
            <v>-</v>
          </cell>
          <cell r="AP68" t="str">
            <v>-</v>
          </cell>
          <cell r="AQ68" t="str">
            <v>-</v>
          </cell>
          <cell r="AR68" t="str">
            <v>-</v>
          </cell>
          <cell r="AS68" t="str">
            <v>-</v>
          </cell>
          <cell r="AT68" t="str">
            <v>-</v>
          </cell>
          <cell r="AU68" t="str">
            <v>-</v>
          </cell>
          <cell r="AV68" t="str">
            <v>-</v>
          </cell>
          <cell r="AW68" t="str">
            <v>-</v>
          </cell>
          <cell r="AX68" t="str">
            <v>-</v>
          </cell>
          <cell r="AY68" t="str">
            <v>-</v>
          </cell>
          <cell r="AZ68" t="str">
            <v>-</v>
          </cell>
          <cell r="BA68" t="str">
            <v>-</v>
          </cell>
          <cell r="BB68" t="str">
            <v>-</v>
          </cell>
          <cell r="BC68" t="str">
            <v>-</v>
          </cell>
          <cell r="BD68" t="str">
            <v>-</v>
          </cell>
          <cell r="BE68" t="str">
            <v>-</v>
          </cell>
          <cell r="BF68" t="str">
            <v>-</v>
          </cell>
          <cell r="BG68" t="str">
            <v>-</v>
          </cell>
          <cell r="BH68" t="str">
            <v>-</v>
          </cell>
          <cell r="BI68" t="str">
            <v>-</v>
          </cell>
          <cell r="BJ68" t="str">
            <v>-</v>
          </cell>
          <cell r="BK68" t="str">
            <v>-</v>
          </cell>
          <cell r="BL68" t="str">
            <v>-</v>
          </cell>
          <cell r="BM68">
            <v>0</v>
          </cell>
          <cell r="BN68">
            <v>0</v>
          </cell>
          <cell r="BO68" t="str">
            <v>-</v>
          </cell>
          <cell r="BP68" t="str">
            <v>-</v>
          </cell>
          <cell r="BQ68" t="e">
            <v>#N/A</v>
          </cell>
          <cell r="BR68" t="e">
            <v>#N/A</v>
          </cell>
          <cell r="BS68" t="e">
            <v>#N/A</v>
          </cell>
          <cell r="BT68" t="e">
            <v>#N/A</v>
          </cell>
        </row>
        <row r="69">
          <cell r="A69" t="str">
            <v>Colombia2015100 / 100</v>
          </cell>
          <cell r="B69" t="str">
            <v>Colombia</v>
          </cell>
          <cell r="C69">
            <v>2015</v>
          </cell>
          <cell r="D69" t="str">
            <v>100 / 100</v>
          </cell>
          <cell r="E69" t="e">
            <v>#N/A</v>
          </cell>
          <cell r="F69" t="e">
            <v>#N/A</v>
          </cell>
          <cell r="G69" t="e">
            <v>#N/A</v>
          </cell>
          <cell r="H69" t="e">
            <v>#N/A</v>
          </cell>
          <cell r="I69" t="e">
            <v>#N/A</v>
          </cell>
          <cell r="J69" t="e">
            <v>#N/A</v>
          </cell>
          <cell r="K69" t="e">
            <v>#N/A</v>
          </cell>
          <cell r="L69" t="e">
            <v>#N/A</v>
          </cell>
          <cell r="M69" t="str">
            <v>..</v>
          </cell>
          <cell r="N69" t="str">
            <v>..</v>
          </cell>
          <cell r="O69" t="str">
            <v>..</v>
          </cell>
          <cell r="P69" t="str">
            <v>..</v>
          </cell>
          <cell r="Q69" t="str">
            <v>..</v>
          </cell>
          <cell r="R69" t="str">
            <v>..</v>
          </cell>
          <cell r="S69" t="str">
            <v>..</v>
          </cell>
          <cell r="T69" t="str">
            <v>..</v>
          </cell>
          <cell r="U69" t="str">
            <v>..</v>
          </cell>
          <cell r="V69">
            <v>0</v>
          </cell>
          <cell r="W69">
            <v>0</v>
          </cell>
          <cell r="X69">
            <v>0</v>
          </cell>
          <cell r="Y69" t="str">
            <v>-</v>
          </cell>
          <cell r="Z69" t="str">
            <v>No statutory entitlement</v>
          </cell>
          <cell r="AA69" t="str">
            <v>-</v>
          </cell>
          <cell r="AB69" t="str">
            <v>-</v>
          </cell>
          <cell r="AC69" t="str">
            <v>-</v>
          </cell>
          <cell r="AD69" t="str">
            <v>-</v>
          </cell>
          <cell r="AE69" t="str">
            <v>-</v>
          </cell>
          <cell r="AF69" t="str">
            <v>-</v>
          </cell>
          <cell r="AG69" t="str">
            <v>-</v>
          </cell>
          <cell r="AH69" t="str">
            <v>-</v>
          </cell>
          <cell r="AI69" t="str">
            <v>-</v>
          </cell>
          <cell r="AJ69" t="str">
            <v>-</v>
          </cell>
          <cell r="AK69" t="str">
            <v>-</v>
          </cell>
          <cell r="AL69" t="str">
            <v>-</v>
          </cell>
          <cell r="AM69" t="str">
            <v>-</v>
          </cell>
          <cell r="AN69" t="str">
            <v>-</v>
          </cell>
          <cell r="AO69" t="str">
            <v>-</v>
          </cell>
          <cell r="AP69" t="str">
            <v>-</v>
          </cell>
          <cell r="AQ69" t="str">
            <v>-</v>
          </cell>
          <cell r="AR69" t="str">
            <v>-</v>
          </cell>
          <cell r="AS69" t="str">
            <v>-</v>
          </cell>
          <cell r="AT69" t="str">
            <v>-</v>
          </cell>
          <cell r="AU69" t="str">
            <v>-</v>
          </cell>
          <cell r="AV69" t="str">
            <v>-</v>
          </cell>
          <cell r="AW69" t="str">
            <v>-</v>
          </cell>
          <cell r="AX69" t="str">
            <v>-</v>
          </cell>
          <cell r="AY69" t="str">
            <v>-</v>
          </cell>
          <cell r="AZ69" t="str">
            <v>-</v>
          </cell>
          <cell r="BA69" t="str">
            <v>-</v>
          </cell>
          <cell r="BB69" t="str">
            <v>-</v>
          </cell>
          <cell r="BC69" t="str">
            <v>-</v>
          </cell>
          <cell r="BD69" t="str">
            <v>-</v>
          </cell>
          <cell r="BE69" t="str">
            <v>-</v>
          </cell>
          <cell r="BF69" t="str">
            <v>-</v>
          </cell>
          <cell r="BG69" t="str">
            <v>-</v>
          </cell>
          <cell r="BH69" t="str">
            <v>-</v>
          </cell>
          <cell r="BI69" t="str">
            <v>-</v>
          </cell>
          <cell r="BJ69" t="str">
            <v>-</v>
          </cell>
          <cell r="BK69" t="str">
            <v>-</v>
          </cell>
          <cell r="BL69" t="str">
            <v>-</v>
          </cell>
          <cell r="BM69">
            <v>0</v>
          </cell>
          <cell r="BN69">
            <v>0</v>
          </cell>
          <cell r="BO69" t="str">
            <v>-</v>
          </cell>
          <cell r="BP69" t="str">
            <v>-</v>
          </cell>
          <cell r="BQ69" t="e">
            <v>#N/A</v>
          </cell>
          <cell r="BR69" t="e">
            <v>#N/A</v>
          </cell>
          <cell r="BS69" t="e">
            <v>#N/A</v>
          </cell>
          <cell r="BT69" t="e">
            <v>#N/A</v>
          </cell>
        </row>
        <row r="70">
          <cell r="A70" t="str">
            <v>Colombia2016100 / 100</v>
          </cell>
          <cell r="B70" t="str">
            <v>Colombia</v>
          </cell>
          <cell r="C70">
            <v>2016</v>
          </cell>
          <cell r="D70" t="str">
            <v>100 / 100</v>
          </cell>
          <cell r="E70" t="e">
            <v>#N/A</v>
          </cell>
          <cell r="F70" t="e">
            <v>#N/A</v>
          </cell>
          <cell r="G70" t="e">
            <v>#N/A</v>
          </cell>
          <cell r="H70" t="e">
            <v>#N/A</v>
          </cell>
          <cell r="I70" t="e">
            <v>#N/A</v>
          </cell>
          <cell r="J70" t="e">
            <v>#N/A</v>
          </cell>
          <cell r="K70" t="e">
            <v>#N/A</v>
          </cell>
          <cell r="L70" t="e">
            <v>#N/A</v>
          </cell>
          <cell r="M70" t="str">
            <v>..</v>
          </cell>
          <cell r="N70" t="str">
            <v>..</v>
          </cell>
          <cell r="O70" t="str">
            <v>..</v>
          </cell>
          <cell r="P70" t="str">
            <v>..</v>
          </cell>
          <cell r="Q70" t="str">
            <v>..</v>
          </cell>
          <cell r="R70" t="str">
            <v>..</v>
          </cell>
          <cell r="S70" t="str">
            <v>..</v>
          </cell>
          <cell r="T70" t="str">
            <v>..</v>
          </cell>
          <cell r="U70" t="str">
            <v>..</v>
          </cell>
          <cell r="V70">
            <v>0</v>
          </cell>
          <cell r="W70">
            <v>0</v>
          </cell>
          <cell r="X70">
            <v>0</v>
          </cell>
          <cell r="Y70" t="str">
            <v>-</v>
          </cell>
          <cell r="Z70" t="str">
            <v>No statutory entitlement</v>
          </cell>
          <cell r="AA70" t="str">
            <v>-</v>
          </cell>
          <cell r="AB70" t="str">
            <v>-</v>
          </cell>
          <cell r="AC70" t="str">
            <v>-</v>
          </cell>
          <cell r="AD70" t="str">
            <v>-</v>
          </cell>
          <cell r="AE70" t="str">
            <v>-</v>
          </cell>
          <cell r="AF70" t="str">
            <v>-</v>
          </cell>
          <cell r="AG70" t="str">
            <v>-</v>
          </cell>
          <cell r="AH70" t="str">
            <v>-</v>
          </cell>
          <cell r="AI70" t="str">
            <v>-</v>
          </cell>
          <cell r="AJ70" t="str">
            <v>-</v>
          </cell>
          <cell r="AK70" t="str">
            <v>-</v>
          </cell>
          <cell r="AL70" t="str">
            <v>-</v>
          </cell>
          <cell r="AM70" t="str">
            <v>-</v>
          </cell>
          <cell r="AN70" t="str">
            <v>-</v>
          </cell>
          <cell r="AO70" t="str">
            <v>-</v>
          </cell>
          <cell r="AP70" t="str">
            <v>-</v>
          </cell>
          <cell r="AQ70" t="str">
            <v>-</v>
          </cell>
          <cell r="AR70" t="str">
            <v>-</v>
          </cell>
          <cell r="AS70" t="str">
            <v>-</v>
          </cell>
          <cell r="AT70" t="str">
            <v>-</v>
          </cell>
          <cell r="AU70" t="str">
            <v>-</v>
          </cell>
          <cell r="AV70" t="str">
            <v>-</v>
          </cell>
          <cell r="AW70" t="str">
            <v>-</v>
          </cell>
          <cell r="AX70" t="str">
            <v>-</v>
          </cell>
          <cell r="AY70" t="str">
            <v>-</v>
          </cell>
          <cell r="AZ70" t="str">
            <v>-</v>
          </cell>
          <cell r="BA70" t="str">
            <v>-</v>
          </cell>
          <cell r="BB70" t="str">
            <v>-</v>
          </cell>
          <cell r="BC70" t="str">
            <v>-</v>
          </cell>
          <cell r="BD70" t="str">
            <v>-</v>
          </cell>
          <cell r="BE70" t="str">
            <v>-</v>
          </cell>
          <cell r="BF70" t="str">
            <v>-</v>
          </cell>
          <cell r="BG70" t="str">
            <v>-</v>
          </cell>
          <cell r="BH70" t="str">
            <v>-</v>
          </cell>
          <cell r="BI70" t="str">
            <v>-</v>
          </cell>
          <cell r="BJ70" t="str">
            <v>-</v>
          </cell>
          <cell r="BK70" t="str">
            <v>-</v>
          </cell>
          <cell r="BL70" t="str">
            <v>-</v>
          </cell>
          <cell r="BM70">
            <v>0</v>
          </cell>
          <cell r="BN70">
            <v>0</v>
          </cell>
          <cell r="BO70" t="str">
            <v>-</v>
          </cell>
          <cell r="BP70" t="str">
            <v>-</v>
          </cell>
          <cell r="BQ70" t="e">
            <v>#N/A</v>
          </cell>
          <cell r="BR70" t="e">
            <v>#N/A</v>
          </cell>
          <cell r="BS70" t="e">
            <v>#N/A</v>
          </cell>
          <cell r="BT70" t="e">
            <v>#N/A</v>
          </cell>
        </row>
        <row r="71">
          <cell r="A71" t="str">
            <v>Colombia2017100 / 100</v>
          </cell>
          <cell r="B71" t="str">
            <v>Colombia</v>
          </cell>
          <cell r="C71">
            <v>2017</v>
          </cell>
          <cell r="D71" t="str">
            <v>100 / 100</v>
          </cell>
          <cell r="E71" t="e">
            <v>#N/A</v>
          </cell>
          <cell r="F71" t="e">
            <v>#N/A</v>
          </cell>
          <cell r="G71" t="e">
            <v>#N/A</v>
          </cell>
          <cell r="H71" t="e">
            <v>#N/A</v>
          </cell>
          <cell r="I71" t="e">
            <v>#N/A</v>
          </cell>
          <cell r="J71" t="e">
            <v>#N/A</v>
          </cell>
          <cell r="K71" t="e">
            <v>#N/A</v>
          </cell>
          <cell r="L71" t="e">
            <v>#N/A</v>
          </cell>
          <cell r="M71" t="str">
            <v>..</v>
          </cell>
          <cell r="N71" t="str">
            <v>..</v>
          </cell>
          <cell r="O71" t="str">
            <v>..</v>
          </cell>
          <cell r="P71" t="str">
            <v>..</v>
          </cell>
          <cell r="Q71" t="str">
            <v>..</v>
          </cell>
          <cell r="R71" t="str">
            <v>..</v>
          </cell>
          <cell r="S71" t="str">
            <v>..</v>
          </cell>
          <cell r="T71" t="str">
            <v>..</v>
          </cell>
          <cell r="U71" t="str">
            <v>..</v>
          </cell>
          <cell r="V71">
            <v>0</v>
          </cell>
          <cell r="W71">
            <v>0</v>
          </cell>
          <cell r="X71">
            <v>0</v>
          </cell>
          <cell r="Y71" t="str">
            <v>-</v>
          </cell>
          <cell r="Z71" t="str">
            <v>No statutory entitlement</v>
          </cell>
          <cell r="AA71" t="str">
            <v>-</v>
          </cell>
          <cell r="AB71" t="str">
            <v>-</v>
          </cell>
          <cell r="AC71" t="str">
            <v>-</v>
          </cell>
          <cell r="AD71" t="str">
            <v>-</v>
          </cell>
          <cell r="AE71" t="str">
            <v>-</v>
          </cell>
          <cell r="AF71" t="str">
            <v>-</v>
          </cell>
          <cell r="AG71" t="str">
            <v>-</v>
          </cell>
          <cell r="AH71" t="str">
            <v>-</v>
          </cell>
          <cell r="AI71" t="str">
            <v>-</v>
          </cell>
          <cell r="AJ71" t="str">
            <v>-</v>
          </cell>
          <cell r="AK71" t="str">
            <v>-</v>
          </cell>
          <cell r="AL71" t="str">
            <v>-</v>
          </cell>
          <cell r="AM71" t="str">
            <v>-</v>
          </cell>
          <cell r="AN71" t="str">
            <v>-</v>
          </cell>
          <cell r="AO71" t="str">
            <v>-</v>
          </cell>
          <cell r="AP71" t="str">
            <v>-</v>
          </cell>
          <cell r="AQ71" t="str">
            <v>-</v>
          </cell>
          <cell r="AR71" t="str">
            <v>-</v>
          </cell>
          <cell r="AS71" t="str">
            <v>-</v>
          </cell>
          <cell r="AT71" t="str">
            <v>-</v>
          </cell>
          <cell r="AU71" t="str">
            <v>-</v>
          </cell>
          <cell r="AV71" t="str">
            <v>-</v>
          </cell>
          <cell r="AW71" t="str">
            <v>-</v>
          </cell>
          <cell r="AX71" t="str">
            <v>-</v>
          </cell>
          <cell r="AY71" t="str">
            <v>-</v>
          </cell>
          <cell r="AZ71" t="str">
            <v>-</v>
          </cell>
          <cell r="BA71" t="str">
            <v>-</v>
          </cell>
          <cell r="BB71" t="str">
            <v>-</v>
          </cell>
          <cell r="BC71" t="str">
            <v>-</v>
          </cell>
          <cell r="BD71" t="str">
            <v>-</v>
          </cell>
          <cell r="BE71" t="str">
            <v>-</v>
          </cell>
          <cell r="BF71" t="str">
            <v>-</v>
          </cell>
          <cell r="BG71" t="str">
            <v>-</v>
          </cell>
          <cell r="BH71" t="str">
            <v>-</v>
          </cell>
          <cell r="BI71" t="str">
            <v>-</v>
          </cell>
          <cell r="BJ71" t="str">
            <v>-</v>
          </cell>
          <cell r="BK71" t="str">
            <v>-</v>
          </cell>
          <cell r="BL71" t="str">
            <v>-</v>
          </cell>
          <cell r="BM71">
            <v>0</v>
          </cell>
          <cell r="BN71">
            <v>0</v>
          </cell>
          <cell r="BO71" t="str">
            <v>-</v>
          </cell>
          <cell r="BP71" t="str">
            <v>-</v>
          </cell>
          <cell r="BQ71" t="e">
            <v>#N/A</v>
          </cell>
          <cell r="BR71" t="e">
            <v>#N/A</v>
          </cell>
          <cell r="BS71" t="e">
            <v>#N/A</v>
          </cell>
          <cell r="BT71" t="e">
            <v>#N/A</v>
          </cell>
        </row>
        <row r="72">
          <cell r="A72" t="str">
            <v>Colombia2018100 / 100</v>
          </cell>
          <cell r="B72" t="str">
            <v>Colombia</v>
          </cell>
          <cell r="C72">
            <v>2018</v>
          </cell>
          <cell r="D72" t="str">
            <v>100 / 100</v>
          </cell>
          <cell r="E72" t="e">
            <v>#N/A</v>
          </cell>
          <cell r="F72" t="e">
            <v>#N/A</v>
          </cell>
          <cell r="G72" t="e">
            <v>#N/A</v>
          </cell>
          <cell r="H72" t="e">
            <v>#N/A</v>
          </cell>
          <cell r="I72" t="e">
            <v>#N/A</v>
          </cell>
          <cell r="J72" t="e">
            <v>#N/A</v>
          </cell>
          <cell r="K72" t="e">
            <v>#N/A</v>
          </cell>
          <cell r="L72" t="e">
            <v>#N/A</v>
          </cell>
          <cell r="M72" t="str">
            <v>..</v>
          </cell>
          <cell r="N72" t="str">
            <v>..</v>
          </cell>
          <cell r="O72" t="str">
            <v>..</v>
          </cell>
          <cell r="P72" t="str">
            <v>..</v>
          </cell>
          <cell r="Q72" t="str">
            <v>..</v>
          </cell>
          <cell r="R72" t="str">
            <v>..</v>
          </cell>
          <cell r="S72" t="str">
            <v>..</v>
          </cell>
          <cell r="T72" t="str">
            <v>..</v>
          </cell>
          <cell r="U72" t="str">
            <v>..</v>
          </cell>
          <cell r="V72">
            <v>0</v>
          </cell>
          <cell r="W72">
            <v>0</v>
          </cell>
          <cell r="X72">
            <v>0</v>
          </cell>
          <cell r="Y72" t="str">
            <v>-</v>
          </cell>
          <cell r="Z72" t="str">
            <v>No statutory entitlement</v>
          </cell>
          <cell r="AA72" t="str">
            <v>-</v>
          </cell>
          <cell r="AB72" t="str">
            <v>-</v>
          </cell>
          <cell r="AC72" t="str">
            <v>-</v>
          </cell>
          <cell r="AD72" t="str">
            <v>-</v>
          </cell>
          <cell r="AE72" t="str">
            <v>-</v>
          </cell>
          <cell r="AF72" t="str">
            <v>-</v>
          </cell>
          <cell r="AG72" t="str">
            <v>-</v>
          </cell>
          <cell r="AH72" t="str">
            <v>-</v>
          </cell>
          <cell r="AI72" t="str">
            <v>-</v>
          </cell>
          <cell r="AJ72" t="str">
            <v>-</v>
          </cell>
          <cell r="AK72" t="str">
            <v>-</v>
          </cell>
          <cell r="AL72" t="str">
            <v>-</v>
          </cell>
          <cell r="AM72" t="str">
            <v>-</v>
          </cell>
          <cell r="AN72" t="str">
            <v>-</v>
          </cell>
          <cell r="AO72" t="str">
            <v>-</v>
          </cell>
          <cell r="AP72" t="str">
            <v>-</v>
          </cell>
          <cell r="AQ72" t="str">
            <v>-</v>
          </cell>
          <cell r="AR72" t="str">
            <v>-</v>
          </cell>
          <cell r="AS72" t="str">
            <v>-</v>
          </cell>
          <cell r="AT72" t="str">
            <v>-</v>
          </cell>
          <cell r="AU72" t="str">
            <v>-</v>
          </cell>
          <cell r="AV72" t="str">
            <v>-</v>
          </cell>
          <cell r="AW72" t="str">
            <v>-</v>
          </cell>
          <cell r="AX72" t="str">
            <v>-</v>
          </cell>
          <cell r="AY72" t="str">
            <v>-</v>
          </cell>
          <cell r="AZ72" t="str">
            <v>-</v>
          </cell>
          <cell r="BA72" t="str">
            <v>-</v>
          </cell>
          <cell r="BB72" t="str">
            <v>-</v>
          </cell>
          <cell r="BC72" t="str">
            <v>-</v>
          </cell>
          <cell r="BD72" t="str">
            <v>-</v>
          </cell>
          <cell r="BE72" t="str">
            <v>-</v>
          </cell>
          <cell r="BF72" t="str">
            <v>-</v>
          </cell>
          <cell r="BG72" t="str">
            <v>-</v>
          </cell>
          <cell r="BH72" t="str">
            <v>-</v>
          </cell>
          <cell r="BI72" t="str">
            <v>-</v>
          </cell>
          <cell r="BJ72" t="str">
            <v>-</v>
          </cell>
          <cell r="BK72" t="str">
            <v>-</v>
          </cell>
          <cell r="BL72" t="str">
            <v>-</v>
          </cell>
          <cell r="BM72">
            <v>0</v>
          </cell>
          <cell r="BN72">
            <v>0</v>
          </cell>
          <cell r="BO72" t="str">
            <v>-</v>
          </cell>
          <cell r="BP72" t="str">
            <v>-</v>
          </cell>
          <cell r="BQ72" t="e">
            <v>#N/A</v>
          </cell>
          <cell r="BR72" t="e">
            <v>#N/A</v>
          </cell>
          <cell r="BS72" t="e">
            <v>#N/A</v>
          </cell>
          <cell r="BT72" t="e">
            <v>#N/A</v>
          </cell>
        </row>
        <row r="73">
          <cell r="A73" t="str">
            <v>Colombia2019100 / 100</v>
          </cell>
          <cell r="B73" t="str">
            <v>Colombia</v>
          </cell>
          <cell r="C73">
            <v>2019</v>
          </cell>
          <cell r="D73" t="str">
            <v>100 / 100</v>
          </cell>
          <cell r="E73" t="e">
            <v>#N/A</v>
          </cell>
          <cell r="F73" t="e">
            <v>#N/A</v>
          </cell>
          <cell r="G73" t="e">
            <v>#N/A</v>
          </cell>
          <cell r="H73" t="e">
            <v>#N/A</v>
          </cell>
          <cell r="I73" t="e">
            <v>#N/A</v>
          </cell>
          <cell r="J73" t="e">
            <v>#N/A</v>
          </cell>
          <cell r="K73" t="e">
            <v>#N/A</v>
          </cell>
          <cell r="L73" t="e">
            <v>#N/A</v>
          </cell>
          <cell r="M73" t="str">
            <v>..</v>
          </cell>
          <cell r="N73" t="str">
            <v>..</v>
          </cell>
          <cell r="O73" t="str">
            <v>..</v>
          </cell>
          <cell r="P73" t="str">
            <v>..</v>
          </cell>
          <cell r="Q73" t="str">
            <v>..</v>
          </cell>
          <cell r="R73" t="str">
            <v>..</v>
          </cell>
          <cell r="S73" t="str">
            <v>..</v>
          </cell>
          <cell r="T73" t="str">
            <v>..</v>
          </cell>
          <cell r="U73" t="str">
            <v>..</v>
          </cell>
          <cell r="V73">
            <v>0</v>
          </cell>
          <cell r="W73">
            <v>0</v>
          </cell>
          <cell r="X73">
            <v>0</v>
          </cell>
          <cell r="Y73" t="str">
            <v>-</v>
          </cell>
          <cell r="Z73" t="str">
            <v>No statutory entitlement</v>
          </cell>
          <cell r="AA73" t="str">
            <v>-</v>
          </cell>
          <cell r="AB73" t="str">
            <v>-</v>
          </cell>
          <cell r="AC73" t="str">
            <v>-</v>
          </cell>
          <cell r="AD73" t="str">
            <v>-</v>
          </cell>
          <cell r="AE73" t="str">
            <v>-</v>
          </cell>
          <cell r="AF73" t="str">
            <v>-</v>
          </cell>
          <cell r="AG73" t="str">
            <v>-</v>
          </cell>
          <cell r="AH73" t="str">
            <v>-</v>
          </cell>
          <cell r="AI73" t="str">
            <v>-</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v>0</v>
          </cell>
          <cell r="BN73">
            <v>0</v>
          </cell>
          <cell r="BO73" t="str">
            <v>-</v>
          </cell>
          <cell r="BP73" t="str">
            <v>-</v>
          </cell>
          <cell r="BQ73" t="e">
            <v>#N/A</v>
          </cell>
          <cell r="BR73" t="e">
            <v>#N/A</v>
          </cell>
          <cell r="BS73" t="e">
            <v>#N/A</v>
          </cell>
          <cell r="BT73" t="e">
            <v>#N/A</v>
          </cell>
        </row>
        <row r="74">
          <cell r="A74" t="str">
            <v>Colombia2020100 / 100</v>
          </cell>
          <cell r="B74" t="str">
            <v>Colombia</v>
          </cell>
          <cell r="C74">
            <v>2020</v>
          </cell>
          <cell r="D74" t="str">
            <v>100 / 100</v>
          </cell>
          <cell r="E74" t="e">
            <v>#N/A</v>
          </cell>
          <cell r="F74" t="e">
            <v>#N/A</v>
          </cell>
          <cell r="G74" t="e">
            <v>#N/A</v>
          </cell>
          <cell r="H74" t="e">
            <v>#N/A</v>
          </cell>
          <cell r="I74" t="e">
            <v>#N/A</v>
          </cell>
          <cell r="J74" t="e">
            <v>#N/A</v>
          </cell>
          <cell r="K74" t="e">
            <v>#N/A</v>
          </cell>
          <cell r="L74" t="e">
            <v>#N/A</v>
          </cell>
          <cell r="M74" t="str">
            <v>..</v>
          </cell>
          <cell r="N74" t="str">
            <v>..</v>
          </cell>
          <cell r="O74" t="str">
            <v>..</v>
          </cell>
          <cell r="P74" t="str">
            <v>..</v>
          </cell>
          <cell r="Q74" t="str">
            <v>..</v>
          </cell>
          <cell r="R74" t="str">
            <v>..</v>
          </cell>
          <cell r="S74" t="str">
            <v>..</v>
          </cell>
          <cell r="T74" t="str">
            <v>..</v>
          </cell>
          <cell r="U74" t="str">
            <v>..</v>
          </cell>
          <cell r="V74">
            <v>0</v>
          </cell>
          <cell r="W74">
            <v>0</v>
          </cell>
          <cell r="X74">
            <v>0</v>
          </cell>
          <cell r="Y74" t="str">
            <v>-</v>
          </cell>
          <cell r="Z74" t="str">
            <v>No statutory entitlement</v>
          </cell>
          <cell r="AA74" t="str">
            <v>-</v>
          </cell>
          <cell r="AB74" t="str">
            <v>-</v>
          </cell>
          <cell r="AC74" t="str">
            <v>-</v>
          </cell>
          <cell r="AD74" t="str">
            <v>-</v>
          </cell>
          <cell r="AE74" t="str">
            <v>-</v>
          </cell>
          <cell r="AF74" t="str">
            <v>-</v>
          </cell>
          <cell r="AG74" t="str">
            <v>-</v>
          </cell>
          <cell r="AH74" t="str">
            <v>-</v>
          </cell>
          <cell r="AI74" t="str">
            <v>-</v>
          </cell>
          <cell r="AJ74" t="str">
            <v>-</v>
          </cell>
          <cell r="AK74" t="str">
            <v>-</v>
          </cell>
          <cell r="AL74" t="str">
            <v>-</v>
          </cell>
          <cell r="AM74" t="str">
            <v>-</v>
          </cell>
          <cell r="AN74" t="str">
            <v>-</v>
          </cell>
          <cell r="AO74" t="str">
            <v>-</v>
          </cell>
          <cell r="AP74" t="str">
            <v>-</v>
          </cell>
          <cell r="AQ74" t="str">
            <v>-</v>
          </cell>
          <cell r="AR74" t="str">
            <v>-</v>
          </cell>
          <cell r="AS74" t="str">
            <v>-</v>
          </cell>
          <cell r="AT74" t="str">
            <v>-</v>
          </cell>
          <cell r="AU74" t="str">
            <v>-</v>
          </cell>
          <cell r="AV74" t="str">
            <v>-</v>
          </cell>
          <cell r="AW74" t="str">
            <v>-</v>
          </cell>
          <cell r="AX74" t="str">
            <v>-</v>
          </cell>
          <cell r="AY74" t="str">
            <v>-</v>
          </cell>
          <cell r="AZ74" t="str">
            <v>-</v>
          </cell>
          <cell r="BA74" t="str">
            <v>-</v>
          </cell>
          <cell r="BB74" t="str">
            <v>-</v>
          </cell>
          <cell r="BC74" t="str">
            <v>-</v>
          </cell>
          <cell r="BD74" t="str">
            <v>-</v>
          </cell>
          <cell r="BE74" t="str">
            <v>-</v>
          </cell>
          <cell r="BF74" t="str">
            <v>-</v>
          </cell>
          <cell r="BG74" t="str">
            <v>-</v>
          </cell>
          <cell r="BH74" t="str">
            <v>-</v>
          </cell>
          <cell r="BI74" t="str">
            <v>-</v>
          </cell>
          <cell r="BJ74" t="str">
            <v>-</v>
          </cell>
          <cell r="BK74" t="str">
            <v>-</v>
          </cell>
          <cell r="BL74" t="str">
            <v>-</v>
          </cell>
          <cell r="BM74">
            <v>0</v>
          </cell>
          <cell r="BN74">
            <v>0</v>
          </cell>
          <cell r="BO74" t="str">
            <v>-</v>
          </cell>
          <cell r="BP74" t="str">
            <v>-</v>
          </cell>
          <cell r="BQ74" t="e">
            <v>#N/A</v>
          </cell>
          <cell r="BR74" t="e">
            <v>#N/A</v>
          </cell>
          <cell r="BS74" t="e">
            <v>#N/A</v>
          </cell>
          <cell r="BT74" t="e">
            <v>#N/A</v>
          </cell>
        </row>
        <row r="75">
          <cell r="A75" t="str">
            <v>Colombia2021100 / 100</v>
          </cell>
          <cell r="B75" t="str">
            <v>Colombia</v>
          </cell>
          <cell r="C75">
            <v>2021</v>
          </cell>
          <cell r="D75" t="str">
            <v>100 / 100</v>
          </cell>
          <cell r="E75" t="e">
            <v>#N/A</v>
          </cell>
          <cell r="F75" t="e">
            <v>#N/A</v>
          </cell>
          <cell r="G75" t="e">
            <v>#N/A</v>
          </cell>
          <cell r="H75" t="e">
            <v>#N/A</v>
          </cell>
          <cell r="I75" t="e">
            <v>#N/A</v>
          </cell>
          <cell r="J75" t="e">
            <v>#N/A</v>
          </cell>
          <cell r="K75" t="e">
            <v>#N/A</v>
          </cell>
          <cell r="L75" t="e">
            <v>#N/A</v>
          </cell>
          <cell r="M75" t="str">
            <v>..</v>
          </cell>
          <cell r="N75" t="str">
            <v>..</v>
          </cell>
          <cell r="O75" t="str">
            <v>..</v>
          </cell>
          <cell r="P75" t="str">
            <v>..</v>
          </cell>
          <cell r="Q75" t="str">
            <v>..</v>
          </cell>
          <cell r="R75" t="str">
            <v>..</v>
          </cell>
          <cell r="S75" t="str">
            <v>..</v>
          </cell>
          <cell r="T75" t="str">
            <v>..</v>
          </cell>
          <cell r="U75" t="str">
            <v>..</v>
          </cell>
          <cell r="V75">
            <v>0</v>
          </cell>
          <cell r="W75">
            <v>0</v>
          </cell>
          <cell r="X75">
            <v>0</v>
          </cell>
          <cell r="Y75" t="str">
            <v>-</v>
          </cell>
          <cell r="Z75" t="str">
            <v>No statutory entitlement</v>
          </cell>
          <cell r="AA75" t="str">
            <v>-</v>
          </cell>
          <cell r="AB75" t="str">
            <v>-</v>
          </cell>
          <cell r="AC75" t="str">
            <v>-</v>
          </cell>
          <cell r="AD75" t="str">
            <v>-</v>
          </cell>
          <cell r="AE75" t="str">
            <v>-</v>
          </cell>
          <cell r="AF75" t="str">
            <v>-</v>
          </cell>
          <cell r="AG75" t="str">
            <v>-</v>
          </cell>
          <cell r="AH75" t="str">
            <v>-</v>
          </cell>
          <cell r="AI75" t="str">
            <v>-</v>
          </cell>
          <cell r="AJ75" t="str">
            <v>-</v>
          </cell>
          <cell r="AK75" t="str">
            <v>-</v>
          </cell>
          <cell r="AL75" t="str">
            <v>-</v>
          </cell>
          <cell r="AM75" t="str">
            <v>-</v>
          </cell>
          <cell r="AN75" t="str">
            <v>-</v>
          </cell>
          <cell r="AO75" t="str">
            <v>-</v>
          </cell>
          <cell r="AP75" t="str">
            <v>-</v>
          </cell>
          <cell r="AQ75" t="str">
            <v>-</v>
          </cell>
          <cell r="AR75" t="str">
            <v>-</v>
          </cell>
          <cell r="AS75" t="str">
            <v>-</v>
          </cell>
          <cell r="AT75" t="str">
            <v>-</v>
          </cell>
          <cell r="AU75" t="str">
            <v>-</v>
          </cell>
          <cell r="AV75" t="str">
            <v>-</v>
          </cell>
          <cell r="AW75" t="str">
            <v>-</v>
          </cell>
          <cell r="AX75" t="str">
            <v>-</v>
          </cell>
          <cell r="AY75" t="str">
            <v>-</v>
          </cell>
          <cell r="AZ75" t="str">
            <v>-</v>
          </cell>
          <cell r="BA75" t="str">
            <v>-</v>
          </cell>
          <cell r="BB75" t="str">
            <v>-</v>
          </cell>
          <cell r="BC75" t="str">
            <v>-</v>
          </cell>
          <cell r="BD75" t="str">
            <v>-</v>
          </cell>
          <cell r="BE75" t="str">
            <v>-</v>
          </cell>
          <cell r="BF75" t="str">
            <v>-</v>
          </cell>
          <cell r="BG75" t="str">
            <v>-</v>
          </cell>
          <cell r="BH75" t="str">
            <v>-</v>
          </cell>
          <cell r="BI75" t="str">
            <v>-</v>
          </cell>
          <cell r="BJ75" t="str">
            <v>-</v>
          </cell>
          <cell r="BK75" t="str">
            <v>-</v>
          </cell>
          <cell r="BL75" t="str">
            <v>-</v>
          </cell>
          <cell r="BM75">
            <v>0</v>
          </cell>
          <cell r="BN75">
            <v>0</v>
          </cell>
          <cell r="BO75" t="str">
            <v>-</v>
          </cell>
          <cell r="BP75" t="str">
            <v>-</v>
          </cell>
          <cell r="BQ75" t="e">
            <v>#N/A</v>
          </cell>
          <cell r="BR75" t="e">
            <v>#N/A</v>
          </cell>
          <cell r="BS75" t="e">
            <v>#N/A</v>
          </cell>
          <cell r="BT75" t="e">
            <v>#N/A</v>
          </cell>
        </row>
        <row r="76">
          <cell r="A76" t="str">
            <v>Colombia2022100 / 100</v>
          </cell>
          <cell r="B76" t="str">
            <v>Colombia</v>
          </cell>
          <cell r="C76">
            <v>2022</v>
          </cell>
          <cell r="D76" t="str">
            <v>100 / 100</v>
          </cell>
          <cell r="E76" t="e">
            <v>#N/A</v>
          </cell>
          <cell r="F76" t="e">
            <v>#N/A</v>
          </cell>
          <cell r="G76" t="e">
            <v>#N/A</v>
          </cell>
          <cell r="H76" t="e">
            <v>#N/A</v>
          </cell>
          <cell r="I76" t="e">
            <v>#N/A</v>
          </cell>
          <cell r="J76" t="e">
            <v>#N/A</v>
          </cell>
          <cell r="K76" t="e">
            <v>#N/A</v>
          </cell>
          <cell r="L76" t="e">
            <v>#N/A</v>
          </cell>
          <cell r="M76" t="str">
            <v>..</v>
          </cell>
          <cell r="N76" t="str">
            <v>..</v>
          </cell>
          <cell r="O76" t="str">
            <v>..</v>
          </cell>
          <cell r="P76" t="str">
            <v>..</v>
          </cell>
          <cell r="Q76" t="str">
            <v>..</v>
          </cell>
          <cell r="R76" t="str">
            <v>..</v>
          </cell>
          <cell r="S76" t="str">
            <v>..</v>
          </cell>
          <cell r="T76" t="str">
            <v>..</v>
          </cell>
          <cell r="U76" t="str">
            <v>..</v>
          </cell>
          <cell r="V76">
            <v>0</v>
          </cell>
          <cell r="W76">
            <v>0</v>
          </cell>
          <cell r="X76">
            <v>0</v>
          </cell>
          <cell r="Y76" t="str">
            <v>-</v>
          </cell>
          <cell r="Z76" t="str">
            <v>No statutory entitlement</v>
          </cell>
          <cell r="AA76" t="str">
            <v>-</v>
          </cell>
          <cell r="AB76" t="str">
            <v>-</v>
          </cell>
          <cell r="AC76" t="str">
            <v>-</v>
          </cell>
          <cell r="AD76" t="str">
            <v>-</v>
          </cell>
          <cell r="AE76" t="str">
            <v>-</v>
          </cell>
          <cell r="AF76" t="str">
            <v>-</v>
          </cell>
          <cell r="AG76" t="str">
            <v>-</v>
          </cell>
          <cell r="AH76" t="str">
            <v>-</v>
          </cell>
          <cell r="AI76" t="str">
            <v>-</v>
          </cell>
          <cell r="AJ76" t="str">
            <v>-</v>
          </cell>
          <cell r="AK76" t="str">
            <v>-</v>
          </cell>
          <cell r="AL76" t="str">
            <v>-</v>
          </cell>
          <cell r="AM76" t="str">
            <v>-</v>
          </cell>
          <cell r="AN76" t="str">
            <v>-</v>
          </cell>
          <cell r="AO76" t="str">
            <v>-</v>
          </cell>
          <cell r="AP76" t="str">
            <v>-</v>
          </cell>
          <cell r="AQ76" t="str">
            <v>-</v>
          </cell>
          <cell r="AR76" t="str">
            <v>-</v>
          </cell>
          <cell r="AS76" t="str">
            <v>-</v>
          </cell>
          <cell r="AT76" t="str">
            <v>-</v>
          </cell>
          <cell r="AU76" t="str">
            <v>-</v>
          </cell>
          <cell r="AV76" t="str">
            <v>-</v>
          </cell>
          <cell r="AW76" t="str">
            <v>-</v>
          </cell>
          <cell r="AX76" t="str">
            <v>-</v>
          </cell>
          <cell r="AY76" t="str">
            <v>-</v>
          </cell>
          <cell r="AZ76" t="str">
            <v>-</v>
          </cell>
          <cell r="BA76" t="str">
            <v>-</v>
          </cell>
          <cell r="BB76" t="str">
            <v>-</v>
          </cell>
          <cell r="BC76" t="str">
            <v>-</v>
          </cell>
          <cell r="BD76" t="str">
            <v>-</v>
          </cell>
          <cell r="BE76" t="str">
            <v>-</v>
          </cell>
          <cell r="BF76" t="str">
            <v>-</v>
          </cell>
          <cell r="BG76" t="str">
            <v>-</v>
          </cell>
          <cell r="BH76" t="str">
            <v>-</v>
          </cell>
          <cell r="BI76" t="str">
            <v>-</v>
          </cell>
          <cell r="BJ76" t="str">
            <v>-</v>
          </cell>
          <cell r="BK76" t="str">
            <v>-</v>
          </cell>
          <cell r="BL76" t="str">
            <v>-</v>
          </cell>
          <cell r="BM76">
            <v>0</v>
          </cell>
          <cell r="BN76">
            <v>0</v>
          </cell>
          <cell r="BO76" t="str">
            <v>-</v>
          </cell>
          <cell r="BP76" t="str">
            <v>-</v>
          </cell>
          <cell r="BQ76" t="e">
            <v>#N/A</v>
          </cell>
          <cell r="BR76" t="e">
            <v>#N/A</v>
          </cell>
          <cell r="BS76" t="e">
            <v>#N/A</v>
          </cell>
          <cell r="BT76" t="e">
            <v>#N/A</v>
          </cell>
        </row>
        <row r="77">
          <cell r="A77" t="str">
            <v>Colombia2023100 / 100</v>
          </cell>
          <cell r="B77" t="str">
            <v>Colombia</v>
          </cell>
          <cell r="C77">
            <v>2023</v>
          </cell>
          <cell r="D77" t="str">
            <v>100 / 100</v>
          </cell>
          <cell r="E77" t="e">
            <v>#N/A</v>
          </cell>
          <cell r="F77" t="e">
            <v>#N/A</v>
          </cell>
          <cell r="G77" t="e">
            <v>#N/A</v>
          </cell>
          <cell r="H77" t="e">
            <v>#N/A</v>
          </cell>
          <cell r="I77" t="e">
            <v>#N/A</v>
          </cell>
          <cell r="J77" t="e">
            <v>#N/A</v>
          </cell>
          <cell r="K77" t="e">
            <v>#N/A</v>
          </cell>
          <cell r="L77" t="e">
            <v>#N/A</v>
          </cell>
          <cell r="M77" t="str">
            <v>..</v>
          </cell>
          <cell r="N77" t="str">
            <v>..</v>
          </cell>
          <cell r="O77" t="str">
            <v>..</v>
          </cell>
          <cell r="P77" t="str">
            <v>..</v>
          </cell>
          <cell r="Q77" t="str">
            <v>..</v>
          </cell>
          <cell r="R77" t="str">
            <v>..</v>
          </cell>
          <cell r="S77" t="str">
            <v>..</v>
          </cell>
          <cell r="T77" t="str">
            <v>..</v>
          </cell>
          <cell r="U77" t="str">
            <v>..</v>
          </cell>
          <cell r="V77">
            <v>0</v>
          </cell>
          <cell r="W77">
            <v>0</v>
          </cell>
          <cell r="X77">
            <v>0</v>
          </cell>
          <cell r="Y77" t="str">
            <v>-</v>
          </cell>
          <cell r="Z77" t="str">
            <v>No statutory entitlement</v>
          </cell>
          <cell r="AA77" t="str">
            <v>-</v>
          </cell>
          <cell r="AB77" t="str">
            <v>-</v>
          </cell>
          <cell r="AC77" t="str">
            <v>-</v>
          </cell>
          <cell r="AD77" t="str">
            <v>-</v>
          </cell>
          <cell r="AE77" t="str">
            <v>-</v>
          </cell>
          <cell r="AF77" t="str">
            <v>-</v>
          </cell>
          <cell r="AG77" t="str">
            <v>-</v>
          </cell>
          <cell r="AH77" t="str">
            <v>-</v>
          </cell>
          <cell r="AI77" t="str">
            <v>-</v>
          </cell>
          <cell r="AJ77" t="str">
            <v>-</v>
          </cell>
          <cell r="AK77" t="str">
            <v>-</v>
          </cell>
          <cell r="AL77" t="str">
            <v>-</v>
          </cell>
          <cell r="AM77" t="str">
            <v>-</v>
          </cell>
          <cell r="AN77" t="str">
            <v>-</v>
          </cell>
          <cell r="AO77" t="str">
            <v>-</v>
          </cell>
          <cell r="AP77" t="str">
            <v>-</v>
          </cell>
          <cell r="AQ77" t="str">
            <v>-</v>
          </cell>
          <cell r="AR77" t="str">
            <v>-</v>
          </cell>
          <cell r="AS77" t="str">
            <v>-</v>
          </cell>
          <cell r="AT77" t="str">
            <v>-</v>
          </cell>
          <cell r="AU77" t="str">
            <v>-</v>
          </cell>
          <cell r="AV77" t="str">
            <v>-</v>
          </cell>
          <cell r="AW77" t="str">
            <v>-</v>
          </cell>
          <cell r="AX77" t="str">
            <v>-</v>
          </cell>
          <cell r="AY77" t="str">
            <v>-</v>
          </cell>
          <cell r="AZ77" t="str">
            <v>-</v>
          </cell>
          <cell r="BA77" t="str">
            <v>-</v>
          </cell>
          <cell r="BB77" t="str">
            <v>-</v>
          </cell>
          <cell r="BC77" t="str">
            <v>-</v>
          </cell>
          <cell r="BD77" t="str">
            <v>-</v>
          </cell>
          <cell r="BE77" t="str">
            <v>-</v>
          </cell>
          <cell r="BF77" t="str">
            <v>-</v>
          </cell>
          <cell r="BG77" t="str">
            <v>-</v>
          </cell>
          <cell r="BH77" t="str">
            <v>-</v>
          </cell>
          <cell r="BI77" t="str">
            <v>-</v>
          </cell>
          <cell r="BJ77" t="str">
            <v>-</v>
          </cell>
          <cell r="BK77" t="str">
            <v>-</v>
          </cell>
          <cell r="BL77" t="str">
            <v>-</v>
          </cell>
          <cell r="BM77">
            <v>0</v>
          </cell>
          <cell r="BN77">
            <v>0</v>
          </cell>
          <cell r="BO77" t="str">
            <v>-</v>
          </cell>
          <cell r="BP77" t="str">
            <v>-</v>
          </cell>
          <cell r="BQ77" t="e">
            <v>#N/A</v>
          </cell>
          <cell r="BR77" t="e">
            <v>#N/A</v>
          </cell>
          <cell r="BS77" t="e">
            <v>#N/A</v>
          </cell>
          <cell r="BT77" t="e">
            <v>#N/A</v>
          </cell>
        </row>
        <row r="78">
          <cell r="A78" t="str">
            <v>Colombia2024100 / 100</v>
          </cell>
          <cell r="B78" t="str">
            <v>Colombia</v>
          </cell>
          <cell r="C78">
            <v>2024</v>
          </cell>
          <cell r="D78" t="str">
            <v>100 / 100</v>
          </cell>
          <cell r="E78" t="e">
            <v>#N/A</v>
          </cell>
          <cell r="F78" t="e">
            <v>#N/A</v>
          </cell>
          <cell r="G78" t="e">
            <v>#N/A</v>
          </cell>
          <cell r="H78" t="e">
            <v>#N/A</v>
          </cell>
          <cell r="I78" t="e">
            <v>#N/A</v>
          </cell>
          <cell r="J78" t="e">
            <v>#N/A</v>
          </cell>
          <cell r="K78" t="e">
            <v>#N/A</v>
          </cell>
          <cell r="L78" t="e">
            <v>#N/A</v>
          </cell>
          <cell r="M78" t="str">
            <v>..</v>
          </cell>
          <cell r="N78" t="str">
            <v>..</v>
          </cell>
          <cell r="O78" t="str">
            <v>..</v>
          </cell>
          <cell r="P78" t="str">
            <v>..</v>
          </cell>
          <cell r="Q78" t="str">
            <v>..</v>
          </cell>
          <cell r="R78" t="str">
            <v>..</v>
          </cell>
          <cell r="S78" t="str">
            <v>..</v>
          </cell>
          <cell r="T78" t="str">
            <v>..</v>
          </cell>
          <cell r="U78" t="str">
            <v>..</v>
          </cell>
          <cell r="V78">
            <v>0</v>
          </cell>
          <cell r="W78">
            <v>0</v>
          </cell>
          <cell r="X78">
            <v>0</v>
          </cell>
          <cell r="Y78" t="str">
            <v>-</v>
          </cell>
          <cell r="Z78" t="str">
            <v>No statutory entitlement</v>
          </cell>
          <cell r="AA78" t="str">
            <v>-</v>
          </cell>
          <cell r="AB78" t="str">
            <v>-</v>
          </cell>
          <cell r="AC78" t="str">
            <v>-</v>
          </cell>
          <cell r="AD78" t="str">
            <v>-</v>
          </cell>
          <cell r="AE78" t="str">
            <v>-</v>
          </cell>
          <cell r="AF78" t="str">
            <v>-</v>
          </cell>
          <cell r="AG78" t="str">
            <v>-</v>
          </cell>
          <cell r="AH78" t="str">
            <v>-</v>
          </cell>
          <cell r="AI78" t="str">
            <v>-</v>
          </cell>
          <cell r="AJ78" t="str">
            <v>-</v>
          </cell>
          <cell r="AK78" t="str">
            <v>-</v>
          </cell>
          <cell r="AL78" t="str">
            <v>-</v>
          </cell>
          <cell r="AM78" t="str">
            <v>-</v>
          </cell>
          <cell r="AN78" t="str">
            <v>-</v>
          </cell>
          <cell r="AO78" t="str">
            <v>-</v>
          </cell>
          <cell r="AP78" t="str">
            <v>-</v>
          </cell>
          <cell r="AQ78" t="str">
            <v>-</v>
          </cell>
          <cell r="AR78" t="str">
            <v>-</v>
          </cell>
          <cell r="AS78" t="str">
            <v>-</v>
          </cell>
          <cell r="AT78" t="str">
            <v>-</v>
          </cell>
          <cell r="AU78" t="str">
            <v>-</v>
          </cell>
          <cell r="AV78" t="str">
            <v>-</v>
          </cell>
          <cell r="AW78" t="str">
            <v>-</v>
          </cell>
          <cell r="AX78" t="str">
            <v>-</v>
          </cell>
          <cell r="AY78" t="str">
            <v>-</v>
          </cell>
          <cell r="AZ78" t="str">
            <v>-</v>
          </cell>
          <cell r="BA78" t="str">
            <v>-</v>
          </cell>
          <cell r="BB78" t="str">
            <v>-</v>
          </cell>
          <cell r="BC78" t="str">
            <v>-</v>
          </cell>
          <cell r="BD78" t="str">
            <v>-</v>
          </cell>
          <cell r="BE78" t="str">
            <v>-</v>
          </cell>
          <cell r="BF78" t="str">
            <v>-</v>
          </cell>
          <cell r="BG78" t="str">
            <v>-</v>
          </cell>
          <cell r="BH78" t="str">
            <v>-</v>
          </cell>
          <cell r="BI78" t="str">
            <v>-</v>
          </cell>
          <cell r="BJ78" t="str">
            <v>-</v>
          </cell>
          <cell r="BK78" t="str">
            <v>-</v>
          </cell>
          <cell r="BL78" t="str">
            <v>-</v>
          </cell>
          <cell r="BM78">
            <v>0</v>
          </cell>
          <cell r="BN78">
            <v>0</v>
          </cell>
          <cell r="BO78" t="str">
            <v>-</v>
          </cell>
          <cell r="BP78" t="str">
            <v>-</v>
          </cell>
          <cell r="BQ78" t="e">
            <v>#N/A</v>
          </cell>
          <cell r="BR78" t="e">
            <v>#N/A</v>
          </cell>
          <cell r="BS78" t="e">
            <v>#N/A</v>
          </cell>
          <cell r="BT78" t="e">
            <v>#N/A</v>
          </cell>
        </row>
        <row r="79">
          <cell r="A79" t="str">
            <v>Colombia2025100 / 100</v>
          </cell>
          <cell r="B79" t="str">
            <v>Colombia</v>
          </cell>
          <cell r="C79">
            <v>2025</v>
          </cell>
          <cell r="D79" t="str">
            <v>100 / 100</v>
          </cell>
          <cell r="E79" t="e">
            <v>#N/A</v>
          </cell>
          <cell r="F79" t="e">
            <v>#N/A</v>
          </cell>
          <cell r="G79" t="e">
            <v>#N/A</v>
          </cell>
          <cell r="H79" t="e">
            <v>#N/A</v>
          </cell>
          <cell r="I79" t="e">
            <v>#N/A</v>
          </cell>
          <cell r="J79" t="e">
            <v>#N/A</v>
          </cell>
          <cell r="K79" t="e">
            <v>#N/A</v>
          </cell>
          <cell r="L79" t="e">
            <v>#N/A</v>
          </cell>
          <cell r="M79" t="str">
            <v>..</v>
          </cell>
          <cell r="N79" t="str">
            <v>..</v>
          </cell>
          <cell r="O79" t="str">
            <v>..</v>
          </cell>
          <cell r="P79" t="str">
            <v>..</v>
          </cell>
          <cell r="Q79" t="str">
            <v>..</v>
          </cell>
          <cell r="R79" t="str">
            <v>..</v>
          </cell>
          <cell r="S79" t="str">
            <v>..</v>
          </cell>
          <cell r="T79" t="str">
            <v>..</v>
          </cell>
          <cell r="U79" t="str">
            <v>..</v>
          </cell>
          <cell r="V79">
            <v>0</v>
          </cell>
          <cell r="W79">
            <v>0</v>
          </cell>
          <cell r="X79">
            <v>0</v>
          </cell>
          <cell r="Y79" t="str">
            <v>-</v>
          </cell>
          <cell r="Z79" t="str">
            <v>No statutory entitlement</v>
          </cell>
          <cell r="AA79" t="str">
            <v>-</v>
          </cell>
          <cell r="AB79" t="str">
            <v>-</v>
          </cell>
          <cell r="AC79" t="str">
            <v>-</v>
          </cell>
          <cell r="AD79" t="str">
            <v>-</v>
          </cell>
          <cell r="AE79" t="str">
            <v>-</v>
          </cell>
          <cell r="AF79" t="str">
            <v>-</v>
          </cell>
          <cell r="AG79" t="str">
            <v>-</v>
          </cell>
          <cell r="AH79" t="str">
            <v>-</v>
          </cell>
          <cell r="AI79" t="str">
            <v>-</v>
          </cell>
          <cell r="AJ79" t="str">
            <v>-</v>
          </cell>
          <cell r="AK79" t="str">
            <v>-</v>
          </cell>
          <cell r="AL79" t="str">
            <v>-</v>
          </cell>
          <cell r="AM79" t="str">
            <v>-</v>
          </cell>
          <cell r="AN79" t="str">
            <v>-</v>
          </cell>
          <cell r="AO79" t="str">
            <v>-</v>
          </cell>
          <cell r="AP79" t="str">
            <v>-</v>
          </cell>
          <cell r="AQ79" t="str">
            <v>-</v>
          </cell>
          <cell r="AR79" t="str">
            <v>-</v>
          </cell>
          <cell r="AS79" t="str">
            <v>-</v>
          </cell>
          <cell r="AT79" t="str">
            <v>-</v>
          </cell>
          <cell r="AU79" t="str">
            <v>-</v>
          </cell>
          <cell r="AV79" t="str">
            <v>-</v>
          </cell>
          <cell r="AW79" t="str">
            <v>-</v>
          </cell>
          <cell r="AX79" t="str">
            <v>-</v>
          </cell>
          <cell r="AY79" t="str">
            <v>-</v>
          </cell>
          <cell r="AZ79" t="str">
            <v>-</v>
          </cell>
          <cell r="BA79" t="str">
            <v>-</v>
          </cell>
          <cell r="BB79" t="str">
            <v>-</v>
          </cell>
          <cell r="BC79" t="str">
            <v>-</v>
          </cell>
          <cell r="BD79" t="str">
            <v>-</v>
          </cell>
          <cell r="BE79" t="str">
            <v>-</v>
          </cell>
          <cell r="BF79" t="str">
            <v>-</v>
          </cell>
          <cell r="BG79" t="str">
            <v>-</v>
          </cell>
          <cell r="BH79" t="str">
            <v>-</v>
          </cell>
          <cell r="BI79" t="str">
            <v>-</v>
          </cell>
          <cell r="BJ79" t="str">
            <v>-</v>
          </cell>
          <cell r="BK79" t="str">
            <v>-</v>
          </cell>
          <cell r="BL79" t="str">
            <v>-</v>
          </cell>
          <cell r="BM79">
            <v>0</v>
          </cell>
          <cell r="BN79">
            <v>0</v>
          </cell>
          <cell r="BO79" t="str">
            <v>-</v>
          </cell>
          <cell r="BP79" t="str">
            <v>-</v>
          </cell>
          <cell r="BQ79" t="e">
            <v>#N/A</v>
          </cell>
          <cell r="BR79" t="e">
            <v>#N/A</v>
          </cell>
          <cell r="BS79" t="e">
            <v>#N/A</v>
          </cell>
          <cell r="BT79" t="e">
            <v>#N/A</v>
          </cell>
        </row>
        <row r="80">
          <cell r="A80" t="str">
            <v>Costa Rica2014100 / 100</v>
          </cell>
          <cell r="B80" t="str">
            <v>Costa Rica</v>
          </cell>
          <cell r="C80">
            <v>2014</v>
          </cell>
          <cell r="D80" t="str">
            <v>100 / 100</v>
          </cell>
          <cell r="E80" t="e">
            <v>#N/A</v>
          </cell>
          <cell r="F80" t="e">
            <v>#N/A</v>
          </cell>
          <cell r="G80" t="e">
            <v>#N/A</v>
          </cell>
          <cell r="H80" t="e">
            <v>#N/A</v>
          </cell>
          <cell r="I80" t="e">
            <v>#N/A</v>
          </cell>
          <cell r="J80" t="e">
            <v>#N/A</v>
          </cell>
          <cell r="K80" t="e">
            <v>#N/A</v>
          </cell>
          <cell r="L80" t="e">
            <v>#N/A</v>
          </cell>
          <cell r="M80" t="str">
            <v>..</v>
          </cell>
          <cell r="N80" t="str">
            <v>..</v>
          </cell>
          <cell r="O80" t="str">
            <v>..</v>
          </cell>
          <cell r="P80" t="str">
            <v>..</v>
          </cell>
          <cell r="Q80" t="str">
            <v>..</v>
          </cell>
          <cell r="R80" t="str">
            <v>..</v>
          </cell>
          <cell r="S80" t="str">
            <v>..</v>
          </cell>
          <cell r="T80" t="str">
            <v>..</v>
          </cell>
          <cell r="U80" t="str">
            <v>..</v>
          </cell>
          <cell r="V80">
            <v>0</v>
          </cell>
          <cell r="W80">
            <v>0</v>
          </cell>
          <cell r="X80">
            <v>0</v>
          </cell>
          <cell r="Y80" t="str">
            <v>-</v>
          </cell>
          <cell r="Z80" t="str">
            <v>No statutory entitlement</v>
          </cell>
          <cell r="AA80" t="str">
            <v>-</v>
          </cell>
          <cell r="AB80" t="str">
            <v>-</v>
          </cell>
          <cell r="AC80" t="str">
            <v>-</v>
          </cell>
          <cell r="AD80" t="str">
            <v>-</v>
          </cell>
          <cell r="AE80" t="str">
            <v>-</v>
          </cell>
          <cell r="AF80" t="str">
            <v>-</v>
          </cell>
          <cell r="AG80" t="str">
            <v>-</v>
          </cell>
          <cell r="AH80" t="str">
            <v>-</v>
          </cell>
          <cell r="AI80" t="str">
            <v>-</v>
          </cell>
          <cell r="AJ80" t="str">
            <v>-</v>
          </cell>
          <cell r="AK80" t="str">
            <v>-</v>
          </cell>
          <cell r="AL80" t="str">
            <v>-</v>
          </cell>
          <cell r="AM80" t="str">
            <v>-</v>
          </cell>
          <cell r="AN80" t="str">
            <v>-</v>
          </cell>
          <cell r="AO80" t="str">
            <v>-</v>
          </cell>
          <cell r="AP80" t="str">
            <v>-</v>
          </cell>
          <cell r="AQ80" t="str">
            <v>-</v>
          </cell>
          <cell r="AR80" t="str">
            <v>-</v>
          </cell>
          <cell r="AS80" t="str">
            <v>-</v>
          </cell>
          <cell r="AT80" t="str">
            <v>-</v>
          </cell>
          <cell r="AU80" t="str">
            <v>-</v>
          </cell>
          <cell r="AV80" t="str">
            <v>-</v>
          </cell>
          <cell r="AW80" t="str">
            <v>-</v>
          </cell>
          <cell r="AX80" t="str">
            <v>-</v>
          </cell>
          <cell r="AY80" t="str">
            <v>-</v>
          </cell>
          <cell r="AZ80" t="str">
            <v>-</v>
          </cell>
          <cell r="BA80" t="str">
            <v>-</v>
          </cell>
          <cell r="BB80" t="str">
            <v>-</v>
          </cell>
          <cell r="BC80" t="str">
            <v>-</v>
          </cell>
          <cell r="BD80" t="str">
            <v>-</v>
          </cell>
          <cell r="BE80" t="str">
            <v>-</v>
          </cell>
          <cell r="BF80" t="str">
            <v>-</v>
          </cell>
          <cell r="BG80" t="str">
            <v>-</v>
          </cell>
          <cell r="BH80" t="str">
            <v>-</v>
          </cell>
          <cell r="BI80" t="str">
            <v>-</v>
          </cell>
          <cell r="BJ80" t="str">
            <v>-</v>
          </cell>
          <cell r="BK80" t="str">
            <v>-</v>
          </cell>
          <cell r="BL80" t="str">
            <v>-</v>
          </cell>
          <cell r="BM80">
            <v>0</v>
          </cell>
          <cell r="BN80">
            <v>0</v>
          </cell>
          <cell r="BO80" t="str">
            <v>-</v>
          </cell>
          <cell r="BP80" t="str">
            <v>-</v>
          </cell>
          <cell r="BQ80" t="e">
            <v>#N/A</v>
          </cell>
          <cell r="BR80" t="e">
            <v>#N/A</v>
          </cell>
          <cell r="BS80" t="e">
            <v>#N/A</v>
          </cell>
          <cell r="BT80" t="e">
            <v>#N/A</v>
          </cell>
        </row>
        <row r="81">
          <cell r="A81" t="str">
            <v>Costa Rica2015100 / 100</v>
          </cell>
          <cell r="B81" t="str">
            <v>Costa Rica</v>
          </cell>
          <cell r="C81">
            <v>2015</v>
          </cell>
          <cell r="D81" t="str">
            <v>100 / 100</v>
          </cell>
          <cell r="E81" t="e">
            <v>#N/A</v>
          </cell>
          <cell r="F81" t="e">
            <v>#N/A</v>
          </cell>
          <cell r="G81" t="e">
            <v>#N/A</v>
          </cell>
          <cell r="H81" t="e">
            <v>#N/A</v>
          </cell>
          <cell r="I81" t="e">
            <v>#N/A</v>
          </cell>
          <cell r="J81" t="e">
            <v>#N/A</v>
          </cell>
          <cell r="K81" t="e">
            <v>#N/A</v>
          </cell>
          <cell r="L81" t="e">
            <v>#N/A</v>
          </cell>
          <cell r="M81" t="str">
            <v>..</v>
          </cell>
          <cell r="N81" t="str">
            <v>..</v>
          </cell>
          <cell r="O81" t="str">
            <v>..</v>
          </cell>
          <cell r="P81" t="str">
            <v>..</v>
          </cell>
          <cell r="Q81" t="str">
            <v>..</v>
          </cell>
          <cell r="R81" t="str">
            <v>..</v>
          </cell>
          <cell r="S81" t="str">
            <v>..</v>
          </cell>
          <cell r="T81" t="str">
            <v>..</v>
          </cell>
          <cell r="U81" t="str">
            <v>..</v>
          </cell>
          <cell r="V81">
            <v>0</v>
          </cell>
          <cell r="W81">
            <v>0</v>
          </cell>
          <cell r="X81">
            <v>0</v>
          </cell>
          <cell r="Y81" t="str">
            <v>-</v>
          </cell>
          <cell r="Z81" t="str">
            <v>No statutory entitlement</v>
          </cell>
          <cell r="AA81" t="str">
            <v>-</v>
          </cell>
          <cell r="AB81" t="str">
            <v>-</v>
          </cell>
          <cell r="AC81" t="str">
            <v>-</v>
          </cell>
          <cell r="AD81" t="str">
            <v>-</v>
          </cell>
          <cell r="AE81" t="str">
            <v>-</v>
          </cell>
          <cell r="AF81" t="str">
            <v>-</v>
          </cell>
          <cell r="AG81" t="str">
            <v>-</v>
          </cell>
          <cell r="AH81" t="str">
            <v>-</v>
          </cell>
          <cell r="AI81" t="str">
            <v>-</v>
          </cell>
          <cell r="AJ81" t="str">
            <v>-</v>
          </cell>
          <cell r="AK81" t="str">
            <v>-</v>
          </cell>
          <cell r="AL81" t="str">
            <v>-</v>
          </cell>
          <cell r="AM81" t="str">
            <v>-</v>
          </cell>
          <cell r="AN81" t="str">
            <v>-</v>
          </cell>
          <cell r="AO81" t="str">
            <v>-</v>
          </cell>
          <cell r="AP81" t="str">
            <v>-</v>
          </cell>
          <cell r="AQ81" t="str">
            <v>-</v>
          </cell>
          <cell r="AR81" t="str">
            <v>-</v>
          </cell>
          <cell r="AS81" t="str">
            <v>-</v>
          </cell>
          <cell r="AT81" t="str">
            <v>-</v>
          </cell>
          <cell r="AU81" t="str">
            <v>-</v>
          </cell>
          <cell r="AV81" t="str">
            <v>-</v>
          </cell>
          <cell r="AW81" t="str">
            <v>-</v>
          </cell>
          <cell r="AX81" t="str">
            <v>-</v>
          </cell>
          <cell r="AY81" t="str">
            <v>-</v>
          </cell>
          <cell r="AZ81" t="str">
            <v>-</v>
          </cell>
          <cell r="BA81" t="str">
            <v>-</v>
          </cell>
          <cell r="BB81" t="str">
            <v>-</v>
          </cell>
          <cell r="BC81" t="str">
            <v>-</v>
          </cell>
          <cell r="BD81" t="str">
            <v>-</v>
          </cell>
          <cell r="BE81" t="str">
            <v>-</v>
          </cell>
          <cell r="BF81" t="str">
            <v>-</v>
          </cell>
          <cell r="BG81" t="str">
            <v>-</v>
          </cell>
          <cell r="BH81" t="str">
            <v>-</v>
          </cell>
          <cell r="BI81" t="str">
            <v>-</v>
          </cell>
          <cell r="BJ81" t="str">
            <v>-</v>
          </cell>
          <cell r="BK81" t="str">
            <v>-</v>
          </cell>
          <cell r="BL81" t="str">
            <v>-</v>
          </cell>
          <cell r="BM81">
            <v>0</v>
          </cell>
          <cell r="BN81">
            <v>0</v>
          </cell>
          <cell r="BO81" t="str">
            <v>-</v>
          </cell>
          <cell r="BP81" t="str">
            <v>-</v>
          </cell>
          <cell r="BQ81" t="e">
            <v>#N/A</v>
          </cell>
          <cell r="BR81" t="e">
            <v>#N/A</v>
          </cell>
          <cell r="BS81" t="e">
            <v>#N/A</v>
          </cell>
          <cell r="BT81" t="e">
            <v>#N/A</v>
          </cell>
        </row>
        <row r="82">
          <cell r="A82" t="str">
            <v>Costa Rica2016100 / 100</v>
          </cell>
          <cell r="B82" t="str">
            <v>Costa Rica</v>
          </cell>
          <cell r="C82">
            <v>2016</v>
          </cell>
          <cell r="D82" t="str">
            <v>100 / 100</v>
          </cell>
          <cell r="E82" t="e">
            <v>#N/A</v>
          </cell>
          <cell r="F82" t="e">
            <v>#N/A</v>
          </cell>
          <cell r="G82" t="e">
            <v>#N/A</v>
          </cell>
          <cell r="H82" t="e">
            <v>#N/A</v>
          </cell>
          <cell r="I82" t="e">
            <v>#N/A</v>
          </cell>
          <cell r="J82" t="e">
            <v>#N/A</v>
          </cell>
          <cell r="K82" t="e">
            <v>#N/A</v>
          </cell>
          <cell r="L82" t="e">
            <v>#N/A</v>
          </cell>
          <cell r="M82" t="str">
            <v>..</v>
          </cell>
          <cell r="N82" t="str">
            <v>..</v>
          </cell>
          <cell r="O82" t="str">
            <v>..</v>
          </cell>
          <cell r="P82" t="str">
            <v>..</v>
          </cell>
          <cell r="Q82" t="str">
            <v>..</v>
          </cell>
          <cell r="R82" t="str">
            <v>..</v>
          </cell>
          <cell r="S82" t="str">
            <v>..</v>
          </cell>
          <cell r="T82" t="str">
            <v>..</v>
          </cell>
          <cell r="U82" t="str">
            <v>..</v>
          </cell>
          <cell r="V82">
            <v>0</v>
          </cell>
          <cell r="W82">
            <v>0</v>
          </cell>
          <cell r="X82">
            <v>0</v>
          </cell>
          <cell r="Y82" t="str">
            <v>-</v>
          </cell>
          <cell r="Z82" t="str">
            <v>No statutory entitlement</v>
          </cell>
          <cell r="AA82" t="str">
            <v>-</v>
          </cell>
          <cell r="AB82" t="str">
            <v>-</v>
          </cell>
          <cell r="AC82" t="str">
            <v>-</v>
          </cell>
          <cell r="AD82" t="str">
            <v>-</v>
          </cell>
          <cell r="AE82" t="str">
            <v>-</v>
          </cell>
          <cell r="AF82" t="str">
            <v>-</v>
          </cell>
          <cell r="AG82" t="str">
            <v>-</v>
          </cell>
          <cell r="AH82" t="str">
            <v>-</v>
          </cell>
          <cell r="AI82" t="str">
            <v>-</v>
          </cell>
          <cell r="AJ82" t="str">
            <v>-</v>
          </cell>
          <cell r="AK82" t="str">
            <v>-</v>
          </cell>
          <cell r="AL82" t="str">
            <v>-</v>
          </cell>
          <cell r="AM82" t="str">
            <v>-</v>
          </cell>
          <cell r="AN82" t="str">
            <v>-</v>
          </cell>
          <cell r="AO82" t="str">
            <v>-</v>
          </cell>
          <cell r="AP82" t="str">
            <v>-</v>
          </cell>
          <cell r="AQ82" t="str">
            <v>-</v>
          </cell>
          <cell r="AR82" t="str">
            <v>-</v>
          </cell>
          <cell r="AS82" t="str">
            <v>-</v>
          </cell>
          <cell r="AT82" t="str">
            <v>-</v>
          </cell>
          <cell r="AU82" t="str">
            <v>-</v>
          </cell>
          <cell r="AV82" t="str">
            <v>-</v>
          </cell>
          <cell r="AW82" t="str">
            <v>-</v>
          </cell>
          <cell r="AX82" t="str">
            <v>-</v>
          </cell>
          <cell r="AY82" t="str">
            <v>-</v>
          </cell>
          <cell r="AZ82" t="str">
            <v>-</v>
          </cell>
          <cell r="BA82" t="str">
            <v>-</v>
          </cell>
          <cell r="BB82" t="str">
            <v>-</v>
          </cell>
          <cell r="BC82" t="str">
            <v>-</v>
          </cell>
          <cell r="BD82" t="str">
            <v>-</v>
          </cell>
          <cell r="BE82" t="str">
            <v>-</v>
          </cell>
          <cell r="BF82" t="str">
            <v>-</v>
          </cell>
          <cell r="BG82" t="str">
            <v>-</v>
          </cell>
          <cell r="BH82" t="str">
            <v>-</v>
          </cell>
          <cell r="BI82" t="str">
            <v>-</v>
          </cell>
          <cell r="BJ82" t="str">
            <v>-</v>
          </cell>
          <cell r="BK82" t="str">
            <v>-</v>
          </cell>
          <cell r="BL82" t="str">
            <v>-</v>
          </cell>
          <cell r="BM82">
            <v>0</v>
          </cell>
          <cell r="BN82">
            <v>0</v>
          </cell>
          <cell r="BO82" t="str">
            <v>-</v>
          </cell>
          <cell r="BP82" t="str">
            <v>-</v>
          </cell>
          <cell r="BQ82" t="e">
            <v>#N/A</v>
          </cell>
          <cell r="BR82" t="e">
            <v>#N/A</v>
          </cell>
          <cell r="BS82" t="e">
            <v>#N/A</v>
          </cell>
          <cell r="BT82" t="e">
            <v>#N/A</v>
          </cell>
        </row>
        <row r="83">
          <cell r="A83" t="str">
            <v>Costa Rica2017100 / 100</v>
          </cell>
          <cell r="B83" t="str">
            <v>Costa Rica</v>
          </cell>
          <cell r="C83">
            <v>2017</v>
          </cell>
          <cell r="D83" t="str">
            <v>100 / 100</v>
          </cell>
          <cell r="E83" t="e">
            <v>#N/A</v>
          </cell>
          <cell r="F83" t="e">
            <v>#N/A</v>
          </cell>
          <cell r="G83" t="e">
            <v>#N/A</v>
          </cell>
          <cell r="H83" t="e">
            <v>#N/A</v>
          </cell>
          <cell r="I83" t="e">
            <v>#N/A</v>
          </cell>
          <cell r="J83" t="e">
            <v>#N/A</v>
          </cell>
          <cell r="K83" t="e">
            <v>#N/A</v>
          </cell>
          <cell r="L83" t="e">
            <v>#N/A</v>
          </cell>
          <cell r="M83" t="str">
            <v>..</v>
          </cell>
          <cell r="N83" t="str">
            <v>..</v>
          </cell>
          <cell r="O83" t="str">
            <v>..</v>
          </cell>
          <cell r="P83" t="str">
            <v>..</v>
          </cell>
          <cell r="Q83" t="str">
            <v>..</v>
          </cell>
          <cell r="R83" t="str">
            <v>..</v>
          </cell>
          <cell r="S83" t="str">
            <v>..</v>
          </cell>
          <cell r="T83" t="str">
            <v>..</v>
          </cell>
          <cell r="U83" t="str">
            <v>..</v>
          </cell>
          <cell r="V83">
            <v>0</v>
          </cell>
          <cell r="W83">
            <v>0</v>
          </cell>
          <cell r="X83">
            <v>0</v>
          </cell>
          <cell r="Y83" t="str">
            <v>-</v>
          </cell>
          <cell r="Z83" t="str">
            <v>No statutory entitlement</v>
          </cell>
          <cell r="AA83" t="str">
            <v>-</v>
          </cell>
          <cell r="AB83" t="str">
            <v>-</v>
          </cell>
          <cell r="AC83" t="str">
            <v>-</v>
          </cell>
          <cell r="AD83" t="str">
            <v>-</v>
          </cell>
          <cell r="AE83" t="str">
            <v>-</v>
          </cell>
          <cell r="AF83" t="str">
            <v>-</v>
          </cell>
          <cell r="AG83" t="str">
            <v>-</v>
          </cell>
          <cell r="AH83" t="str">
            <v>-</v>
          </cell>
          <cell r="AI83" t="str">
            <v>-</v>
          </cell>
          <cell r="AJ83" t="str">
            <v>-</v>
          </cell>
          <cell r="AK83" t="str">
            <v>-</v>
          </cell>
          <cell r="AL83" t="str">
            <v>-</v>
          </cell>
          <cell r="AM83" t="str">
            <v>-</v>
          </cell>
          <cell r="AN83" t="str">
            <v>-</v>
          </cell>
          <cell r="AO83" t="str">
            <v>-</v>
          </cell>
          <cell r="AP83" t="str">
            <v>-</v>
          </cell>
          <cell r="AQ83" t="str">
            <v>-</v>
          </cell>
          <cell r="AR83" t="str">
            <v>-</v>
          </cell>
          <cell r="AS83" t="str">
            <v>-</v>
          </cell>
          <cell r="AT83" t="str">
            <v>-</v>
          </cell>
          <cell r="AU83" t="str">
            <v>-</v>
          </cell>
          <cell r="AV83" t="str">
            <v>-</v>
          </cell>
          <cell r="AW83" t="str">
            <v>-</v>
          </cell>
          <cell r="AX83" t="str">
            <v>-</v>
          </cell>
          <cell r="AY83" t="str">
            <v>-</v>
          </cell>
          <cell r="AZ83" t="str">
            <v>-</v>
          </cell>
          <cell r="BA83" t="str">
            <v>-</v>
          </cell>
          <cell r="BB83" t="str">
            <v>-</v>
          </cell>
          <cell r="BC83" t="str">
            <v>-</v>
          </cell>
          <cell r="BD83" t="str">
            <v>-</v>
          </cell>
          <cell r="BE83" t="str">
            <v>-</v>
          </cell>
          <cell r="BF83" t="str">
            <v>-</v>
          </cell>
          <cell r="BG83" t="str">
            <v>-</v>
          </cell>
          <cell r="BH83" t="str">
            <v>-</v>
          </cell>
          <cell r="BI83" t="str">
            <v>-</v>
          </cell>
          <cell r="BJ83" t="str">
            <v>-</v>
          </cell>
          <cell r="BK83" t="str">
            <v>-</v>
          </cell>
          <cell r="BL83" t="str">
            <v>-</v>
          </cell>
          <cell r="BM83">
            <v>0</v>
          </cell>
          <cell r="BN83">
            <v>0</v>
          </cell>
          <cell r="BO83" t="str">
            <v>-</v>
          </cell>
          <cell r="BP83" t="str">
            <v>-</v>
          </cell>
          <cell r="BQ83" t="e">
            <v>#N/A</v>
          </cell>
          <cell r="BR83" t="e">
            <v>#N/A</v>
          </cell>
          <cell r="BS83" t="e">
            <v>#N/A</v>
          </cell>
          <cell r="BT83" t="e">
            <v>#N/A</v>
          </cell>
        </row>
        <row r="84">
          <cell r="A84" t="str">
            <v>Costa Rica2018100 / 100</v>
          </cell>
          <cell r="B84" t="str">
            <v>Costa Rica</v>
          </cell>
          <cell r="C84">
            <v>2018</v>
          </cell>
          <cell r="D84" t="str">
            <v>100 / 100</v>
          </cell>
          <cell r="E84" t="e">
            <v>#N/A</v>
          </cell>
          <cell r="F84" t="e">
            <v>#N/A</v>
          </cell>
          <cell r="G84" t="e">
            <v>#N/A</v>
          </cell>
          <cell r="H84" t="e">
            <v>#N/A</v>
          </cell>
          <cell r="I84" t="e">
            <v>#N/A</v>
          </cell>
          <cell r="J84" t="e">
            <v>#N/A</v>
          </cell>
          <cell r="K84" t="e">
            <v>#N/A</v>
          </cell>
          <cell r="L84" t="e">
            <v>#N/A</v>
          </cell>
          <cell r="M84" t="str">
            <v>..</v>
          </cell>
          <cell r="N84" t="str">
            <v>..</v>
          </cell>
          <cell r="O84" t="str">
            <v>..</v>
          </cell>
          <cell r="P84" t="str">
            <v>..</v>
          </cell>
          <cell r="Q84" t="str">
            <v>..</v>
          </cell>
          <cell r="R84" t="str">
            <v>..</v>
          </cell>
          <cell r="S84" t="str">
            <v>..</v>
          </cell>
          <cell r="T84" t="str">
            <v>..</v>
          </cell>
          <cell r="U84" t="str">
            <v>..</v>
          </cell>
          <cell r="V84">
            <v>0</v>
          </cell>
          <cell r="W84">
            <v>0</v>
          </cell>
          <cell r="X84">
            <v>0</v>
          </cell>
          <cell r="Y84" t="str">
            <v>-</v>
          </cell>
          <cell r="Z84" t="str">
            <v>No statutory entitlement</v>
          </cell>
          <cell r="AA84" t="str">
            <v>-</v>
          </cell>
          <cell r="AB84" t="str">
            <v>-</v>
          </cell>
          <cell r="AC84" t="str">
            <v>-</v>
          </cell>
          <cell r="AD84" t="str">
            <v>-</v>
          </cell>
          <cell r="AE84" t="str">
            <v>-</v>
          </cell>
          <cell r="AF84" t="str">
            <v>-</v>
          </cell>
          <cell r="AG84" t="str">
            <v>-</v>
          </cell>
          <cell r="AH84" t="str">
            <v>-</v>
          </cell>
          <cell r="AI84" t="str">
            <v>-</v>
          </cell>
          <cell r="AJ84" t="str">
            <v>-</v>
          </cell>
          <cell r="AK84" t="str">
            <v>-</v>
          </cell>
          <cell r="AL84" t="str">
            <v>-</v>
          </cell>
          <cell r="AM84" t="str">
            <v>-</v>
          </cell>
          <cell r="AN84" t="str">
            <v>-</v>
          </cell>
          <cell r="AO84" t="str">
            <v>-</v>
          </cell>
          <cell r="AP84" t="str">
            <v>-</v>
          </cell>
          <cell r="AQ84" t="str">
            <v>-</v>
          </cell>
          <cell r="AR84" t="str">
            <v>-</v>
          </cell>
          <cell r="AS84" t="str">
            <v>-</v>
          </cell>
          <cell r="AT84" t="str">
            <v>-</v>
          </cell>
          <cell r="AU84" t="str">
            <v>-</v>
          </cell>
          <cell r="AV84" t="str">
            <v>-</v>
          </cell>
          <cell r="AW84" t="str">
            <v>-</v>
          </cell>
          <cell r="AX84" t="str">
            <v>-</v>
          </cell>
          <cell r="AY84" t="str">
            <v>-</v>
          </cell>
          <cell r="AZ84" t="str">
            <v>-</v>
          </cell>
          <cell r="BA84" t="str">
            <v>-</v>
          </cell>
          <cell r="BB84" t="str">
            <v>-</v>
          </cell>
          <cell r="BC84" t="str">
            <v>-</v>
          </cell>
          <cell r="BD84" t="str">
            <v>-</v>
          </cell>
          <cell r="BE84" t="str">
            <v>-</v>
          </cell>
          <cell r="BF84" t="str">
            <v>-</v>
          </cell>
          <cell r="BG84" t="str">
            <v>-</v>
          </cell>
          <cell r="BH84" t="str">
            <v>-</v>
          </cell>
          <cell r="BI84" t="str">
            <v>-</v>
          </cell>
          <cell r="BJ84" t="str">
            <v>-</v>
          </cell>
          <cell r="BK84" t="str">
            <v>-</v>
          </cell>
          <cell r="BL84" t="str">
            <v>-</v>
          </cell>
          <cell r="BM84">
            <v>0</v>
          </cell>
          <cell r="BN84">
            <v>0</v>
          </cell>
          <cell r="BO84" t="str">
            <v>-</v>
          </cell>
          <cell r="BP84" t="str">
            <v>-</v>
          </cell>
          <cell r="BQ84" t="e">
            <v>#N/A</v>
          </cell>
          <cell r="BR84" t="e">
            <v>#N/A</v>
          </cell>
          <cell r="BS84" t="e">
            <v>#N/A</v>
          </cell>
          <cell r="BT84" t="e">
            <v>#N/A</v>
          </cell>
        </row>
        <row r="85">
          <cell r="A85" t="str">
            <v>Costa Rica2019100 / 100</v>
          </cell>
          <cell r="B85" t="str">
            <v>Costa Rica</v>
          </cell>
          <cell r="C85">
            <v>2019</v>
          </cell>
          <cell r="D85" t="str">
            <v>100 / 100</v>
          </cell>
          <cell r="E85" t="e">
            <v>#N/A</v>
          </cell>
          <cell r="F85" t="e">
            <v>#N/A</v>
          </cell>
          <cell r="G85" t="e">
            <v>#N/A</v>
          </cell>
          <cell r="H85" t="e">
            <v>#N/A</v>
          </cell>
          <cell r="I85" t="e">
            <v>#N/A</v>
          </cell>
          <cell r="J85" t="e">
            <v>#N/A</v>
          </cell>
          <cell r="K85" t="e">
            <v>#N/A</v>
          </cell>
          <cell r="L85" t="e">
            <v>#N/A</v>
          </cell>
          <cell r="M85" t="str">
            <v>..</v>
          </cell>
          <cell r="N85" t="str">
            <v>..</v>
          </cell>
          <cell r="O85" t="str">
            <v>..</v>
          </cell>
          <cell r="P85" t="str">
            <v>..</v>
          </cell>
          <cell r="Q85" t="str">
            <v>..</v>
          </cell>
          <cell r="R85" t="str">
            <v>..</v>
          </cell>
          <cell r="S85" t="str">
            <v>..</v>
          </cell>
          <cell r="T85" t="str">
            <v>..</v>
          </cell>
          <cell r="U85" t="str">
            <v>..</v>
          </cell>
          <cell r="V85">
            <v>0</v>
          </cell>
          <cell r="W85">
            <v>0</v>
          </cell>
          <cell r="X85">
            <v>0</v>
          </cell>
          <cell r="Y85" t="str">
            <v>-</v>
          </cell>
          <cell r="Z85" t="str">
            <v>No statutory entitlement</v>
          </cell>
          <cell r="AA85" t="str">
            <v>-</v>
          </cell>
          <cell r="AB85" t="str">
            <v>-</v>
          </cell>
          <cell r="AC85" t="str">
            <v>-</v>
          </cell>
          <cell r="AD85" t="str">
            <v>-</v>
          </cell>
          <cell r="AE85" t="str">
            <v>-</v>
          </cell>
          <cell r="AF85" t="str">
            <v>-</v>
          </cell>
          <cell r="AG85" t="str">
            <v>-</v>
          </cell>
          <cell r="AH85" t="str">
            <v>-</v>
          </cell>
          <cell r="AI85" t="str">
            <v>-</v>
          </cell>
          <cell r="AJ85" t="str">
            <v>-</v>
          </cell>
          <cell r="AK85" t="str">
            <v>-</v>
          </cell>
          <cell r="AL85" t="str">
            <v>-</v>
          </cell>
          <cell r="AM85" t="str">
            <v>-</v>
          </cell>
          <cell r="AN85" t="str">
            <v>-</v>
          </cell>
          <cell r="AO85" t="str">
            <v>-</v>
          </cell>
          <cell r="AP85" t="str">
            <v>-</v>
          </cell>
          <cell r="AQ85" t="str">
            <v>-</v>
          </cell>
          <cell r="AR85" t="str">
            <v>-</v>
          </cell>
          <cell r="AS85" t="str">
            <v>-</v>
          </cell>
          <cell r="AT85" t="str">
            <v>-</v>
          </cell>
          <cell r="AU85" t="str">
            <v>-</v>
          </cell>
          <cell r="AV85" t="str">
            <v>-</v>
          </cell>
          <cell r="AW85" t="str">
            <v>-</v>
          </cell>
          <cell r="AX85" t="str">
            <v>-</v>
          </cell>
          <cell r="AY85" t="str">
            <v>-</v>
          </cell>
          <cell r="AZ85" t="str">
            <v>-</v>
          </cell>
          <cell r="BA85" t="str">
            <v>-</v>
          </cell>
          <cell r="BB85" t="str">
            <v>-</v>
          </cell>
          <cell r="BC85" t="str">
            <v>-</v>
          </cell>
          <cell r="BD85" t="str">
            <v>-</v>
          </cell>
          <cell r="BE85" t="str">
            <v>-</v>
          </cell>
          <cell r="BF85" t="str">
            <v>-</v>
          </cell>
          <cell r="BG85" t="str">
            <v>-</v>
          </cell>
          <cell r="BH85" t="str">
            <v>-</v>
          </cell>
          <cell r="BI85" t="str">
            <v>-</v>
          </cell>
          <cell r="BJ85" t="str">
            <v>-</v>
          </cell>
          <cell r="BK85" t="str">
            <v>-</v>
          </cell>
          <cell r="BL85" t="str">
            <v>-</v>
          </cell>
          <cell r="BM85">
            <v>0</v>
          </cell>
          <cell r="BN85">
            <v>0</v>
          </cell>
          <cell r="BO85" t="str">
            <v>-</v>
          </cell>
          <cell r="BP85" t="str">
            <v>-</v>
          </cell>
          <cell r="BQ85" t="e">
            <v>#N/A</v>
          </cell>
          <cell r="BR85" t="e">
            <v>#N/A</v>
          </cell>
          <cell r="BS85" t="e">
            <v>#N/A</v>
          </cell>
          <cell r="BT85" t="e">
            <v>#N/A</v>
          </cell>
        </row>
        <row r="86">
          <cell r="A86" t="str">
            <v>Costa Rica2020100 / 100</v>
          </cell>
          <cell r="B86" t="str">
            <v>Costa Rica</v>
          </cell>
          <cell r="C86">
            <v>2020</v>
          </cell>
          <cell r="D86" t="str">
            <v>100 / 100</v>
          </cell>
          <cell r="E86" t="e">
            <v>#N/A</v>
          </cell>
          <cell r="F86" t="e">
            <v>#N/A</v>
          </cell>
          <cell r="G86" t="e">
            <v>#N/A</v>
          </cell>
          <cell r="H86" t="e">
            <v>#N/A</v>
          </cell>
          <cell r="I86" t="e">
            <v>#N/A</v>
          </cell>
          <cell r="J86" t="e">
            <v>#N/A</v>
          </cell>
          <cell r="K86" t="e">
            <v>#N/A</v>
          </cell>
          <cell r="L86" t="e">
            <v>#N/A</v>
          </cell>
          <cell r="M86" t="str">
            <v>..</v>
          </cell>
          <cell r="N86" t="str">
            <v>..</v>
          </cell>
          <cell r="O86" t="str">
            <v>..</v>
          </cell>
          <cell r="P86" t="str">
            <v>..</v>
          </cell>
          <cell r="Q86" t="str">
            <v>..</v>
          </cell>
          <cell r="R86" t="str">
            <v>..</v>
          </cell>
          <cell r="S86" t="str">
            <v>..</v>
          </cell>
          <cell r="T86" t="str">
            <v>..</v>
          </cell>
          <cell r="U86" t="str">
            <v>..</v>
          </cell>
          <cell r="V86">
            <v>0</v>
          </cell>
          <cell r="W86">
            <v>0</v>
          </cell>
          <cell r="X86">
            <v>0</v>
          </cell>
          <cell r="Y86" t="str">
            <v>-</v>
          </cell>
          <cell r="Z86" t="str">
            <v>No statutory entitlement</v>
          </cell>
          <cell r="AA86" t="str">
            <v>-</v>
          </cell>
          <cell r="AB86" t="str">
            <v>-</v>
          </cell>
          <cell r="AC86" t="str">
            <v>-</v>
          </cell>
          <cell r="AD86" t="str">
            <v>-</v>
          </cell>
          <cell r="AE86" t="str">
            <v>-</v>
          </cell>
          <cell r="AF86" t="str">
            <v>-</v>
          </cell>
          <cell r="AG86" t="str">
            <v>-</v>
          </cell>
          <cell r="AH86" t="str">
            <v>-</v>
          </cell>
          <cell r="AI86" t="str">
            <v>-</v>
          </cell>
          <cell r="AJ86" t="str">
            <v>-</v>
          </cell>
          <cell r="AK86" t="str">
            <v>-</v>
          </cell>
          <cell r="AL86" t="str">
            <v>-</v>
          </cell>
          <cell r="AM86" t="str">
            <v>-</v>
          </cell>
          <cell r="AN86" t="str">
            <v>-</v>
          </cell>
          <cell r="AO86" t="str">
            <v>-</v>
          </cell>
          <cell r="AP86" t="str">
            <v>-</v>
          </cell>
          <cell r="AQ86" t="str">
            <v>-</v>
          </cell>
          <cell r="AR86" t="str">
            <v>-</v>
          </cell>
          <cell r="AS86" t="str">
            <v>-</v>
          </cell>
          <cell r="AT86" t="str">
            <v>-</v>
          </cell>
          <cell r="AU86" t="str">
            <v>-</v>
          </cell>
          <cell r="AV86" t="str">
            <v>-</v>
          </cell>
          <cell r="AW86" t="str">
            <v>-</v>
          </cell>
          <cell r="AX86" t="str">
            <v>-</v>
          </cell>
          <cell r="AY86" t="str">
            <v>-</v>
          </cell>
          <cell r="AZ86" t="str">
            <v>-</v>
          </cell>
          <cell r="BA86" t="str">
            <v>-</v>
          </cell>
          <cell r="BB86" t="str">
            <v>-</v>
          </cell>
          <cell r="BC86" t="str">
            <v>-</v>
          </cell>
          <cell r="BD86" t="str">
            <v>-</v>
          </cell>
          <cell r="BE86" t="str">
            <v>-</v>
          </cell>
          <cell r="BF86" t="str">
            <v>-</v>
          </cell>
          <cell r="BG86" t="str">
            <v>-</v>
          </cell>
          <cell r="BH86" t="str">
            <v>-</v>
          </cell>
          <cell r="BI86" t="str">
            <v>-</v>
          </cell>
          <cell r="BJ86" t="str">
            <v>-</v>
          </cell>
          <cell r="BK86" t="str">
            <v>-</v>
          </cell>
          <cell r="BL86" t="str">
            <v>-</v>
          </cell>
          <cell r="BM86">
            <v>0</v>
          </cell>
          <cell r="BN86">
            <v>0</v>
          </cell>
          <cell r="BO86" t="str">
            <v>-</v>
          </cell>
          <cell r="BP86" t="str">
            <v>-</v>
          </cell>
          <cell r="BQ86" t="e">
            <v>#N/A</v>
          </cell>
          <cell r="BR86" t="e">
            <v>#N/A</v>
          </cell>
          <cell r="BS86" t="e">
            <v>#N/A</v>
          </cell>
          <cell r="BT86" t="e">
            <v>#N/A</v>
          </cell>
        </row>
        <row r="87">
          <cell r="A87" t="str">
            <v>Costa Rica2021100 / 100</v>
          </cell>
          <cell r="B87" t="str">
            <v>Costa Rica</v>
          </cell>
          <cell r="C87">
            <v>2021</v>
          </cell>
          <cell r="D87" t="str">
            <v>100 / 100</v>
          </cell>
          <cell r="E87" t="e">
            <v>#N/A</v>
          </cell>
          <cell r="F87" t="e">
            <v>#N/A</v>
          </cell>
          <cell r="G87" t="e">
            <v>#N/A</v>
          </cell>
          <cell r="H87" t="e">
            <v>#N/A</v>
          </cell>
          <cell r="I87" t="e">
            <v>#N/A</v>
          </cell>
          <cell r="J87" t="e">
            <v>#N/A</v>
          </cell>
          <cell r="K87" t="e">
            <v>#N/A</v>
          </cell>
          <cell r="L87" t="e">
            <v>#N/A</v>
          </cell>
          <cell r="M87" t="str">
            <v>..</v>
          </cell>
          <cell r="N87" t="str">
            <v>..</v>
          </cell>
          <cell r="O87" t="str">
            <v>..</v>
          </cell>
          <cell r="P87" t="str">
            <v>..</v>
          </cell>
          <cell r="Q87" t="str">
            <v>..</v>
          </cell>
          <cell r="R87" t="str">
            <v>..</v>
          </cell>
          <cell r="S87" t="str">
            <v>..</v>
          </cell>
          <cell r="T87" t="str">
            <v>..</v>
          </cell>
          <cell r="U87" t="str">
            <v>..</v>
          </cell>
          <cell r="V87">
            <v>0</v>
          </cell>
          <cell r="W87">
            <v>0</v>
          </cell>
          <cell r="X87">
            <v>0</v>
          </cell>
          <cell r="Y87" t="str">
            <v>-</v>
          </cell>
          <cell r="Z87" t="str">
            <v>No statutory entitlement</v>
          </cell>
          <cell r="AA87" t="str">
            <v>-</v>
          </cell>
          <cell r="AB87" t="str">
            <v>-</v>
          </cell>
          <cell r="AC87" t="str">
            <v>-</v>
          </cell>
          <cell r="AD87" t="str">
            <v>-</v>
          </cell>
          <cell r="AE87" t="str">
            <v>-</v>
          </cell>
          <cell r="AF87" t="str">
            <v>-</v>
          </cell>
          <cell r="AG87" t="str">
            <v>-</v>
          </cell>
          <cell r="AH87" t="str">
            <v>-</v>
          </cell>
          <cell r="AI87" t="str">
            <v>-</v>
          </cell>
          <cell r="AJ87" t="str">
            <v>-</v>
          </cell>
          <cell r="AK87" t="str">
            <v>-</v>
          </cell>
          <cell r="AL87" t="str">
            <v>-</v>
          </cell>
          <cell r="AM87" t="str">
            <v>-</v>
          </cell>
          <cell r="AN87" t="str">
            <v>-</v>
          </cell>
          <cell r="AO87" t="str">
            <v>-</v>
          </cell>
          <cell r="AP87" t="str">
            <v>-</v>
          </cell>
          <cell r="AQ87" t="str">
            <v>-</v>
          </cell>
          <cell r="AR87" t="str">
            <v>-</v>
          </cell>
          <cell r="AS87" t="str">
            <v>-</v>
          </cell>
          <cell r="AT87" t="str">
            <v>-</v>
          </cell>
          <cell r="AU87" t="str">
            <v>-</v>
          </cell>
          <cell r="AV87" t="str">
            <v>-</v>
          </cell>
          <cell r="AW87" t="str">
            <v>-</v>
          </cell>
          <cell r="AX87" t="str">
            <v>-</v>
          </cell>
          <cell r="AY87" t="str">
            <v>-</v>
          </cell>
          <cell r="AZ87" t="str">
            <v>-</v>
          </cell>
          <cell r="BA87" t="str">
            <v>-</v>
          </cell>
          <cell r="BB87" t="str">
            <v>-</v>
          </cell>
          <cell r="BC87" t="str">
            <v>-</v>
          </cell>
          <cell r="BD87" t="str">
            <v>-</v>
          </cell>
          <cell r="BE87" t="str">
            <v>-</v>
          </cell>
          <cell r="BF87" t="str">
            <v>-</v>
          </cell>
          <cell r="BG87" t="str">
            <v>-</v>
          </cell>
          <cell r="BH87" t="str">
            <v>-</v>
          </cell>
          <cell r="BI87" t="str">
            <v>-</v>
          </cell>
          <cell r="BJ87" t="str">
            <v>-</v>
          </cell>
          <cell r="BK87" t="str">
            <v>-</v>
          </cell>
          <cell r="BL87" t="str">
            <v>-</v>
          </cell>
          <cell r="BM87">
            <v>0</v>
          </cell>
          <cell r="BN87">
            <v>0</v>
          </cell>
          <cell r="BO87" t="str">
            <v>-</v>
          </cell>
          <cell r="BP87" t="str">
            <v>-</v>
          </cell>
          <cell r="BQ87" t="e">
            <v>#N/A</v>
          </cell>
          <cell r="BR87" t="e">
            <v>#N/A</v>
          </cell>
          <cell r="BS87" t="e">
            <v>#N/A</v>
          </cell>
          <cell r="BT87" t="e">
            <v>#N/A</v>
          </cell>
        </row>
        <row r="88">
          <cell r="A88" t="str">
            <v>Costa Rica2022100 / 100</v>
          </cell>
          <cell r="B88" t="str">
            <v>Costa Rica</v>
          </cell>
          <cell r="C88">
            <v>2022</v>
          </cell>
          <cell r="D88" t="str">
            <v>100 / 100</v>
          </cell>
          <cell r="E88" t="e">
            <v>#N/A</v>
          </cell>
          <cell r="F88" t="e">
            <v>#N/A</v>
          </cell>
          <cell r="G88" t="e">
            <v>#N/A</v>
          </cell>
          <cell r="H88" t="e">
            <v>#N/A</v>
          </cell>
          <cell r="I88" t="e">
            <v>#N/A</v>
          </cell>
          <cell r="J88" t="e">
            <v>#N/A</v>
          </cell>
          <cell r="K88" t="e">
            <v>#N/A</v>
          </cell>
          <cell r="L88" t="e">
            <v>#N/A</v>
          </cell>
          <cell r="M88" t="str">
            <v>..</v>
          </cell>
          <cell r="N88" t="str">
            <v>..</v>
          </cell>
          <cell r="O88" t="str">
            <v>..</v>
          </cell>
          <cell r="P88" t="str">
            <v>..</v>
          </cell>
          <cell r="Q88" t="str">
            <v>..</v>
          </cell>
          <cell r="R88" t="str">
            <v>..</v>
          </cell>
          <cell r="S88" t="str">
            <v>..</v>
          </cell>
          <cell r="T88" t="str">
            <v>..</v>
          </cell>
          <cell r="U88" t="str">
            <v>..</v>
          </cell>
          <cell r="V88">
            <v>0</v>
          </cell>
          <cell r="W88">
            <v>0</v>
          </cell>
          <cell r="X88">
            <v>0</v>
          </cell>
          <cell r="Y88" t="str">
            <v>-</v>
          </cell>
          <cell r="Z88" t="str">
            <v>No statutory entitlement</v>
          </cell>
          <cell r="AA88" t="str">
            <v>-</v>
          </cell>
          <cell r="AB88" t="str">
            <v>-</v>
          </cell>
          <cell r="AC88" t="str">
            <v>-</v>
          </cell>
          <cell r="AD88" t="str">
            <v>-</v>
          </cell>
          <cell r="AE88" t="str">
            <v>-</v>
          </cell>
          <cell r="AF88" t="str">
            <v>-</v>
          </cell>
          <cell r="AG88" t="str">
            <v>-</v>
          </cell>
          <cell r="AH88" t="str">
            <v>-</v>
          </cell>
          <cell r="AI88" t="str">
            <v>-</v>
          </cell>
          <cell r="AJ88" t="str">
            <v>-</v>
          </cell>
          <cell r="AK88" t="str">
            <v>-</v>
          </cell>
          <cell r="AL88" t="str">
            <v>-</v>
          </cell>
          <cell r="AM88" t="str">
            <v>-</v>
          </cell>
          <cell r="AN88" t="str">
            <v>-</v>
          </cell>
          <cell r="AO88" t="str">
            <v>-</v>
          </cell>
          <cell r="AP88" t="str">
            <v>-</v>
          </cell>
          <cell r="AQ88" t="str">
            <v>-</v>
          </cell>
          <cell r="AR88" t="str">
            <v>-</v>
          </cell>
          <cell r="AS88" t="str">
            <v>-</v>
          </cell>
          <cell r="AT88" t="str">
            <v>-</v>
          </cell>
          <cell r="AU88" t="str">
            <v>-</v>
          </cell>
          <cell r="AV88" t="str">
            <v>-</v>
          </cell>
          <cell r="AW88" t="str">
            <v>-</v>
          </cell>
          <cell r="AX88" t="str">
            <v>-</v>
          </cell>
          <cell r="AY88" t="str">
            <v>-</v>
          </cell>
          <cell r="AZ88" t="str">
            <v>-</v>
          </cell>
          <cell r="BA88" t="str">
            <v>-</v>
          </cell>
          <cell r="BB88" t="str">
            <v>-</v>
          </cell>
          <cell r="BC88" t="str">
            <v>-</v>
          </cell>
          <cell r="BD88" t="str">
            <v>-</v>
          </cell>
          <cell r="BE88" t="str">
            <v>-</v>
          </cell>
          <cell r="BF88" t="str">
            <v>-</v>
          </cell>
          <cell r="BG88" t="str">
            <v>-</v>
          </cell>
          <cell r="BH88" t="str">
            <v>-</v>
          </cell>
          <cell r="BI88" t="str">
            <v>-</v>
          </cell>
          <cell r="BJ88" t="str">
            <v>-</v>
          </cell>
          <cell r="BK88" t="str">
            <v>-</v>
          </cell>
          <cell r="BL88" t="str">
            <v>-</v>
          </cell>
          <cell r="BM88">
            <v>0</v>
          </cell>
          <cell r="BN88">
            <v>0</v>
          </cell>
          <cell r="BO88" t="str">
            <v>-</v>
          </cell>
          <cell r="BP88" t="str">
            <v>-</v>
          </cell>
          <cell r="BQ88" t="e">
            <v>#N/A</v>
          </cell>
          <cell r="BR88" t="e">
            <v>#N/A</v>
          </cell>
          <cell r="BS88" t="e">
            <v>#N/A</v>
          </cell>
          <cell r="BT88" t="e">
            <v>#N/A</v>
          </cell>
        </row>
        <row r="89">
          <cell r="A89" t="str">
            <v>Costa Rica2023100 / 100</v>
          </cell>
          <cell r="B89" t="str">
            <v>Costa Rica</v>
          </cell>
          <cell r="C89">
            <v>2023</v>
          </cell>
          <cell r="D89" t="str">
            <v>100 / 100</v>
          </cell>
          <cell r="E89" t="e">
            <v>#N/A</v>
          </cell>
          <cell r="F89" t="e">
            <v>#N/A</v>
          </cell>
          <cell r="G89" t="e">
            <v>#N/A</v>
          </cell>
          <cell r="H89" t="e">
            <v>#N/A</v>
          </cell>
          <cell r="I89" t="e">
            <v>#N/A</v>
          </cell>
          <cell r="J89" t="e">
            <v>#N/A</v>
          </cell>
          <cell r="K89" t="e">
            <v>#N/A</v>
          </cell>
          <cell r="L89" t="e">
            <v>#N/A</v>
          </cell>
          <cell r="M89" t="str">
            <v>..</v>
          </cell>
          <cell r="N89" t="str">
            <v>..</v>
          </cell>
          <cell r="O89" t="str">
            <v>..</v>
          </cell>
          <cell r="P89" t="str">
            <v>..</v>
          </cell>
          <cell r="Q89" t="str">
            <v>..</v>
          </cell>
          <cell r="R89" t="str">
            <v>..</v>
          </cell>
          <cell r="S89" t="str">
            <v>..</v>
          </cell>
          <cell r="T89" t="str">
            <v>..</v>
          </cell>
          <cell r="U89" t="str">
            <v>..</v>
          </cell>
          <cell r="V89">
            <v>0</v>
          </cell>
          <cell r="W89">
            <v>0</v>
          </cell>
          <cell r="X89">
            <v>0</v>
          </cell>
          <cell r="Y89" t="str">
            <v>-</v>
          </cell>
          <cell r="Z89" t="str">
            <v>No statutory entitlement</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J89" t="str">
            <v>-</v>
          </cell>
          <cell r="BK89" t="str">
            <v>-</v>
          </cell>
          <cell r="BL89" t="str">
            <v>-</v>
          </cell>
          <cell r="BM89">
            <v>0</v>
          </cell>
          <cell r="BN89">
            <v>0</v>
          </cell>
          <cell r="BO89" t="str">
            <v>-</v>
          </cell>
          <cell r="BP89" t="str">
            <v>-</v>
          </cell>
          <cell r="BQ89" t="e">
            <v>#N/A</v>
          </cell>
          <cell r="BR89" t="e">
            <v>#N/A</v>
          </cell>
          <cell r="BS89" t="e">
            <v>#N/A</v>
          </cell>
          <cell r="BT89" t="e">
            <v>#N/A</v>
          </cell>
        </row>
        <row r="90">
          <cell r="A90" t="str">
            <v>Costa Rica2024100 / 100</v>
          </cell>
          <cell r="B90" t="str">
            <v>Costa Rica</v>
          </cell>
          <cell r="C90">
            <v>2024</v>
          </cell>
          <cell r="D90" t="str">
            <v>100 / 100</v>
          </cell>
          <cell r="E90" t="e">
            <v>#N/A</v>
          </cell>
          <cell r="F90" t="e">
            <v>#N/A</v>
          </cell>
          <cell r="G90" t="e">
            <v>#N/A</v>
          </cell>
          <cell r="H90" t="e">
            <v>#N/A</v>
          </cell>
          <cell r="I90" t="e">
            <v>#N/A</v>
          </cell>
          <cell r="J90" t="e">
            <v>#N/A</v>
          </cell>
          <cell r="K90" t="e">
            <v>#N/A</v>
          </cell>
          <cell r="L90" t="e">
            <v>#N/A</v>
          </cell>
          <cell r="M90" t="str">
            <v>..</v>
          </cell>
          <cell r="N90" t="str">
            <v>..</v>
          </cell>
          <cell r="O90" t="str">
            <v>..</v>
          </cell>
          <cell r="P90" t="str">
            <v>..</v>
          </cell>
          <cell r="Q90" t="str">
            <v>..</v>
          </cell>
          <cell r="R90" t="str">
            <v>..</v>
          </cell>
          <cell r="S90" t="str">
            <v>..</v>
          </cell>
          <cell r="T90" t="str">
            <v>..</v>
          </cell>
          <cell r="U90" t="str">
            <v>..</v>
          </cell>
          <cell r="V90">
            <v>0</v>
          </cell>
          <cell r="W90">
            <v>0</v>
          </cell>
          <cell r="X90">
            <v>0</v>
          </cell>
          <cell r="Y90" t="str">
            <v>-</v>
          </cell>
          <cell r="Z90" t="str">
            <v>No statutory entitlement</v>
          </cell>
          <cell r="AA90" t="str">
            <v>-</v>
          </cell>
          <cell r="AB90" t="str">
            <v>-</v>
          </cell>
          <cell r="AC90" t="str">
            <v>-</v>
          </cell>
          <cell r="AD90" t="str">
            <v>-</v>
          </cell>
          <cell r="AE90" t="str">
            <v>-</v>
          </cell>
          <cell r="AF90" t="str">
            <v>-</v>
          </cell>
          <cell r="AG90" t="str">
            <v>-</v>
          </cell>
          <cell r="AH90" t="str">
            <v>-</v>
          </cell>
          <cell r="AI90" t="str">
            <v>-</v>
          </cell>
          <cell r="AJ90" t="str">
            <v>-</v>
          </cell>
          <cell r="AK90" t="str">
            <v>-</v>
          </cell>
          <cell r="AL90" t="str">
            <v>-</v>
          </cell>
          <cell r="AM90" t="str">
            <v>-</v>
          </cell>
          <cell r="AN90" t="str">
            <v>-</v>
          </cell>
          <cell r="AO90" t="str">
            <v>-</v>
          </cell>
          <cell r="AP90" t="str">
            <v>-</v>
          </cell>
          <cell r="AQ90" t="str">
            <v>-</v>
          </cell>
          <cell r="AR90" t="str">
            <v>-</v>
          </cell>
          <cell r="AS90" t="str">
            <v>-</v>
          </cell>
          <cell r="AT90" t="str">
            <v>-</v>
          </cell>
          <cell r="AU90" t="str">
            <v>-</v>
          </cell>
          <cell r="AV90" t="str">
            <v>-</v>
          </cell>
          <cell r="AW90" t="str">
            <v>-</v>
          </cell>
          <cell r="AX90" t="str">
            <v>-</v>
          </cell>
          <cell r="AY90" t="str">
            <v>-</v>
          </cell>
          <cell r="AZ90" t="str">
            <v>-</v>
          </cell>
          <cell r="BA90" t="str">
            <v>-</v>
          </cell>
          <cell r="BB90" t="str">
            <v>-</v>
          </cell>
          <cell r="BC90" t="str">
            <v>-</v>
          </cell>
          <cell r="BD90" t="str">
            <v>-</v>
          </cell>
          <cell r="BE90" t="str">
            <v>-</v>
          </cell>
          <cell r="BF90" t="str">
            <v>-</v>
          </cell>
          <cell r="BG90" t="str">
            <v>-</v>
          </cell>
          <cell r="BH90" t="str">
            <v>-</v>
          </cell>
          <cell r="BI90" t="str">
            <v>-</v>
          </cell>
          <cell r="BJ90" t="str">
            <v>-</v>
          </cell>
          <cell r="BK90" t="str">
            <v>-</v>
          </cell>
          <cell r="BL90" t="str">
            <v>-</v>
          </cell>
          <cell r="BM90">
            <v>0</v>
          </cell>
          <cell r="BN90">
            <v>0</v>
          </cell>
          <cell r="BO90" t="str">
            <v>-</v>
          </cell>
          <cell r="BP90" t="str">
            <v>-</v>
          </cell>
          <cell r="BQ90" t="e">
            <v>#N/A</v>
          </cell>
          <cell r="BR90" t="e">
            <v>#N/A</v>
          </cell>
          <cell r="BS90" t="e">
            <v>#N/A</v>
          </cell>
          <cell r="BT90" t="e">
            <v>#N/A</v>
          </cell>
        </row>
        <row r="91">
          <cell r="A91" t="str">
            <v>Costa Rica2025100 / 100</v>
          </cell>
          <cell r="B91" t="str">
            <v>Costa Rica</v>
          </cell>
          <cell r="C91">
            <v>2025</v>
          </cell>
          <cell r="D91" t="str">
            <v>100 / 100</v>
          </cell>
          <cell r="E91" t="e">
            <v>#N/A</v>
          </cell>
          <cell r="F91" t="e">
            <v>#N/A</v>
          </cell>
          <cell r="G91" t="e">
            <v>#N/A</v>
          </cell>
          <cell r="H91" t="e">
            <v>#N/A</v>
          </cell>
          <cell r="I91" t="e">
            <v>#N/A</v>
          </cell>
          <cell r="J91" t="e">
            <v>#N/A</v>
          </cell>
          <cell r="K91" t="e">
            <v>#N/A</v>
          </cell>
          <cell r="L91" t="e">
            <v>#N/A</v>
          </cell>
          <cell r="M91" t="str">
            <v>..</v>
          </cell>
          <cell r="N91" t="str">
            <v>..</v>
          </cell>
          <cell r="O91" t="str">
            <v>..</v>
          </cell>
          <cell r="P91" t="str">
            <v>..</v>
          </cell>
          <cell r="Q91" t="str">
            <v>..</v>
          </cell>
          <cell r="R91" t="str">
            <v>..</v>
          </cell>
          <cell r="S91" t="str">
            <v>..</v>
          </cell>
          <cell r="T91" t="str">
            <v>..</v>
          </cell>
          <cell r="U91" t="str">
            <v>..</v>
          </cell>
          <cell r="V91">
            <v>0</v>
          </cell>
          <cell r="W91">
            <v>0</v>
          </cell>
          <cell r="X91">
            <v>0</v>
          </cell>
          <cell r="Y91" t="str">
            <v>-</v>
          </cell>
          <cell r="Z91" t="str">
            <v>No statutory entitlement</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J91" t="str">
            <v>-</v>
          </cell>
          <cell r="BK91" t="str">
            <v>-</v>
          </cell>
          <cell r="BL91" t="str">
            <v>-</v>
          </cell>
          <cell r="BM91">
            <v>0</v>
          </cell>
          <cell r="BN91">
            <v>0</v>
          </cell>
          <cell r="BO91" t="str">
            <v>-</v>
          </cell>
          <cell r="BP91" t="str">
            <v>-</v>
          </cell>
          <cell r="BQ91" t="e">
            <v>#N/A</v>
          </cell>
          <cell r="BR91" t="e">
            <v>#N/A</v>
          </cell>
          <cell r="BS91" t="e">
            <v>#N/A</v>
          </cell>
          <cell r="BT91" t="e">
            <v>#N/A</v>
          </cell>
        </row>
        <row r="92">
          <cell r="A92" t="str">
            <v>Czech Republic2014100 / 100</v>
          </cell>
          <cell r="B92" t="str">
            <v>Czech Republic</v>
          </cell>
          <cell r="C92">
            <v>2014</v>
          </cell>
          <cell r="D92" t="str">
            <v>100 / 100</v>
          </cell>
          <cell r="E92">
            <v>311443</v>
          </cell>
          <cell r="F92">
            <v>25953.583333333332</v>
          </cell>
          <cell r="G92">
            <v>5989.3345333425632</v>
          </cell>
          <cell r="H92">
            <v>1197.8669066685127</v>
          </cell>
          <cell r="I92">
            <v>311443</v>
          </cell>
          <cell r="J92">
            <v>25953.583333333332</v>
          </cell>
          <cell r="K92">
            <v>5989.3345333425632</v>
          </cell>
          <cell r="L92">
            <v>1197.8669066685127</v>
          </cell>
          <cell r="M92" t="str">
            <v>..</v>
          </cell>
          <cell r="N92" t="str">
            <v>..</v>
          </cell>
          <cell r="O92" t="str">
            <v>..</v>
          </cell>
          <cell r="P92" t="str">
            <v>..</v>
          </cell>
          <cell r="Q92" t="str">
            <v>..</v>
          </cell>
          <cell r="R92" t="str">
            <v>..</v>
          </cell>
          <cell r="S92" t="str">
            <v>..</v>
          </cell>
          <cell r="T92" t="str">
            <v>..</v>
          </cell>
          <cell r="U92" t="str">
            <v>..</v>
          </cell>
          <cell r="V92">
            <v>156</v>
          </cell>
          <cell r="W92">
            <v>0</v>
          </cell>
          <cell r="X92">
            <v>156</v>
          </cell>
          <cell r="Y92" t="str">
            <v>-</v>
          </cell>
          <cell r="Z92" t="str">
            <v>No entitlement to paid paternity leave</v>
          </cell>
          <cell r="AA92" t="str">
            <v>-</v>
          </cell>
          <cell r="AB92" t="str">
            <v>-</v>
          </cell>
          <cell r="AC92" t="str">
            <v>-</v>
          </cell>
          <cell r="AD92" t="str">
            <v>-</v>
          </cell>
          <cell r="AE92" t="str">
            <v>-</v>
          </cell>
          <cell r="AF92" t="str">
            <v>-</v>
          </cell>
          <cell r="AG92" t="str">
            <v>-</v>
          </cell>
          <cell r="AH92" t="str">
            <v>-</v>
          </cell>
          <cell r="AI92" t="str">
            <v>-</v>
          </cell>
          <cell r="AJ92" t="str">
            <v>-</v>
          </cell>
          <cell r="AK92" t="str">
            <v>-</v>
          </cell>
          <cell r="AL92" t="str">
            <v>-</v>
          </cell>
          <cell r="AM92" t="str">
            <v>-</v>
          </cell>
          <cell r="AN92" t="str">
            <v>-</v>
          </cell>
          <cell r="AO92" t="str">
            <v>-</v>
          </cell>
          <cell r="AP92" t="str">
            <v>-</v>
          </cell>
          <cell r="AQ92" t="str">
            <v>-</v>
          </cell>
          <cell r="AR92" t="str">
            <v>-</v>
          </cell>
          <cell r="AS92" t="str">
            <v>-</v>
          </cell>
          <cell r="AT92" t="str">
            <v>-</v>
          </cell>
          <cell r="AU92" t="str">
            <v>-</v>
          </cell>
          <cell r="AV92" t="str">
            <v>-</v>
          </cell>
          <cell r="AW92" t="str">
            <v>-</v>
          </cell>
          <cell r="AX92" t="str">
            <v>-</v>
          </cell>
          <cell r="AY92" t="str">
            <v>-</v>
          </cell>
          <cell r="AZ92" t="str">
            <v>-</v>
          </cell>
          <cell r="BA92" t="str">
            <v>-</v>
          </cell>
          <cell r="BB92" t="str">
            <v>-</v>
          </cell>
          <cell r="BC92" t="str">
            <v>-</v>
          </cell>
          <cell r="BD92" t="str">
            <v>-</v>
          </cell>
          <cell r="BE92" t="str">
            <v>-</v>
          </cell>
          <cell r="BF92" t="str">
            <v>-</v>
          </cell>
          <cell r="BG92" t="str">
            <v>-</v>
          </cell>
          <cell r="BH92" t="str">
            <v>-</v>
          </cell>
          <cell r="BI92" t="str">
            <v>-</v>
          </cell>
          <cell r="BJ92" t="str">
            <v>-</v>
          </cell>
          <cell r="BK92" t="str">
            <v>-</v>
          </cell>
          <cell r="BL92" t="str">
            <v>-</v>
          </cell>
          <cell r="BM92">
            <v>0</v>
          </cell>
          <cell r="BN92">
            <v>0</v>
          </cell>
          <cell r="BO92" t="str">
            <v>-</v>
          </cell>
          <cell r="BP92" t="str">
            <v>-</v>
          </cell>
          <cell r="BQ92">
            <v>0</v>
          </cell>
          <cell r="BR92">
            <v>0</v>
          </cell>
          <cell r="BS92">
            <v>0</v>
          </cell>
          <cell r="BT92">
            <v>0</v>
          </cell>
        </row>
        <row r="93">
          <cell r="A93" t="str">
            <v>Czech Republic2015100 / 100</v>
          </cell>
          <cell r="B93" t="str">
            <v>Czech Republic</v>
          </cell>
          <cell r="C93">
            <v>2015</v>
          </cell>
          <cell r="D93" t="str">
            <v>100 / 100</v>
          </cell>
          <cell r="E93">
            <v>320960</v>
          </cell>
          <cell r="F93">
            <v>26746.666666666668</v>
          </cell>
          <cell r="G93">
            <v>6172.3551719628613</v>
          </cell>
          <cell r="H93">
            <v>1234.4710343925722</v>
          </cell>
          <cell r="I93">
            <v>320960</v>
          </cell>
          <cell r="J93">
            <v>26746.666666666668</v>
          </cell>
          <cell r="K93">
            <v>6172.3551719628613</v>
          </cell>
          <cell r="L93">
            <v>1234.4710343925722</v>
          </cell>
          <cell r="M93" t="str">
            <v>..</v>
          </cell>
          <cell r="N93" t="str">
            <v>..</v>
          </cell>
          <cell r="O93" t="str">
            <v>..</v>
          </cell>
          <cell r="P93" t="str">
            <v>..</v>
          </cell>
          <cell r="Q93" t="str">
            <v>..</v>
          </cell>
          <cell r="R93" t="str">
            <v>..</v>
          </cell>
          <cell r="S93" t="str">
            <v>..</v>
          </cell>
          <cell r="T93" t="str">
            <v>..</v>
          </cell>
          <cell r="U93" t="str">
            <v>..</v>
          </cell>
          <cell r="V93">
            <v>156</v>
          </cell>
          <cell r="W93">
            <v>0</v>
          </cell>
          <cell r="X93">
            <v>156</v>
          </cell>
          <cell r="Y93" t="str">
            <v>-</v>
          </cell>
          <cell r="Z93" t="str">
            <v>No entitlement to paid paternity leave</v>
          </cell>
          <cell r="AA93" t="str">
            <v>-</v>
          </cell>
          <cell r="AB93" t="str">
            <v>-</v>
          </cell>
          <cell r="AC93" t="str">
            <v>-</v>
          </cell>
          <cell r="AD93" t="str">
            <v>-</v>
          </cell>
          <cell r="AE93" t="str">
            <v>-</v>
          </cell>
          <cell r="AF93" t="str">
            <v>-</v>
          </cell>
          <cell r="AG93" t="str">
            <v>-</v>
          </cell>
          <cell r="AH93" t="str">
            <v>-</v>
          </cell>
          <cell r="AI93" t="str">
            <v>-</v>
          </cell>
          <cell r="AJ93" t="str">
            <v>-</v>
          </cell>
          <cell r="AK93" t="str">
            <v>-</v>
          </cell>
          <cell r="AL93" t="str">
            <v>-</v>
          </cell>
          <cell r="AM93" t="str">
            <v>-</v>
          </cell>
          <cell r="AN93" t="str">
            <v>-</v>
          </cell>
          <cell r="AO93" t="str">
            <v>-</v>
          </cell>
          <cell r="AP93" t="str">
            <v>-</v>
          </cell>
          <cell r="AQ93" t="str">
            <v>-</v>
          </cell>
          <cell r="AR93" t="str">
            <v>-</v>
          </cell>
          <cell r="AS93" t="str">
            <v>-</v>
          </cell>
          <cell r="AT93" t="str">
            <v>-</v>
          </cell>
          <cell r="AU93" t="str">
            <v>-</v>
          </cell>
          <cell r="AV93" t="str">
            <v>-</v>
          </cell>
          <cell r="AW93" t="str">
            <v>-</v>
          </cell>
          <cell r="AX93" t="str">
            <v>-</v>
          </cell>
          <cell r="AY93" t="str">
            <v>-</v>
          </cell>
          <cell r="AZ93" t="str">
            <v>-</v>
          </cell>
          <cell r="BA93" t="str">
            <v>-</v>
          </cell>
          <cell r="BB93" t="str">
            <v>-</v>
          </cell>
          <cell r="BC93" t="str">
            <v>-</v>
          </cell>
          <cell r="BD93" t="str">
            <v>-</v>
          </cell>
          <cell r="BE93" t="str">
            <v>-</v>
          </cell>
          <cell r="BF93" t="str">
            <v>-</v>
          </cell>
          <cell r="BG93" t="str">
            <v>-</v>
          </cell>
          <cell r="BH93" t="str">
            <v>-</v>
          </cell>
          <cell r="BI93" t="str">
            <v>-</v>
          </cell>
          <cell r="BJ93" t="str">
            <v>-</v>
          </cell>
          <cell r="BK93" t="str">
            <v>-</v>
          </cell>
          <cell r="BL93" t="str">
            <v>-</v>
          </cell>
          <cell r="BM93">
            <v>0</v>
          </cell>
          <cell r="BN93">
            <v>0</v>
          </cell>
          <cell r="BO93" t="str">
            <v>-</v>
          </cell>
          <cell r="BP93" t="str">
            <v>-</v>
          </cell>
          <cell r="BQ93">
            <v>0</v>
          </cell>
          <cell r="BR93">
            <v>0</v>
          </cell>
          <cell r="BS93">
            <v>0</v>
          </cell>
          <cell r="BT93">
            <v>0</v>
          </cell>
        </row>
        <row r="94">
          <cell r="A94" t="str">
            <v>Czech Republic2016100 / 100</v>
          </cell>
          <cell r="B94" t="str">
            <v>Czech Republic</v>
          </cell>
          <cell r="C94">
            <v>2016</v>
          </cell>
          <cell r="D94" t="str">
            <v>100 / 100</v>
          </cell>
          <cell r="E94">
            <v>334606</v>
          </cell>
          <cell r="F94">
            <v>27883.833333333332</v>
          </cell>
          <cell r="G94">
            <v>6434.7802675405183</v>
          </cell>
          <cell r="H94">
            <v>1286.9560535081037</v>
          </cell>
          <cell r="I94">
            <v>334606</v>
          </cell>
          <cell r="J94">
            <v>27883.833333333332</v>
          </cell>
          <cell r="K94">
            <v>6434.7802675405183</v>
          </cell>
          <cell r="L94">
            <v>1286.9560535081037</v>
          </cell>
          <cell r="M94" t="str">
            <v>..</v>
          </cell>
          <cell r="N94" t="str">
            <v>..</v>
          </cell>
          <cell r="O94" t="str">
            <v>..</v>
          </cell>
          <cell r="P94" t="str">
            <v>..</v>
          </cell>
          <cell r="Q94" t="str">
            <v>..</v>
          </cell>
          <cell r="R94" t="str">
            <v>..</v>
          </cell>
          <cell r="S94" t="str">
            <v>..</v>
          </cell>
          <cell r="T94" t="str">
            <v>..</v>
          </cell>
          <cell r="U94" t="str">
            <v>..</v>
          </cell>
          <cell r="V94">
            <v>156</v>
          </cell>
          <cell r="W94">
            <v>0</v>
          </cell>
          <cell r="X94">
            <v>156</v>
          </cell>
          <cell r="Y94" t="str">
            <v>-</v>
          </cell>
          <cell r="Z94" t="str">
            <v>No entitlement to paid paternity leave</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cell r="BD94" t="str">
            <v>-</v>
          </cell>
          <cell r="BE94" t="str">
            <v>-</v>
          </cell>
          <cell r="BF94" t="str">
            <v>-</v>
          </cell>
          <cell r="BG94" t="str">
            <v>-</v>
          </cell>
          <cell r="BH94" t="str">
            <v>-</v>
          </cell>
          <cell r="BI94" t="str">
            <v>-</v>
          </cell>
          <cell r="BJ94" t="str">
            <v>-</v>
          </cell>
          <cell r="BK94" t="str">
            <v>-</v>
          </cell>
          <cell r="BL94" t="str">
            <v>-</v>
          </cell>
          <cell r="BM94">
            <v>0</v>
          </cell>
          <cell r="BN94">
            <v>0</v>
          </cell>
          <cell r="BO94" t="str">
            <v>-</v>
          </cell>
          <cell r="BP94" t="str">
            <v>-</v>
          </cell>
          <cell r="BQ94">
            <v>0</v>
          </cell>
          <cell r="BR94">
            <v>0</v>
          </cell>
          <cell r="BS94">
            <v>0</v>
          </cell>
          <cell r="BT94">
            <v>0</v>
          </cell>
        </row>
        <row r="95">
          <cell r="A95" t="str">
            <v>Czech Republic2017100 / 100</v>
          </cell>
          <cell r="B95" t="str">
            <v>Czech Republic</v>
          </cell>
          <cell r="C95">
            <v>2017</v>
          </cell>
          <cell r="D95" t="str">
            <v>100 / 100</v>
          </cell>
          <cell r="E95">
            <v>356098</v>
          </cell>
          <cell r="F95">
            <v>29674.833333333332</v>
          </cell>
          <cell r="G95">
            <v>6848.0911391626078</v>
          </cell>
          <cell r="H95">
            <v>1369.6182278325216</v>
          </cell>
          <cell r="I95">
            <v>356098</v>
          </cell>
          <cell r="J95">
            <v>29674.833333333332</v>
          </cell>
          <cell r="K95">
            <v>6848.0911391626078</v>
          </cell>
          <cell r="L95">
            <v>1369.6182278325216</v>
          </cell>
          <cell r="M95" t="str">
            <v>..</v>
          </cell>
          <cell r="N95" t="str">
            <v>..</v>
          </cell>
          <cell r="O95" t="str">
            <v>..</v>
          </cell>
          <cell r="P95" t="str">
            <v>..</v>
          </cell>
          <cell r="Q95" t="str">
            <v>..</v>
          </cell>
          <cell r="R95" t="str">
            <v>..</v>
          </cell>
          <cell r="S95" t="str">
            <v>..</v>
          </cell>
          <cell r="T95" t="str">
            <v>..</v>
          </cell>
          <cell r="U95" t="str">
            <v>..</v>
          </cell>
          <cell r="V95">
            <v>156</v>
          </cell>
          <cell r="W95">
            <v>0</v>
          </cell>
          <cell r="X95">
            <v>156</v>
          </cell>
          <cell r="Y95" t="str">
            <v>-</v>
          </cell>
          <cell r="Z95" t="str">
            <v>No entitlement to paid paternity leave</v>
          </cell>
          <cell r="AA95" t="str">
            <v>-</v>
          </cell>
          <cell r="AB95" t="str">
            <v>-</v>
          </cell>
          <cell r="AC95" t="str">
            <v>-</v>
          </cell>
          <cell r="AD95" t="str">
            <v>-</v>
          </cell>
          <cell r="AE95" t="str">
            <v>-</v>
          </cell>
          <cell r="AF95" t="str">
            <v>-</v>
          </cell>
          <cell r="AG95" t="str">
            <v>-</v>
          </cell>
          <cell r="AH95" t="str">
            <v>-</v>
          </cell>
          <cell r="AI95" t="str">
            <v>-</v>
          </cell>
          <cell r="AJ95" t="str">
            <v>-</v>
          </cell>
          <cell r="AK95" t="str">
            <v>-</v>
          </cell>
          <cell r="AL95" t="str">
            <v>-</v>
          </cell>
          <cell r="AM95" t="str">
            <v>-</v>
          </cell>
          <cell r="AN95" t="str">
            <v>-</v>
          </cell>
          <cell r="AO95" t="str">
            <v>-</v>
          </cell>
          <cell r="AP95" t="str">
            <v>-</v>
          </cell>
          <cell r="AQ95" t="str">
            <v>-</v>
          </cell>
          <cell r="AR95" t="str">
            <v>-</v>
          </cell>
          <cell r="AS95" t="str">
            <v>-</v>
          </cell>
          <cell r="AT95" t="str">
            <v>-</v>
          </cell>
          <cell r="AU95" t="str">
            <v>-</v>
          </cell>
          <cell r="AV95" t="str">
            <v>-</v>
          </cell>
          <cell r="AW95" t="str">
            <v>-</v>
          </cell>
          <cell r="AX95" t="str">
            <v>-</v>
          </cell>
          <cell r="AY95" t="str">
            <v>-</v>
          </cell>
          <cell r="AZ95" t="str">
            <v>-</v>
          </cell>
          <cell r="BA95" t="str">
            <v>-</v>
          </cell>
          <cell r="BB95" t="str">
            <v>-</v>
          </cell>
          <cell r="BC95" t="str">
            <v>-</v>
          </cell>
          <cell r="BD95" t="str">
            <v>-</v>
          </cell>
          <cell r="BE95" t="str">
            <v>-</v>
          </cell>
          <cell r="BF95" t="str">
            <v>-</v>
          </cell>
          <cell r="BG95" t="str">
            <v>-</v>
          </cell>
          <cell r="BH95" t="str">
            <v>-</v>
          </cell>
          <cell r="BI95" t="str">
            <v>-</v>
          </cell>
          <cell r="BJ95" t="str">
            <v>-</v>
          </cell>
          <cell r="BK95" t="str">
            <v>-</v>
          </cell>
          <cell r="BL95" t="str">
            <v>-</v>
          </cell>
          <cell r="BM95">
            <v>0</v>
          </cell>
          <cell r="BN95">
            <v>0</v>
          </cell>
          <cell r="BO95" t="str">
            <v>-</v>
          </cell>
          <cell r="BP95" t="str">
            <v>-</v>
          </cell>
          <cell r="BQ95">
            <v>0</v>
          </cell>
          <cell r="BR95">
            <v>0</v>
          </cell>
          <cell r="BS95">
            <v>0</v>
          </cell>
          <cell r="BT95">
            <v>0</v>
          </cell>
        </row>
        <row r="96">
          <cell r="A96" t="str">
            <v>Czech Republic2018100 / 100</v>
          </cell>
          <cell r="B96" t="str">
            <v>Czech Republic</v>
          </cell>
          <cell r="C96">
            <v>2018</v>
          </cell>
          <cell r="D96" t="str">
            <v>100 / 100</v>
          </cell>
          <cell r="E96">
            <v>382948</v>
          </cell>
          <cell r="F96">
            <v>31912.333333333332</v>
          </cell>
          <cell r="G96">
            <v>7364.441264932806</v>
          </cell>
          <cell r="H96">
            <v>1472.8882529865612</v>
          </cell>
          <cell r="I96">
            <v>382948</v>
          </cell>
          <cell r="J96">
            <v>31912.333333333332</v>
          </cell>
          <cell r="K96">
            <v>7364.441264932806</v>
          </cell>
          <cell r="L96">
            <v>1472.8882529865612</v>
          </cell>
          <cell r="M96" t="str">
            <v>..</v>
          </cell>
          <cell r="N96" t="str">
            <v>..</v>
          </cell>
          <cell r="O96" t="str">
            <v>..</v>
          </cell>
          <cell r="P96" t="str">
            <v>..</v>
          </cell>
          <cell r="Q96" t="str">
            <v>..</v>
          </cell>
          <cell r="R96" t="str">
            <v>..</v>
          </cell>
          <cell r="S96" t="str">
            <v>..</v>
          </cell>
          <cell r="T96" t="str">
            <v>..</v>
          </cell>
          <cell r="U96" t="str">
            <v>..</v>
          </cell>
          <cell r="V96">
            <v>155</v>
          </cell>
          <cell r="W96">
            <v>0</v>
          </cell>
          <cell r="X96">
            <v>155</v>
          </cell>
          <cell r="Y96" t="str">
            <v>-</v>
          </cell>
          <cell r="Z96" t="str">
            <v>No entitlement to paid paternity leave</v>
          </cell>
          <cell r="AA96" t="str">
            <v>-</v>
          </cell>
          <cell r="AB96" t="str">
            <v>-</v>
          </cell>
          <cell r="AC96" t="str">
            <v>-</v>
          </cell>
          <cell r="AD96" t="str">
            <v>-</v>
          </cell>
          <cell r="AE96" t="str">
            <v>-</v>
          </cell>
          <cell r="AF96" t="str">
            <v>-</v>
          </cell>
          <cell r="AG96" t="str">
            <v>-</v>
          </cell>
          <cell r="AH96" t="str">
            <v>-</v>
          </cell>
          <cell r="AI96" t="str">
            <v>-</v>
          </cell>
          <cell r="AJ96" t="str">
            <v>-</v>
          </cell>
          <cell r="AK96" t="str">
            <v>-</v>
          </cell>
          <cell r="AL96" t="str">
            <v>-</v>
          </cell>
          <cell r="AM96" t="str">
            <v>-</v>
          </cell>
          <cell r="AN96" t="str">
            <v>-</v>
          </cell>
          <cell r="AO96" t="str">
            <v>-</v>
          </cell>
          <cell r="AP96" t="str">
            <v>-</v>
          </cell>
          <cell r="AQ96" t="str">
            <v>-</v>
          </cell>
          <cell r="AR96" t="str">
            <v>-</v>
          </cell>
          <cell r="AS96" t="str">
            <v>-</v>
          </cell>
          <cell r="AT96" t="str">
            <v>-</v>
          </cell>
          <cell r="AU96" t="str">
            <v>-</v>
          </cell>
          <cell r="AV96" t="str">
            <v>-</v>
          </cell>
          <cell r="AW96" t="str">
            <v>-</v>
          </cell>
          <cell r="AX96" t="str">
            <v>-</v>
          </cell>
          <cell r="AY96" t="str">
            <v>-</v>
          </cell>
          <cell r="AZ96" t="str">
            <v>-</v>
          </cell>
          <cell r="BA96" t="str">
            <v>-</v>
          </cell>
          <cell r="BB96" t="str">
            <v>-</v>
          </cell>
          <cell r="BC96" t="str">
            <v>-</v>
          </cell>
          <cell r="BD96" t="str">
            <v>-</v>
          </cell>
          <cell r="BE96" t="str">
            <v>-</v>
          </cell>
          <cell r="BF96" t="str">
            <v>-</v>
          </cell>
          <cell r="BG96" t="str">
            <v>-</v>
          </cell>
          <cell r="BH96" t="str">
            <v>-</v>
          </cell>
          <cell r="BI96" t="str">
            <v>-</v>
          </cell>
          <cell r="BJ96" t="str">
            <v>-</v>
          </cell>
          <cell r="BK96" t="str">
            <v>-</v>
          </cell>
          <cell r="BL96" t="str">
            <v>-</v>
          </cell>
          <cell r="BM96">
            <v>0</v>
          </cell>
          <cell r="BN96">
            <v>0</v>
          </cell>
          <cell r="BO96" t="str">
            <v>-</v>
          </cell>
          <cell r="BP96" t="str">
            <v>-</v>
          </cell>
          <cell r="BQ96">
            <v>0</v>
          </cell>
          <cell r="BR96">
            <v>0</v>
          </cell>
          <cell r="BS96">
            <v>0</v>
          </cell>
          <cell r="BT96">
            <v>0</v>
          </cell>
        </row>
        <row r="97">
          <cell r="A97" t="str">
            <v>Czech Republic2019100 / 100</v>
          </cell>
          <cell r="B97" t="str">
            <v>Czech Republic</v>
          </cell>
          <cell r="C97">
            <v>2019</v>
          </cell>
          <cell r="D97" t="str">
            <v>100 / 100</v>
          </cell>
          <cell r="E97">
            <v>410579</v>
          </cell>
          <cell r="F97">
            <v>34214.916666666664</v>
          </cell>
          <cell r="G97">
            <v>7895.8107370056678</v>
          </cell>
          <cell r="H97">
            <v>1579.1621474011336</v>
          </cell>
          <cell r="I97">
            <v>410579</v>
          </cell>
          <cell r="J97">
            <v>34214.916666666664</v>
          </cell>
          <cell r="K97">
            <v>7895.8107370056678</v>
          </cell>
          <cell r="L97">
            <v>1579.1621474011336</v>
          </cell>
          <cell r="M97" t="str">
            <v>..</v>
          </cell>
          <cell r="N97" t="str">
            <v>..</v>
          </cell>
          <cell r="O97" t="str">
            <v>..</v>
          </cell>
          <cell r="P97" t="str">
            <v>..</v>
          </cell>
          <cell r="Q97" t="str">
            <v>..</v>
          </cell>
          <cell r="R97" t="str">
            <v>..</v>
          </cell>
          <cell r="S97" t="str">
            <v>..</v>
          </cell>
          <cell r="T97" t="str">
            <v>..</v>
          </cell>
          <cell r="U97" t="str">
            <v>..</v>
          </cell>
          <cell r="V97">
            <v>155</v>
          </cell>
          <cell r="W97">
            <v>0</v>
          </cell>
          <cell r="X97">
            <v>155</v>
          </cell>
          <cell r="Y97" t="str">
            <v>-</v>
          </cell>
          <cell r="Z97" t="str">
            <v>No entitlement to paid paternity leave</v>
          </cell>
          <cell r="AA97" t="str">
            <v>-</v>
          </cell>
          <cell r="AB97" t="str">
            <v>-</v>
          </cell>
          <cell r="AC97" t="str">
            <v>-</v>
          </cell>
          <cell r="AD97" t="str">
            <v>-</v>
          </cell>
          <cell r="AE97" t="str">
            <v>-</v>
          </cell>
          <cell r="AF97" t="str">
            <v>-</v>
          </cell>
          <cell r="AG97" t="str">
            <v>-</v>
          </cell>
          <cell r="AH97" t="str">
            <v>-</v>
          </cell>
          <cell r="AI97" t="str">
            <v>-</v>
          </cell>
          <cell r="AJ97" t="str">
            <v>-</v>
          </cell>
          <cell r="AK97" t="str">
            <v>-</v>
          </cell>
          <cell r="AL97" t="str">
            <v>-</v>
          </cell>
          <cell r="AM97" t="str">
            <v>-</v>
          </cell>
          <cell r="AN97" t="str">
            <v>-</v>
          </cell>
          <cell r="AO97" t="str">
            <v>-</v>
          </cell>
          <cell r="AP97" t="str">
            <v>-</v>
          </cell>
          <cell r="AQ97" t="str">
            <v>-</v>
          </cell>
          <cell r="AR97" t="str">
            <v>-</v>
          </cell>
          <cell r="AS97" t="str">
            <v>-</v>
          </cell>
          <cell r="AT97" t="str">
            <v>-</v>
          </cell>
          <cell r="AU97" t="str">
            <v>-</v>
          </cell>
          <cell r="AV97" t="str">
            <v>-</v>
          </cell>
          <cell r="AW97" t="str">
            <v>-</v>
          </cell>
          <cell r="AX97" t="str">
            <v>-</v>
          </cell>
          <cell r="AY97" t="str">
            <v>-</v>
          </cell>
          <cell r="AZ97" t="str">
            <v>-</v>
          </cell>
          <cell r="BA97" t="str">
            <v>-</v>
          </cell>
          <cell r="BB97" t="str">
            <v>-</v>
          </cell>
          <cell r="BC97" t="str">
            <v>-</v>
          </cell>
          <cell r="BD97" t="str">
            <v>-</v>
          </cell>
          <cell r="BE97" t="str">
            <v>-</v>
          </cell>
          <cell r="BF97" t="str">
            <v>-</v>
          </cell>
          <cell r="BG97" t="str">
            <v>-</v>
          </cell>
          <cell r="BH97" t="str">
            <v>-</v>
          </cell>
          <cell r="BI97" t="str">
            <v>-</v>
          </cell>
          <cell r="BJ97" t="str">
            <v>-</v>
          </cell>
          <cell r="BK97" t="str">
            <v>-</v>
          </cell>
          <cell r="BL97" t="str">
            <v>-</v>
          </cell>
          <cell r="BM97">
            <v>0</v>
          </cell>
          <cell r="BN97">
            <v>0</v>
          </cell>
          <cell r="BO97" t="str">
            <v>-</v>
          </cell>
          <cell r="BP97" t="str">
            <v>-</v>
          </cell>
          <cell r="BQ97">
            <v>0</v>
          </cell>
          <cell r="BR97">
            <v>0</v>
          </cell>
          <cell r="BS97">
            <v>0</v>
          </cell>
          <cell r="BT97">
            <v>0</v>
          </cell>
        </row>
        <row r="98">
          <cell r="A98" t="str">
            <v>Czech Republic2020100 / 100</v>
          </cell>
          <cell r="B98" t="str">
            <v>Czech Republic</v>
          </cell>
          <cell r="C98">
            <v>2020</v>
          </cell>
          <cell r="D98" t="str">
            <v>100 / 100</v>
          </cell>
          <cell r="E98">
            <v>423535</v>
          </cell>
          <cell r="F98">
            <v>35294.583333333336</v>
          </cell>
          <cell r="G98">
            <v>8144.9664997423051</v>
          </cell>
          <cell r="H98">
            <v>1628.9932999484611</v>
          </cell>
          <cell r="I98">
            <v>423535</v>
          </cell>
          <cell r="J98">
            <v>35294.583333333336</v>
          </cell>
          <cell r="K98">
            <v>8144.9664997423051</v>
          </cell>
          <cell r="L98">
            <v>1628.9932999484611</v>
          </cell>
          <cell r="M98" t="str">
            <v>..</v>
          </cell>
          <cell r="N98" t="str">
            <v>..</v>
          </cell>
          <cell r="O98" t="str">
            <v>..</v>
          </cell>
          <cell r="P98" t="str">
            <v>..</v>
          </cell>
          <cell r="Q98" t="str">
            <v>..</v>
          </cell>
          <cell r="R98" t="str">
            <v>..</v>
          </cell>
          <cell r="S98" t="str">
            <v>..</v>
          </cell>
          <cell r="T98" t="str">
            <v>..</v>
          </cell>
          <cell r="U98" t="str">
            <v>..</v>
          </cell>
          <cell r="V98">
            <v>155</v>
          </cell>
          <cell r="W98">
            <v>0</v>
          </cell>
          <cell r="X98">
            <v>155</v>
          </cell>
          <cell r="Y98" t="str">
            <v>-</v>
          </cell>
          <cell r="Z98" t="str">
            <v>No entitlement to paid paternity leave</v>
          </cell>
          <cell r="AA98" t="str">
            <v>-</v>
          </cell>
          <cell r="AB98" t="str">
            <v>-</v>
          </cell>
          <cell r="AC98" t="str">
            <v>-</v>
          </cell>
          <cell r="AD98" t="str">
            <v>-</v>
          </cell>
          <cell r="AE98" t="str">
            <v>-</v>
          </cell>
          <cell r="AF98" t="str">
            <v>-</v>
          </cell>
          <cell r="AG98" t="str">
            <v>-</v>
          </cell>
          <cell r="AH98" t="str">
            <v>-</v>
          </cell>
          <cell r="AI98" t="str">
            <v>-</v>
          </cell>
          <cell r="AJ98" t="str">
            <v>-</v>
          </cell>
          <cell r="AK98" t="str">
            <v>-</v>
          </cell>
          <cell r="AL98" t="str">
            <v>-</v>
          </cell>
          <cell r="AM98" t="str">
            <v>-</v>
          </cell>
          <cell r="AN98" t="str">
            <v>-</v>
          </cell>
          <cell r="AO98" t="str">
            <v>-</v>
          </cell>
          <cell r="AP98" t="str">
            <v>-</v>
          </cell>
          <cell r="AQ98" t="str">
            <v>-</v>
          </cell>
          <cell r="AR98" t="str">
            <v>-</v>
          </cell>
          <cell r="AS98" t="str">
            <v>-</v>
          </cell>
          <cell r="AT98" t="str">
            <v>-</v>
          </cell>
          <cell r="AU98" t="str">
            <v>-</v>
          </cell>
          <cell r="AV98" t="str">
            <v>-</v>
          </cell>
          <cell r="AW98" t="str">
            <v>-</v>
          </cell>
          <cell r="AX98" t="str">
            <v>-</v>
          </cell>
          <cell r="AY98" t="str">
            <v>-</v>
          </cell>
          <cell r="AZ98" t="str">
            <v>-</v>
          </cell>
          <cell r="BA98" t="str">
            <v>-</v>
          </cell>
          <cell r="BB98" t="str">
            <v>-</v>
          </cell>
          <cell r="BC98" t="str">
            <v>-</v>
          </cell>
          <cell r="BD98" t="str">
            <v>-</v>
          </cell>
          <cell r="BE98" t="str">
            <v>-</v>
          </cell>
          <cell r="BF98" t="str">
            <v>-</v>
          </cell>
          <cell r="BG98" t="str">
            <v>-</v>
          </cell>
          <cell r="BH98" t="str">
            <v>-</v>
          </cell>
          <cell r="BI98" t="str">
            <v>-</v>
          </cell>
          <cell r="BJ98" t="str">
            <v>-</v>
          </cell>
          <cell r="BK98" t="str">
            <v>-</v>
          </cell>
          <cell r="BL98" t="str">
            <v>-</v>
          </cell>
          <cell r="BM98">
            <v>0</v>
          </cell>
          <cell r="BN98">
            <v>0</v>
          </cell>
          <cell r="BO98" t="str">
            <v>-</v>
          </cell>
          <cell r="BP98" t="str">
            <v>-</v>
          </cell>
          <cell r="BQ98">
            <v>0</v>
          </cell>
          <cell r="BR98">
            <v>0</v>
          </cell>
          <cell r="BS98">
            <v>0</v>
          </cell>
          <cell r="BT98">
            <v>0</v>
          </cell>
        </row>
        <row r="99">
          <cell r="A99" t="str">
            <v>Czech Republic2021100 / 100</v>
          </cell>
          <cell r="B99" t="str">
            <v>Czech Republic</v>
          </cell>
          <cell r="C99">
            <v>2021</v>
          </cell>
          <cell r="D99" t="str">
            <v>100 / 100</v>
          </cell>
          <cell r="E99">
            <v>446411</v>
          </cell>
          <cell r="F99">
            <v>37200.916666666664</v>
          </cell>
          <cell r="G99">
            <v>8584.8929607150803</v>
          </cell>
          <cell r="H99">
            <v>1716.9785921430162</v>
          </cell>
          <cell r="I99">
            <v>446411</v>
          </cell>
          <cell r="J99">
            <v>37200.916666666664</v>
          </cell>
          <cell r="K99">
            <v>8584.8929607150803</v>
          </cell>
          <cell r="L99">
            <v>1716.9785921430162</v>
          </cell>
          <cell r="M99" t="str">
            <v>..</v>
          </cell>
          <cell r="N99" t="str">
            <v>..</v>
          </cell>
          <cell r="O99" t="str">
            <v>..</v>
          </cell>
          <cell r="P99" t="str">
            <v>..</v>
          </cell>
          <cell r="Q99" t="str">
            <v>..</v>
          </cell>
          <cell r="R99" t="str">
            <v>..</v>
          </cell>
          <cell r="S99" t="str">
            <v>..</v>
          </cell>
          <cell r="T99" t="str">
            <v>..</v>
          </cell>
          <cell r="U99" t="str">
            <v>..</v>
          </cell>
          <cell r="V99">
            <v>155</v>
          </cell>
          <cell r="W99">
            <v>0</v>
          </cell>
          <cell r="X99">
            <v>155</v>
          </cell>
          <cell r="Y99" t="str">
            <v>-</v>
          </cell>
          <cell r="Z99" t="str">
            <v>No entitlement to paid paternity leave</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cell r="BD99" t="str">
            <v>-</v>
          </cell>
          <cell r="BE99" t="str">
            <v>-</v>
          </cell>
          <cell r="BF99" t="str">
            <v>-</v>
          </cell>
          <cell r="BG99" t="str">
            <v>-</v>
          </cell>
          <cell r="BH99" t="str">
            <v>-</v>
          </cell>
          <cell r="BI99" t="str">
            <v>-</v>
          </cell>
          <cell r="BJ99" t="str">
            <v>-</v>
          </cell>
          <cell r="BK99" t="str">
            <v>-</v>
          </cell>
          <cell r="BL99" t="str">
            <v>-</v>
          </cell>
          <cell r="BM99">
            <v>0</v>
          </cell>
          <cell r="BN99">
            <v>0</v>
          </cell>
          <cell r="BO99" t="str">
            <v>-</v>
          </cell>
          <cell r="BP99" t="str">
            <v>-</v>
          </cell>
          <cell r="BQ99">
            <v>0</v>
          </cell>
          <cell r="BR99">
            <v>0</v>
          </cell>
          <cell r="BS99">
            <v>0</v>
          </cell>
          <cell r="BT99">
            <v>0</v>
          </cell>
        </row>
        <row r="100">
          <cell r="A100" t="str">
            <v>Czech Republic2022100 / 100</v>
          </cell>
          <cell r="B100" t="str">
            <v>Czech Republic</v>
          </cell>
          <cell r="C100">
            <v>2022</v>
          </cell>
          <cell r="D100" t="str">
            <v>100 / 100</v>
          </cell>
          <cell r="E100">
            <v>479623</v>
          </cell>
          <cell r="F100">
            <v>39968.583333333336</v>
          </cell>
          <cell r="G100">
            <v>9223.5901814629342</v>
          </cell>
          <cell r="H100">
            <v>1844.7180362925869</v>
          </cell>
          <cell r="I100">
            <v>479623</v>
          </cell>
          <cell r="J100">
            <v>39968.583333333336</v>
          </cell>
          <cell r="K100">
            <v>9223.5901814629342</v>
          </cell>
          <cell r="L100">
            <v>1844.7180362925869</v>
          </cell>
          <cell r="M100" t="str">
            <v>..</v>
          </cell>
          <cell r="N100" t="str">
            <v>..</v>
          </cell>
          <cell r="O100" t="str">
            <v>..</v>
          </cell>
          <cell r="P100" t="str">
            <v>..</v>
          </cell>
          <cell r="Q100" t="str">
            <v>..</v>
          </cell>
          <cell r="R100" t="str">
            <v>..</v>
          </cell>
          <cell r="S100" t="str">
            <v>..</v>
          </cell>
          <cell r="T100" t="str">
            <v>..</v>
          </cell>
          <cell r="U100" t="str">
            <v>..</v>
          </cell>
          <cell r="V100">
            <v>154</v>
          </cell>
          <cell r="W100">
            <v>0</v>
          </cell>
          <cell r="X100">
            <v>154</v>
          </cell>
          <cell r="Y100" t="str">
            <v>-</v>
          </cell>
          <cell r="Z100" t="str">
            <v>No entitlement to paid paternity leave</v>
          </cell>
          <cell r="AA100" t="str">
            <v>-</v>
          </cell>
          <cell r="AB100" t="str">
            <v>-</v>
          </cell>
          <cell r="AC100" t="str">
            <v>-</v>
          </cell>
          <cell r="AD100" t="str">
            <v>-</v>
          </cell>
          <cell r="AE100" t="str">
            <v>-</v>
          </cell>
          <cell r="AF100" t="str">
            <v>-</v>
          </cell>
          <cell r="AG100" t="str">
            <v>-</v>
          </cell>
          <cell r="AH100" t="str">
            <v>-</v>
          </cell>
          <cell r="AI100" t="str">
            <v>-</v>
          </cell>
          <cell r="AJ100" t="str">
            <v>-</v>
          </cell>
          <cell r="AK100" t="str">
            <v>-</v>
          </cell>
          <cell r="AL100" t="str">
            <v>-</v>
          </cell>
          <cell r="AM100" t="str">
            <v>-</v>
          </cell>
          <cell r="AN100" t="str">
            <v>-</v>
          </cell>
          <cell r="AO100" t="str">
            <v>-</v>
          </cell>
          <cell r="AP100" t="str">
            <v>-</v>
          </cell>
          <cell r="AQ100" t="str">
            <v>-</v>
          </cell>
          <cell r="AR100" t="str">
            <v>-</v>
          </cell>
          <cell r="AS100" t="str">
            <v>-</v>
          </cell>
          <cell r="AT100" t="str">
            <v>-</v>
          </cell>
          <cell r="AU100" t="str">
            <v>-</v>
          </cell>
          <cell r="AV100" t="str">
            <v>-</v>
          </cell>
          <cell r="AW100" t="str">
            <v>-</v>
          </cell>
          <cell r="AX100" t="str">
            <v>-</v>
          </cell>
          <cell r="AY100" t="str">
            <v>-</v>
          </cell>
          <cell r="AZ100" t="str">
            <v>-</v>
          </cell>
          <cell r="BA100" t="str">
            <v>-</v>
          </cell>
          <cell r="BB100" t="str">
            <v>-</v>
          </cell>
          <cell r="BC100" t="str">
            <v>-</v>
          </cell>
          <cell r="BD100" t="str">
            <v>-</v>
          </cell>
          <cell r="BE100" t="str">
            <v>-</v>
          </cell>
          <cell r="BF100" t="str">
            <v>-</v>
          </cell>
          <cell r="BG100" t="str">
            <v>-</v>
          </cell>
          <cell r="BH100" t="str">
            <v>-</v>
          </cell>
          <cell r="BI100" t="str">
            <v>-</v>
          </cell>
          <cell r="BJ100" t="str">
            <v>-</v>
          </cell>
          <cell r="BK100" t="str">
            <v>-</v>
          </cell>
          <cell r="BL100" t="str">
            <v>-</v>
          </cell>
          <cell r="BM100">
            <v>0</v>
          </cell>
          <cell r="BN100">
            <v>0</v>
          </cell>
          <cell r="BO100" t="str">
            <v>-</v>
          </cell>
          <cell r="BP100" t="str">
            <v>-</v>
          </cell>
          <cell r="BQ100">
            <v>0</v>
          </cell>
          <cell r="BR100">
            <v>0</v>
          </cell>
          <cell r="BS100">
            <v>0</v>
          </cell>
          <cell r="BT100">
            <v>0</v>
          </cell>
        </row>
        <row r="101">
          <cell r="A101" t="str">
            <v>Czech Republic2023100 / 100</v>
          </cell>
          <cell r="B101" t="str">
            <v>Czech Republic</v>
          </cell>
          <cell r="C101">
            <v>2023</v>
          </cell>
          <cell r="D101" t="str">
            <v>100 / 100</v>
          </cell>
          <cell r="E101">
            <v>519439.82</v>
          </cell>
          <cell r="F101">
            <v>43286.651666666665</v>
          </cell>
          <cell r="G101">
            <v>9989.3041484934492</v>
          </cell>
          <cell r="H101">
            <v>1997.8608296986899</v>
          </cell>
          <cell r="I101">
            <v>519439.82</v>
          </cell>
          <cell r="J101">
            <v>43286.651666666665</v>
          </cell>
          <cell r="K101">
            <v>9989.3041484934492</v>
          </cell>
          <cell r="L101">
            <v>1997.8608296986899</v>
          </cell>
          <cell r="M101" t="str">
            <v>..</v>
          </cell>
          <cell r="N101" t="str">
            <v>..</v>
          </cell>
          <cell r="O101" t="str">
            <v>..</v>
          </cell>
          <cell r="P101" t="str">
            <v>..</v>
          </cell>
          <cell r="Q101" t="str">
            <v>..</v>
          </cell>
          <cell r="R101" t="str">
            <v>..</v>
          </cell>
          <cell r="S101" t="str">
            <v>..</v>
          </cell>
          <cell r="T101" t="str">
            <v>..</v>
          </cell>
          <cell r="U101" t="str">
            <v>..</v>
          </cell>
          <cell r="V101">
            <v>154</v>
          </cell>
          <cell r="W101">
            <v>0</v>
          </cell>
          <cell r="X101">
            <v>154</v>
          </cell>
          <cell r="Y101" t="str">
            <v>-</v>
          </cell>
          <cell r="Z101" t="str">
            <v>No entitlement to paid paternity leave</v>
          </cell>
          <cell r="AA101" t="str">
            <v>-</v>
          </cell>
          <cell r="AB101" t="str">
            <v>-</v>
          </cell>
          <cell r="AC101" t="str">
            <v>-</v>
          </cell>
          <cell r="AD101" t="str">
            <v>-</v>
          </cell>
          <cell r="AE101" t="str">
            <v>-</v>
          </cell>
          <cell r="AF101" t="str">
            <v>-</v>
          </cell>
          <cell r="AG101" t="str">
            <v>-</v>
          </cell>
          <cell r="AH101" t="str">
            <v>-</v>
          </cell>
          <cell r="AI101" t="str">
            <v>-</v>
          </cell>
          <cell r="AJ101" t="str">
            <v>-</v>
          </cell>
          <cell r="AK101" t="str">
            <v>-</v>
          </cell>
          <cell r="AL101" t="str">
            <v>-</v>
          </cell>
          <cell r="AM101" t="str">
            <v>-</v>
          </cell>
          <cell r="AN101" t="str">
            <v>-</v>
          </cell>
          <cell r="AO101" t="str">
            <v>-</v>
          </cell>
          <cell r="AP101" t="str">
            <v>-</v>
          </cell>
          <cell r="AQ101" t="str">
            <v>-</v>
          </cell>
          <cell r="AR101" t="str">
            <v>-</v>
          </cell>
          <cell r="AS101" t="str">
            <v>-</v>
          </cell>
          <cell r="AT101" t="str">
            <v>-</v>
          </cell>
          <cell r="AU101" t="str">
            <v>-</v>
          </cell>
          <cell r="AV101" t="str">
            <v>-</v>
          </cell>
          <cell r="AW101" t="str">
            <v>-</v>
          </cell>
          <cell r="AX101" t="str">
            <v>-</v>
          </cell>
          <cell r="AY101" t="str">
            <v>-</v>
          </cell>
          <cell r="AZ101" t="str">
            <v>-</v>
          </cell>
          <cell r="BA101" t="str">
            <v>-</v>
          </cell>
          <cell r="BB101" t="str">
            <v>-</v>
          </cell>
          <cell r="BC101" t="str">
            <v>-</v>
          </cell>
          <cell r="BD101" t="str">
            <v>-</v>
          </cell>
          <cell r="BE101" t="str">
            <v>-</v>
          </cell>
          <cell r="BF101" t="str">
            <v>-</v>
          </cell>
          <cell r="BG101" t="str">
            <v>-</v>
          </cell>
          <cell r="BH101" t="str">
            <v>-</v>
          </cell>
          <cell r="BI101" t="str">
            <v>-</v>
          </cell>
          <cell r="BJ101" t="str">
            <v>-</v>
          </cell>
          <cell r="BK101" t="str">
            <v>-</v>
          </cell>
          <cell r="BL101" t="str">
            <v>-</v>
          </cell>
          <cell r="BM101">
            <v>0</v>
          </cell>
          <cell r="BN101">
            <v>0</v>
          </cell>
          <cell r="BO101" t="str">
            <v>-</v>
          </cell>
          <cell r="BP101" t="str">
            <v>-</v>
          </cell>
          <cell r="BQ101">
            <v>0</v>
          </cell>
          <cell r="BR101">
            <v>0</v>
          </cell>
          <cell r="BS101">
            <v>0</v>
          </cell>
          <cell r="BT101">
            <v>0</v>
          </cell>
        </row>
        <row r="102">
          <cell r="A102" t="str">
            <v>Czech Republic2024100 / 100</v>
          </cell>
          <cell r="B102" t="str">
            <v>Czech Republic</v>
          </cell>
          <cell r="C102">
            <v>2024</v>
          </cell>
          <cell r="D102" t="str">
            <v>100 / 100</v>
          </cell>
          <cell r="E102">
            <v>549740.81999999995</v>
          </cell>
          <cell r="F102">
            <v>45811.734999999993</v>
          </cell>
          <cell r="G102">
            <v>10572.020169385916</v>
          </cell>
          <cell r="H102">
            <v>2114.4040338771833</v>
          </cell>
          <cell r="I102">
            <v>549740.81999999995</v>
          </cell>
          <cell r="J102">
            <v>45811.734999999993</v>
          </cell>
          <cell r="K102">
            <v>10572.020169385916</v>
          </cell>
          <cell r="L102">
            <v>2114.4040338771833</v>
          </cell>
          <cell r="M102" t="str">
            <v>..</v>
          </cell>
          <cell r="N102" t="str">
            <v>..</v>
          </cell>
          <cell r="O102" t="str">
            <v>..</v>
          </cell>
          <cell r="P102" t="str">
            <v>..</v>
          </cell>
          <cell r="Q102" t="str">
            <v>..</v>
          </cell>
          <cell r="R102" t="str">
            <v>..</v>
          </cell>
          <cell r="S102" t="str">
            <v>..</v>
          </cell>
          <cell r="T102" t="str">
            <v>..</v>
          </cell>
          <cell r="U102" t="str">
            <v>..</v>
          </cell>
          <cell r="V102">
            <v>154</v>
          </cell>
          <cell r="W102">
            <v>0</v>
          </cell>
          <cell r="X102">
            <v>154</v>
          </cell>
          <cell r="Y102" t="str">
            <v>-</v>
          </cell>
          <cell r="Z102" t="str">
            <v>No entitlement to paid paternity leave</v>
          </cell>
          <cell r="AA102" t="str">
            <v>-</v>
          </cell>
          <cell r="AB102" t="str">
            <v>-</v>
          </cell>
          <cell r="AC102" t="str">
            <v>-</v>
          </cell>
          <cell r="AD102" t="str">
            <v>-</v>
          </cell>
          <cell r="AE102" t="str">
            <v>-</v>
          </cell>
          <cell r="AF102" t="str">
            <v>-</v>
          </cell>
          <cell r="AG102" t="str">
            <v>-</v>
          </cell>
          <cell r="AH102" t="str">
            <v>-</v>
          </cell>
          <cell r="AI102" t="str">
            <v>-</v>
          </cell>
          <cell r="AJ102" t="str">
            <v>-</v>
          </cell>
          <cell r="AK102" t="str">
            <v>-</v>
          </cell>
          <cell r="AL102" t="str">
            <v>-</v>
          </cell>
          <cell r="AM102" t="str">
            <v>-</v>
          </cell>
          <cell r="AN102" t="str">
            <v>-</v>
          </cell>
          <cell r="AO102" t="str">
            <v>-</v>
          </cell>
          <cell r="AP102" t="str">
            <v>-</v>
          </cell>
          <cell r="AQ102" t="str">
            <v>-</v>
          </cell>
          <cell r="AR102" t="str">
            <v>-</v>
          </cell>
          <cell r="AS102" t="str">
            <v>-</v>
          </cell>
          <cell r="AT102" t="str">
            <v>-</v>
          </cell>
          <cell r="AU102" t="str">
            <v>-</v>
          </cell>
          <cell r="AV102" t="str">
            <v>-</v>
          </cell>
          <cell r="AW102" t="str">
            <v>-</v>
          </cell>
          <cell r="AX102" t="str">
            <v>-</v>
          </cell>
          <cell r="AY102" t="str">
            <v>-</v>
          </cell>
          <cell r="AZ102" t="str">
            <v>-</v>
          </cell>
          <cell r="BA102" t="str">
            <v>-</v>
          </cell>
          <cell r="BB102" t="str">
            <v>-</v>
          </cell>
          <cell r="BC102" t="str">
            <v>-</v>
          </cell>
          <cell r="BD102" t="str">
            <v>-</v>
          </cell>
          <cell r="BE102" t="str">
            <v>-</v>
          </cell>
          <cell r="BF102" t="str">
            <v>-</v>
          </cell>
          <cell r="BG102" t="str">
            <v>-</v>
          </cell>
          <cell r="BH102" t="str">
            <v>-</v>
          </cell>
          <cell r="BI102" t="str">
            <v>-</v>
          </cell>
          <cell r="BJ102" t="str">
            <v>-</v>
          </cell>
          <cell r="BK102" t="str">
            <v>-</v>
          </cell>
          <cell r="BL102" t="str">
            <v>-</v>
          </cell>
          <cell r="BM102">
            <v>0</v>
          </cell>
          <cell r="BN102">
            <v>0</v>
          </cell>
          <cell r="BO102" t="str">
            <v>-</v>
          </cell>
          <cell r="BP102" t="str">
            <v>-</v>
          </cell>
          <cell r="BQ102">
            <v>0</v>
          </cell>
          <cell r="BR102">
            <v>0</v>
          </cell>
          <cell r="BS102">
            <v>0</v>
          </cell>
          <cell r="BT102">
            <v>0</v>
          </cell>
        </row>
        <row r="103">
          <cell r="A103" t="str">
            <v>Czech Republic2025100 / 100</v>
          </cell>
          <cell r="B103" t="str">
            <v>Czech Republic</v>
          </cell>
          <cell r="C103">
            <v>2025</v>
          </cell>
          <cell r="D103" t="str">
            <v>100 / 100</v>
          </cell>
          <cell r="E103">
            <v>549740.81999999995</v>
          </cell>
          <cell r="F103">
            <v>45811.734999999993</v>
          </cell>
          <cell r="G103">
            <v>10572.020169385916</v>
          </cell>
          <cell r="H103">
            <v>2114.4040338771833</v>
          </cell>
          <cell r="I103">
            <v>549740.81999999995</v>
          </cell>
          <cell r="J103">
            <v>45811.734999999993</v>
          </cell>
          <cell r="K103">
            <v>10572.020169385916</v>
          </cell>
          <cell r="L103">
            <v>2114.4040338771833</v>
          </cell>
          <cell r="M103" t="str">
            <v>..</v>
          </cell>
          <cell r="N103" t="str">
            <v>..</v>
          </cell>
          <cell r="O103" t="str">
            <v>..</v>
          </cell>
          <cell r="P103" t="str">
            <v>..</v>
          </cell>
          <cell r="Q103" t="str">
            <v>..</v>
          </cell>
          <cell r="R103" t="str">
            <v>..</v>
          </cell>
          <cell r="S103" t="str">
            <v>..</v>
          </cell>
          <cell r="T103" t="str">
            <v>..</v>
          </cell>
          <cell r="U103" t="str">
            <v>..</v>
          </cell>
          <cell r="V103">
            <v>154</v>
          </cell>
          <cell r="W103">
            <v>0</v>
          </cell>
          <cell r="X103">
            <v>154</v>
          </cell>
          <cell r="Y103" t="str">
            <v>-</v>
          </cell>
          <cell r="Z103" t="str">
            <v>No entitlement to paid paternity leave</v>
          </cell>
          <cell r="AA103" t="str">
            <v>-</v>
          </cell>
          <cell r="AB103" t="str">
            <v>-</v>
          </cell>
          <cell r="AC103" t="str">
            <v>-</v>
          </cell>
          <cell r="AD103" t="str">
            <v>-</v>
          </cell>
          <cell r="AE103" t="str">
            <v>-</v>
          </cell>
          <cell r="AF103" t="str">
            <v>-</v>
          </cell>
          <cell r="AG103" t="str">
            <v>-</v>
          </cell>
          <cell r="AH103" t="str">
            <v>-</v>
          </cell>
          <cell r="AI103" t="str">
            <v>-</v>
          </cell>
          <cell r="AJ103" t="str">
            <v>-</v>
          </cell>
          <cell r="AK103" t="str">
            <v>-</v>
          </cell>
          <cell r="AL103" t="str">
            <v>-</v>
          </cell>
          <cell r="AM103" t="str">
            <v>-</v>
          </cell>
          <cell r="AN103" t="str">
            <v>-</v>
          </cell>
          <cell r="AO103" t="str">
            <v>-</v>
          </cell>
          <cell r="AP103" t="str">
            <v>-</v>
          </cell>
          <cell r="AQ103" t="str">
            <v>-</v>
          </cell>
          <cell r="AR103" t="str">
            <v>-</v>
          </cell>
          <cell r="AS103" t="str">
            <v>-</v>
          </cell>
          <cell r="AT103" t="str">
            <v>-</v>
          </cell>
          <cell r="AU103" t="str">
            <v>-</v>
          </cell>
          <cell r="AV103" t="str">
            <v>-</v>
          </cell>
          <cell r="AW103" t="str">
            <v>-</v>
          </cell>
          <cell r="AX103" t="str">
            <v>-</v>
          </cell>
          <cell r="AY103" t="str">
            <v>-</v>
          </cell>
          <cell r="AZ103" t="str">
            <v>-</v>
          </cell>
          <cell r="BA103" t="str">
            <v>-</v>
          </cell>
          <cell r="BB103" t="str">
            <v>-</v>
          </cell>
          <cell r="BC103" t="str">
            <v>-</v>
          </cell>
          <cell r="BD103" t="str">
            <v>-</v>
          </cell>
          <cell r="BE103" t="str">
            <v>-</v>
          </cell>
          <cell r="BF103" t="str">
            <v>-</v>
          </cell>
          <cell r="BG103" t="str">
            <v>-</v>
          </cell>
          <cell r="BH103" t="str">
            <v>-</v>
          </cell>
          <cell r="BI103" t="str">
            <v>-</v>
          </cell>
          <cell r="BJ103" t="str">
            <v>-</v>
          </cell>
          <cell r="BK103" t="str">
            <v>-</v>
          </cell>
          <cell r="BL103" t="str">
            <v>-</v>
          </cell>
          <cell r="BM103">
            <v>0</v>
          </cell>
          <cell r="BN103">
            <v>0</v>
          </cell>
          <cell r="BO103" t="str">
            <v>-</v>
          </cell>
          <cell r="BP103" t="str">
            <v>-</v>
          </cell>
          <cell r="BQ103">
            <v>0</v>
          </cell>
          <cell r="BR103">
            <v>0</v>
          </cell>
          <cell r="BS103">
            <v>0</v>
          </cell>
          <cell r="BT103">
            <v>0</v>
          </cell>
        </row>
        <row r="104">
          <cell r="A104" t="str">
            <v>Denmark2014100 / 100</v>
          </cell>
          <cell r="B104" t="str">
            <v>Denmark</v>
          </cell>
          <cell r="C104">
            <v>2014</v>
          </cell>
          <cell r="D104" t="str">
            <v>100 / 100</v>
          </cell>
          <cell r="E104">
            <v>397600</v>
          </cell>
          <cell r="F104">
            <v>33133.333333333336</v>
          </cell>
          <cell r="G104">
            <v>7646.2126631743322</v>
          </cell>
          <cell r="H104">
            <v>1529.2425326348664</v>
          </cell>
          <cell r="I104">
            <v>397600</v>
          </cell>
          <cell r="J104">
            <v>33133.333333333336</v>
          </cell>
          <cell r="K104">
            <v>7646.2126631743322</v>
          </cell>
          <cell r="L104">
            <v>1529.2425326348664</v>
          </cell>
          <cell r="M104" t="str">
            <v>..</v>
          </cell>
          <cell r="N104" t="str">
            <v>..</v>
          </cell>
          <cell r="O104" t="str">
            <v>..</v>
          </cell>
          <cell r="P104" t="str">
            <v>..</v>
          </cell>
          <cell r="Q104" t="str">
            <v>..</v>
          </cell>
          <cell r="R104" t="str">
            <v>..</v>
          </cell>
          <cell r="S104" t="str">
            <v>..</v>
          </cell>
          <cell r="T104" t="str">
            <v>..</v>
          </cell>
          <cell r="U104" t="str">
            <v>..</v>
          </cell>
          <cell r="V104">
            <v>32</v>
          </cell>
          <cell r="W104">
            <v>0</v>
          </cell>
          <cell r="X104">
            <v>32</v>
          </cell>
          <cell r="Y104" t="str">
            <v>-</v>
          </cell>
          <cell r="Z104" t="str">
            <v>No statutory entitlement to paid father-specific parental leave</v>
          </cell>
          <cell r="AA104" t="str">
            <v>-</v>
          </cell>
          <cell r="AB104" t="str">
            <v>-</v>
          </cell>
          <cell r="AC104" t="str">
            <v>-</v>
          </cell>
          <cell r="AD104" t="str">
            <v>-</v>
          </cell>
          <cell r="AE104" t="str">
            <v>-</v>
          </cell>
          <cell r="AF104" t="str">
            <v>-</v>
          </cell>
          <cell r="AG104" t="str">
            <v>-</v>
          </cell>
          <cell r="AH104" t="str">
            <v>-</v>
          </cell>
          <cell r="AI104" t="str">
            <v>-</v>
          </cell>
          <cell r="AJ104" t="str">
            <v>-</v>
          </cell>
          <cell r="AK104" t="str">
            <v>-</v>
          </cell>
          <cell r="AL104" t="str">
            <v>-</v>
          </cell>
          <cell r="AM104" t="str">
            <v>-</v>
          </cell>
          <cell r="AN104" t="str">
            <v>-</v>
          </cell>
          <cell r="AO104" t="str">
            <v>-</v>
          </cell>
          <cell r="AP104" t="str">
            <v>-</v>
          </cell>
          <cell r="AQ104" t="str">
            <v>-</v>
          </cell>
          <cell r="AR104" t="str">
            <v>-</v>
          </cell>
          <cell r="AS104" t="str">
            <v>-</v>
          </cell>
          <cell r="AT104" t="str">
            <v>-</v>
          </cell>
          <cell r="AU104" t="str">
            <v>-</v>
          </cell>
          <cell r="AV104" t="str">
            <v>-</v>
          </cell>
          <cell r="AW104" t="str">
            <v>-</v>
          </cell>
          <cell r="AX104" t="str">
            <v>-</v>
          </cell>
          <cell r="AY104" t="str">
            <v>-</v>
          </cell>
          <cell r="AZ104" t="str">
            <v>-</v>
          </cell>
          <cell r="BA104" t="str">
            <v>-</v>
          </cell>
          <cell r="BB104" t="str">
            <v>-</v>
          </cell>
          <cell r="BC104" t="str">
            <v>-</v>
          </cell>
          <cell r="BD104" t="str">
            <v>-</v>
          </cell>
          <cell r="BE104" t="str">
            <v>-</v>
          </cell>
          <cell r="BF104" t="str">
            <v>-</v>
          </cell>
          <cell r="BG104" t="str">
            <v>-</v>
          </cell>
          <cell r="BH104" t="str">
            <v>-</v>
          </cell>
          <cell r="BI104" t="str">
            <v>-</v>
          </cell>
          <cell r="BJ104" t="str">
            <v>-</v>
          </cell>
          <cell r="BK104" t="str">
            <v>-</v>
          </cell>
          <cell r="BL104" t="str">
            <v>-</v>
          </cell>
          <cell r="BM104">
            <v>0</v>
          </cell>
          <cell r="BN104">
            <v>0</v>
          </cell>
          <cell r="BO104" t="str">
            <v>-</v>
          </cell>
          <cell r="BP104" t="str">
            <v>-</v>
          </cell>
          <cell r="BQ104">
            <v>0</v>
          </cell>
          <cell r="BR104">
            <v>0</v>
          </cell>
          <cell r="BS104">
            <v>0</v>
          </cell>
          <cell r="BT104">
            <v>0</v>
          </cell>
        </row>
        <row r="105">
          <cell r="A105" t="str">
            <v>Denmark2015100 / 100</v>
          </cell>
          <cell r="B105" t="str">
            <v>Denmark</v>
          </cell>
          <cell r="C105">
            <v>2015</v>
          </cell>
          <cell r="D105" t="str">
            <v>100 / 100</v>
          </cell>
          <cell r="E105">
            <v>403600</v>
          </cell>
          <cell r="F105">
            <v>33633.333333333336</v>
          </cell>
          <cell r="G105">
            <v>7761.5981661397391</v>
          </cell>
          <cell r="H105">
            <v>1552.3196332279479</v>
          </cell>
          <cell r="I105">
            <v>403600</v>
          </cell>
          <cell r="J105">
            <v>33633.333333333336</v>
          </cell>
          <cell r="K105">
            <v>7761.5981661397391</v>
          </cell>
          <cell r="L105">
            <v>1552.3196332279479</v>
          </cell>
          <cell r="M105" t="str">
            <v>..</v>
          </cell>
          <cell r="N105" t="str">
            <v>..</v>
          </cell>
          <cell r="O105" t="str">
            <v>..</v>
          </cell>
          <cell r="P105" t="str">
            <v>..</v>
          </cell>
          <cell r="Q105" t="str">
            <v>..</v>
          </cell>
          <cell r="R105" t="str">
            <v>..</v>
          </cell>
          <cell r="S105" t="str">
            <v>..</v>
          </cell>
          <cell r="T105" t="str">
            <v>..</v>
          </cell>
          <cell r="U105" t="str">
            <v>..</v>
          </cell>
          <cell r="V105">
            <v>32</v>
          </cell>
          <cell r="W105">
            <v>0</v>
          </cell>
          <cell r="X105">
            <v>32</v>
          </cell>
          <cell r="Y105" t="str">
            <v>-</v>
          </cell>
          <cell r="Z105" t="str">
            <v>No statutory entitlement to paid father-specific parental leave</v>
          </cell>
          <cell r="AA105" t="str">
            <v>-</v>
          </cell>
          <cell r="AB105" t="str">
            <v>-</v>
          </cell>
          <cell r="AC105" t="str">
            <v>-</v>
          </cell>
          <cell r="AD105" t="str">
            <v>-</v>
          </cell>
          <cell r="AE105" t="str">
            <v>-</v>
          </cell>
          <cell r="AF105" t="str">
            <v>-</v>
          </cell>
          <cell r="AG105" t="str">
            <v>-</v>
          </cell>
          <cell r="AH105" t="str">
            <v>-</v>
          </cell>
          <cell r="AI105" t="str">
            <v>-</v>
          </cell>
          <cell r="AJ105" t="str">
            <v>-</v>
          </cell>
          <cell r="AK105" t="str">
            <v>-</v>
          </cell>
          <cell r="AL105" t="str">
            <v>-</v>
          </cell>
          <cell r="AM105" t="str">
            <v>-</v>
          </cell>
          <cell r="AN105" t="str">
            <v>-</v>
          </cell>
          <cell r="AO105" t="str">
            <v>-</v>
          </cell>
          <cell r="AP105" t="str">
            <v>-</v>
          </cell>
          <cell r="AQ105" t="str">
            <v>-</v>
          </cell>
          <cell r="AR105" t="str">
            <v>-</v>
          </cell>
          <cell r="AS105" t="str">
            <v>-</v>
          </cell>
          <cell r="AT105" t="str">
            <v>-</v>
          </cell>
          <cell r="AU105" t="str">
            <v>-</v>
          </cell>
          <cell r="AV105" t="str">
            <v>-</v>
          </cell>
          <cell r="AW105" t="str">
            <v>-</v>
          </cell>
          <cell r="AX105" t="str">
            <v>-</v>
          </cell>
          <cell r="AY105" t="str">
            <v>-</v>
          </cell>
          <cell r="AZ105" t="str">
            <v>-</v>
          </cell>
          <cell r="BA105" t="str">
            <v>-</v>
          </cell>
          <cell r="BB105" t="str">
            <v>-</v>
          </cell>
          <cell r="BC105" t="str">
            <v>-</v>
          </cell>
          <cell r="BD105" t="str">
            <v>-</v>
          </cell>
          <cell r="BE105" t="str">
            <v>-</v>
          </cell>
          <cell r="BF105" t="str">
            <v>-</v>
          </cell>
          <cell r="BG105" t="str">
            <v>-</v>
          </cell>
          <cell r="BH105" t="str">
            <v>-</v>
          </cell>
          <cell r="BI105" t="str">
            <v>-</v>
          </cell>
          <cell r="BJ105" t="str">
            <v>-</v>
          </cell>
          <cell r="BK105" t="str">
            <v>-</v>
          </cell>
          <cell r="BL105" t="str">
            <v>-</v>
          </cell>
          <cell r="BM105">
            <v>0</v>
          </cell>
          <cell r="BN105">
            <v>0</v>
          </cell>
          <cell r="BO105" t="str">
            <v>-</v>
          </cell>
          <cell r="BP105" t="str">
            <v>-</v>
          </cell>
          <cell r="BQ105">
            <v>0</v>
          </cell>
          <cell r="BR105">
            <v>0</v>
          </cell>
          <cell r="BS105">
            <v>0</v>
          </cell>
          <cell r="BT105">
            <v>0</v>
          </cell>
        </row>
        <row r="106">
          <cell r="A106" t="str">
            <v>Denmark2016100 / 100</v>
          </cell>
          <cell r="B106" t="str">
            <v>Denmark</v>
          </cell>
          <cell r="C106">
            <v>2016</v>
          </cell>
          <cell r="D106" t="str">
            <v>100 / 100</v>
          </cell>
          <cell r="E106">
            <v>406600</v>
          </cell>
          <cell r="F106">
            <v>33883.333333333336</v>
          </cell>
          <cell r="G106">
            <v>7819.290917622443</v>
          </cell>
          <cell r="H106">
            <v>1563.8581835244886</v>
          </cell>
          <cell r="I106">
            <v>406600</v>
          </cell>
          <cell r="J106">
            <v>33883.333333333336</v>
          </cell>
          <cell r="K106">
            <v>7819.290917622443</v>
          </cell>
          <cell r="L106">
            <v>1563.8581835244886</v>
          </cell>
          <cell r="M106" t="str">
            <v>..</v>
          </cell>
          <cell r="N106" t="str">
            <v>..</v>
          </cell>
          <cell r="O106" t="str">
            <v>..</v>
          </cell>
          <cell r="P106" t="str">
            <v>..</v>
          </cell>
          <cell r="Q106" t="str">
            <v>..</v>
          </cell>
          <cell r="R106" t="str">
            <v>..</v>
          </cell>
          <cell r="S106" t="str">
            <v>..</v>
          </cell>
          <cell r="T106" t="str">
            <v>..</v>
          </cell>
          <cell r="U106" t="str">
            <v>..</v>
          </cell>
          <cell r="V106">
            <v>32</v>
          </cell>
          <cell r="W106">
            <v>0</v>
          </cell>
          <cell r="X106">
            <v>32</v>
          </cell>
          <cell r="Y106" t="str">
            <v>-</v>
          </cell>
          <cell r="Z106" t="str">
            <v>No statutory entitlement to paid father-specific parental leave</v>
          </cell>
          <cell r="AA106" t="str">
            <v>-</v>
          </cell>
          <cell r="AB106" t="str">
            <v>-</v>
          </cell>
          <cell r="AC106" t="str">
            <v>-</v>
          </cell>
          <cell r="AD106" t="str">
            <v>-</v>
          </cell>
          <cell r="AE106" t="str">
            <v>-</v>
          </cell>
          <cell r="AF106" t="str">
            <v>-</v>
          </cell>
          <cell r="AG106" t="str">
            <v>-</v>
          </cell>
          <cell r="AH106" t="str">
            <v>-</v>
          </cell>
          <cell r="AI106" t="str">
            <v>-</v>
          </cell>
          <cell r="AJ106" t="str">
            <v>-</v>
          </cell>
          <cell r="AK106" t="str">
            <v>-</v>
          </cell>
          <cell r="AL106" t="str">
            <v>-</v>
          </cell>
          <cell r="AM106" t="str">
            <v>-</v>
          </cell>
          <cell r="AN106" t="str">
            <v>-</v>
          </cell>
          <cell r="AO106" t="str">
            <v>-</v>
          </cell>
          <cell r="AP106" t="str">
            <v>-</v>
          </cell>
          <cell r="AQ106" t="str">
            <v>-</v>
          </cell>
          <cell r="AR106" t="str">
            <v>-</v>
          </cell>
          <cell r="AS106" t="str">
            <v>-</v>
          </cell>
          <cell r="AT106" t="str">
            <v>-</v>
          </cell>
          <cell r="AU106" t="str">
            <v>-</v>
          </cell>
          <cell r="AV106" t="str">
            <v>-</v>
          </cell>
          <cell r="AW106" t="str">
            <v>-</v>
          </cell>
          <cell r="AX106" t="str">
            <v>-</v>
          </cell>
          <cell r="AY106" t="str">
            <v>-</v>
          </cell>
          <cell r="AZ106" t="str">
            <v>-</v>
          </cell>
          <cell r="BA106" t="str">
            <v>-</v>
          </cell>
          <cell r="BB106" t="str">
            <v>-</v>
          </cell>
          <cell r="BC106" t="str">
            <v>-</v>
          </cell>
          <cell r="BD106" t="str">
            <v>-</v>
          </cell>
          <cell r="BE106" t="str">
            <v>-</v>
          </cell>
          <cell r="BF106" t="str">
            <v>-</v>
          </cell>
          <cell r="BG106" t="str">
            <v>-</v>
          </cell>
          <cell r="BH106" t="str">
            <v>-</v>
          </cell>
          <cell r="BI106" t="str">
            <v>-</v>
          </cell>
          <cell r="BJ106" t="str">
            <v>-</v>
          </cell>
          <cell r="BK106" t="str">
            <v>-</v>
          </cell>
          <cell r="BL106" t="str">
            <v>-</v>
          </cell>
          <cell r="BM106">
            <v>0</v>
          </cell>
          <cell r="BN106">
            <v>0</v>
          </cell>
          <cell r="BO106" t="str">
            <v>-</v>
          </cell>
          <cell r="BP106" t="str">
            <v>-</v>
          </cell>
          <cell r="BQ106">
            <v>0</v>
          </cell>
          <cell r="BR106">
            <v>0</v>
          </cell>
          <cell r="BS106">
            <v>0</v>
          </cell>
          <cell r="BT106">
            <v>0</v>
          </cell>
        </row>
        <row r="107">
          <cell r="A107" t="str">
            <v>Denmark2017100 / 100</v>
          </cell>
          <cell r="B107" t="str">
            <v>Denmark</v>
          </cell>
          <cell r="C107">
            <v>2017</v>
          </cell>
          <cell r="D107" t="str">
            <v>100 / 100</v>
          </cell>
          <cell r="E107">
            <v>412045</v>
          </cell>
          <cell r="F107">
            <v>34337.083333333336</v>
          </cell>
          <cell r="G107">
            <v>7924.00326156355</v>
          </cell>
          <cell r="H107">
            <v>1584.8006523127101</v>
          </cell>
          <cell r="I107">
            <v>412045</v>
          </cell>
          <cell r="J107">
            <v>34337.083333333336</v>
          </cell>
          <cell r="K107">
            <v>7924.00326156355</v>
          </cell>
          <cell r="L107">
            <v>1584.8006523127101</v>
          </cell>
          <cell r="M107" t="str">
            <v>..</v>
          </cell>
          <cell r="N107" t="str">
            <v>..</v>
          </cell>
          <cell r="O107" t="str">
            <v>..</v>
          </cell>
          <cell r="P107" t="str">
            <v>..</v>
          </cell>
          <cell r="Q107" t="str">
            <v>..</v>
          </cell>
          <cell r="R107" t="str">
            <v>..</v>
          </cell>
          <cell r="S107" t="str">
            <v>..</v>
          </cell>
          <cell r="T107" t="str">
            <v>..</v>
          </cell>
          <cell r="U107" t="str">
            <v>..</v>
          </cell>
          <cell r="V107">
            <v>32</v>
          </cell>
          <cell r="W107">
            <v>0</v>
          </cell>
          <cell r="X107">
            <v>32</v>
          </cell>
          <cell r="Y107" t="str">
            <v>-</v>
          </cell>
          <cell r="Z107" t="str">
            <v>No statutory entitlement to paid father-specific parental leave</v>
          </cell>
          <cell r="AA107" t="str">
            <v>-</v>
          </cell>
          <cell r="AB107" t="str">
            <v>-</v>
          </cell>
          <cell r="AC107" t="str">
            <v>-</v>
          </cell>
          <cell r="AD107" t="str">
            <v>-</v>
          </cell>
          <cell r="AE107" t="str">
            <v>-</v>
          </cell>
          <cell r="AF107" t="str">
            <v>-</v>
          </cell>
          <cell r="AG107" t="str">
            <v>-</v>
          </cell>
          <cell r="AH107" t="str">
            <v>-</v>
          </cell>
          <cell r="AI107" t="str">
            <v>-</v>
          </cell>
          <cell r="AJ107" t="str">
            <v>-</v>
          </cell>
          <cell r="AK107" t="str">
            <v>-</v>
          </cell>
          <cell r="AL107" t="str">
            <v>-</v>
          </cell>
          <cell r="AM107" t="str">
            <v>-</v>
          </cell>
          <cell r="AN107" t="str">
            <v>-</v>
          </cell>
          <cell r="AO107" t="str">
            <v>-</v>
          </cell>
          <cell r="AP107" t="str">
            <v>-</v>
          </cell>
          <cell r="AQ107" t="str">
            <v>-</v>
          </cell>
          <cell r="AR107" t="str">
            <v>-</v>
          </cell>
          <cell r="AS107" t="str">
            <v>-</v>
          </cell>
          <cell r="AT107" t="str">
            <v>-</v>
          </cell>
          <cell r="AU107" t="str">
            <v>-</v>
          </cell>
          <cell r="AV107" t="str">
            <v>-</v>
          </cell>
          <cell r="AW107" t="str">
            <v>-</v>
          </cell>
          <cell r="AX107" t="str">
            <v>-</v>
          </cell>
          <cell r="AY107" t="str">
            <v>-</v>
          </cell>
          <cell r="AZ107" t="str">
            <v>-</v>
          </cell>
          <cell r="BA107" t="str">
            <v>-</v>
          </cell>
          <cell r="BB107" t="str">
            <v>-</v>
          </cell>
          <cell r="BC107" t="str">
            <v>-</v>
          </cell>
          <cell r="BD107" t="str">
            <v>-</v>
          </cell>
          <cell r="BE107" t="str">
            <v>-</v>
          </cell>
          <cell r="BF107" t="str">
            <v>-</v>
          </cell>
          <cell r="BG107" t="str">
            <v>-</v>
          </cell>
          <cell r="BH107" t="str">
            <v>-</v>
          </cell>
          <cell r="BI107" t="str">
            <v>-</v>
          </cell>
          <cell r="BJ107" t="str">
            <v>-</v>
          </cell>
          <cell r="BK107" t="str">
            <v>-</v>
          </cell>
          <cell r="BL107" t="str">
            <v>-</v>
          </cell>
          <cell r="BM107">
            <v>0</v>
          </cell>
          <cell r="BN107">
            <v>0</v>
          </cell>
          <cell r="BO107" t="str">
            <v>-</v>
          </cell>
          <cell r="BP107" t="str">
            <v>-</v>
          </cell>
          <cell r="BQ107">
            <v>0</v>
          </cell>
          <cell r="BR107">
            <v>0</v>
          </cell>
          <cell r="BS107">
            <v>0</v>
          </cell>
          <cell r="BT107">
            <v>0</v>
          </cell>
        </row>
        <row r="108">
          <cell r="A108" t="str">
            <v>Denmark2018100 / 100</v>
          </cell>
          <cell r="B108" t="str">
            <v>Denmark</v>
          </cell>
          <cell r="C108">
            <v>2018</v>
          </cell>
          <cell r="D108" t="str">
            <v>100 / 100</v>
          </cell>
          <cell r="E108">
            <v>421100</v>
          </cell>
          <cell r="F108">
            <v>35091.666666666664</v>
          </cell>
          <cell r="G108">
            <v>8098.13921645551</v>
          </cell>
          <cell r="H108">
            <v>1619.627843291102</v>
          </cell>
          <cell r="I108">
            <v>421100</v>
          </cell>
          <cell r="J108">
            <v>35091.666666666664</v>
          </cell>
          <cell r="K108">
            <v>8098.13921645551</v>
          </cell>
          <cell r="L108">
            <v>1619.627843291102</v>
          </cell>
          <cell r="M108" t="str">
            <v>..</v>
          </cell>
          <cell r="N108" t="str">
            <v>..</v>
          </cell>
          <cell r="O108" t="str">
            <v>..</v>
          </cell>
          <cell r="P108" t="str">
            <v>..</v>
          </cell>
          <cell r="Q108" t="str">
            <v>..</v>
          </cell>
          <cell r="R108" t="str">
            <v>..</v>
          </cell>
          <cell r="S108" t="str">
            <v>..</v>
          </cell>
          <cell r="T108" t="str">
            <v>..</v>
          </cell>
          <cell r="U108" t="str">
            <v>..</v>
          </cell>
          <cell r="V108">
            <v>32</v>
          </cell>
          <cell r="W108">
            <v>0</v>
          </cell>
          <cell r="X108">
            <v>32</v>
          </cell>
          <cell r="Y108" t="str">
            <v>-</v>
          </cell>
          <cell r="Z108" t="str">
            <v>No statutory entitlement to paid father-specific parental leave</v>
          </cell>
          <cell r="AA108" t="str">
            <v>-</v>
          </cell>
          <cell r="AB108" t="str">
            <v>-</v>
          </cell>
          <cell r="AC108" t="str">
            <v>-</v>
          </cell>
          <cell r="AD108" t="str">
            <v>-</v>
          </cell>
          <cell r="AE108" t="str">
            <v>-</v>
          </cell>
          <cell r="AF108" t="str">
            <v>-</v>
          </cell>
          <cell r="AG108" t="str">
            <v>-</v>
          </cell>
          <cell r="AH108" t="str">
            <v>-</v>
          </cell>
          <cell r="AI108" t="str">
            <v>-</v>
          </cell>
          <cell r="AJ108" t="str">
            <v>-</v>
          </cell>
          <cell r="AK108" t="str">
            <v>-</v>
          </cell>
          <cell r="AL108" t="str">
            <v>-</v>
          </cell>
          <cell r="AM108" t="str">
            <v>-</v>
          </cell>
          <cell r="AN108" t="str">
            <v>-</v>
          </cell>
          <cell r="AO108" t="str">
            <v>-</v>
          </cell>
          <cell r="AP108" t="str">
            <v>-</v>
          </cell>
          <cell r="AQ108" t="str">
            <v>-</v>
          </cell>
          <cell r="AR108" t="str">
            <v>-</v>
          </cell>
          <cell r="AS108" t="str">
            <v>-</v>
          </cell>
          <cell r="AT108" t="str">
            <v>-</v>
          </cell>
          <cell r="AU108" t="str">
            <v>-</v>
          </cell>
          <cell r="AV108" t="str">
            <v>-</v>
          </cell>
          <cell r="AW108" t="str">
            <v>-</v>
          </cell>
          <cell r="AX108" t="str">
            <v>-</v>
          </cell>
          <cell r="AY108" t="str">
            <v>-</v>
          </cell>
          <cell r="AZ108" t="str">
            <v>-</v>
          </cell>
          <cell r="BA108" t="str">
            <v>-</v>
          </cell>
          <cell r="BB108" t="str">
            <v>-</v>
          </cell>
          <cell r="BC108" t="str">
            <v>-</v>
          </cell>
          <cell r="BD108" t="str">
            <v>-</v>
          </cell>
          <cell r="BE108" t="str">
            <v>-</v>
          </cell>
          <cell r="BF108" t="str">
            <v>-</v>
          </cell>
          <cell r="BG108" t="str">
            <v>-</v>
          </cell>
          <cell r="BH108" t="str">
            <v>-</v>
          </cell>
          <cell r="BI108" t="str">
            <v>-</v>
          </cell>
          <cell r="BJ108" t="str">
            <v>-</v>
          </cell>
          <cell r="BK108" t="str">
            <v>-</v>
          </cell>
          <cell r="BL108" t="str">
            <v>-</v>
          </cell>
          <cell r="BM108">
            <v>0</v>
          </cell>
          <cell r="BN108">
            <v>0</v>
          </cell>
          <cell r="BO108" t="str">
            <v>-</v>
          </cell>
          <cell r="BP108" t="str">
            <v>-</v>
          </cell>
          <cell r="BQ108">
            <v>0</v>
          </cell>
          <cell r="BR108">
            <v>0</v>
          </cell>
          <cell r="BS108">
            <v>0</v>
          </cell>
          <cell r="BT108">
            <v>0</v>
          </cell>
        </row>
        <row r="109">
          <cell r="A109" t="str">
            <v>Denmark2019100 / 100</v>
          </cell>
          <cell r="B109" t="str">
            <v>Denmark</v>
          </cell>
          <cell r="C109">
            <v>2019</v>
          </cell>
          <cell r="D109" t="str">
            <v>100 / 100</v>
          </cell>
          <cell r="E109">
            <v>432300</v>
          </cell>
          <cell r="F109">
            <v>36025</v>
          </cell>
          <cell r="G109">
            <v>8313.525488657604</v>
          </cell>
          <cell r="H109">
            <v>1662.7050977315207</v>
          </cell>
          <cell r="I109">
            <v>432300</v>
          </cell>
          <cell r="J109">
            <v>36025</v>
          </cell>
          <cell r="K109">
            <v>8313.525488657604</v>
          </cell>
          <cell r="L109">
            <v>1662.7050977315207</v>
          </cell>
          <cell r="M109" t="str">
            <v>..</v>
          </cell>
          <cell r="N109" t="str">
            <v>..</v>
          </cell>
          <cell r="O109" t="str">
            <v>..</v>
          </cell>
          <cell r="P109" t="str">
            <v>..</v>
          </cell>
          <cell r="Q109" t="str">
            <v>..</v>
          </cell>
          <cell r="R109" t="str">
            <v>..</v>
          </cell>
          <cell r="S109" t="str">
            <v>..</v>
          </cell>
          <cell r="T109" t="str">
            <v>..</v>
          </cell>
          <cell r="U109" t="str">
            <v>..</v>
          </cell>
          <cell r="V109">
            <v>32</v>
          </cell>
          <cell r="W109">
            <v>0</v>
          </cell>
          <cell r="X109">
            <v>32</v>
          </cell>
          <cell r="Y109" t="str">
            <v>-</v>
          </cell>
          <cell r="Z109" t="str">
            <v>No statutory entitlement to paid father-specific parental leave</v>
          </cell>
          <cell r="AA109" t="str">
            <v>-</v>
          </cell>
          <cell r="AB109" t="str">
            <v>-</v>
          </cell>
          <cell r="AC109" t="str">
            <v>-</v>
          </cell>
          <cell r="AD109" t="str">
            <v>-</v>
          </cell>
          <cell r="AE109" t="str">
            <v>-</v>
          </cell>
          <cell r="AF109" t="str">
            <v>-</v>
          </cell>
          <cell r="AG109" t="str">
            <v>-</v>
          </cell>
          <cell r="AH109" t="str">
            <v>-</v>
          </cell>
          <cell r="AI109" t="str">
            <v>-</v>
          </cell>
          <cell r="AJ109" t="str">
            <v>-</v>
          </cell>
          <cell r="AK109" t="str">
            <v>-</v>
          </cell>
          <cell r="AL109" t="str">
            <v>-</v>
          </cell>
          <cell r="AM109" t="str">
            <v>-</v>
          </cell>
          <cell r="AN109" t="str">
            <v>-</v>
          </cell>
          <cell r="AO109" t="str">
            <v>-</v>
          </cell>
          <cell r="AP109" t="str">
            <v>-</v>
          </cell>
          <cell r="AQ109" t="str">
            <v>-</v>
          </cell>
          <cell r="AR109" t="str">
            <v>-</v>
          </cell>
          <cell r="AS109" t="str">
            <v>-</v>
          </cell>
          <cell r="AT109" t="str">
            <v>-</v>
          </cell>
          <cell r="AU109" t="str">
            <v>-</v>
          </cell>
          <cell r="AV109" t="str">
            <v>-</v>
          </cell>
          <cell r="AW109" t="str">
            <v>-</v>
          </cell>
          <cell r="AX109" t="str">
            <v>-</v>
          </cell>
          <cell r="AY109" t="str">
            <v>-</v>
          </cell>
          <cell r="AZ109" t="str">
            <v>-</v>
          </cell>
          <cell r="BA109" t="str">
            <v>-</v>
          </cell>
          <cell r="BB109" t="str">
            <v>-</v>
          </cell>
          <cell r="BC109" t="str">
            <v>-</v>
          </cell>
          <cell r="BD109" t="str">
            <v>-</v>
          </cell>
          <cell r="BE109" t="str">
            <v>-</v>
          </cell>
          <cell r="BF109" t="str">
            <v>-</v>
          </cell>
          <cell r="BG109" t="str">
            <v>-</v>
          </cell>
          <cell r="BH109" t="str">
            <v>-</v>
          </cell>
          <cell r="BI109" t="str">
            <v>-</v>
          </cell>
          <cell r="BJ109" t="str">
            <v>-</v>
          </cell>
          <cell r="BK109" t="str">
            <v>-</v>
          </cell>
          <cell r="BL109" t="str">
            <v>-</v>
          </cell>
          <cell r="BM109">
            <v>0</v>
          </cell>
          <cell r="BN109">
            <v>0</v>
          </cell>
          <cell r="BO109" t="str">
            <v>-</v>
          </cell>
          <cell r="BP109" t="str">
            <v>-</v>
          </cell>
          <cell r="BQ109">
            <v>0</v>
          </cell>
          <cell r="BR109">
            <v>0</v>
          </cell>
          <cell r="BS109">
            <v>0</v>
          </cell>
          <cell r="BT109">
            <v>0</v>
          </cell>
        </row>
        <row r="110">
          <cell r="A110" t="str">
            <v>Denmark2020100 / 100</v>
          </cell>
          <cell r="B110" t="str">
            <v>Denmark</v>
          </cell>
          <cell r="C110">
            <v>2020</v>
          </cell>
          <cell r="D110" t="str">
            <v>100 / 100</v>
          </cell>
          <cell r="E110">
            <v>440000</v>
          </cell>
          <cell r="F110">
            <v>36666.666666666664</v>
          </cell>
          <cell r="G110">
            <v>8461.6035507965425</v>
          </cell>
          <cell r="H110">
            <v>1692.3207101593084</v>
          </cell>
          <cell r="I110">
            <v>440000</v>
          </cell>
          <cell r="J110">
            <v>36666.666666666664</v>
          </cell>
          <cell r="K110">
            <v>8461.6035507965425</v>
          </cell>
          <cell r="L110">
            <v>1692.3207101593084</v>
          </cell>
          <cell r="M110" t="str">
            <v>..</v>
          </cell>
          <cell r="N110" t="str">
            <v>..</v>
          </cell>
          <cell r="O110" t="str">
            <v>..</v>
          </cell>
          <cell r="P110" t="str">
            <v>..</v>
          </cell>
          <cell r="Q110" t="str">
            <v>..</v>
          </cell>
          <cell r="R110" t="str">
            <v>..</v>
          </cell>
          <cell r="S110" t="str">
            <v>..</v>
          </cell>
          <cell r="T110" t="str">
            <v>..</v>
          </cell>
          <cell r="U110" t="str">
            <v>..</v>
          </cell>
          <cell r="V110">
            <v>32</v>
          </cell>
          <cell r="W110">
            <v>0</v>
          </cell>
          <cell r="X110">
            <v>32</v>
          </cell>
          <cell r="Y110" t="str">
            <v>-</v>
          </cell>
          <cell r="Z110" t="str">
            <v>No statutory entitlement to paid father-specific parental leave</v>
          </cell>
          <cell r="AA110" t="str">
            <v>-</v>
          </cell>
          <cell r="AB110" t="str">
            <v>-</v>
          </cell>
          <cell r="AC110" t="str">
            <v>-</v>
          </cell>
          <cell r="AD110" t="str">
            <v>-</v>
          </cell>
          <cell r="AE110" t="str">
            <v>-</v>
          </cell>
          <cell r="AF110" t="str">
            <v>-</v>
          </cell>
          <cell r="AG110" t="str">
            <v>-</v>
          </cell>
          <cell r="AH110" t="str">
            <v>-</v>
          </cell>
          <cell r="AI110" t="str">
            <v>-</v>
          </cell>
          <cell r="AJ110" t="str">
            <v>-</v>
          </cell>
          <cell r="AK110" t="str">
            <v>-</v>
          </cell>
          <cell r="AL110" t="str">
            <v>-</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cell r="BE110" t="str">
            <v>-</v>
          </cell>
          <cell r="BF110" t="str">
            <v>-</v>
          </cell>
          <cell r="BG110" t="str">
            <v>-</v>
          </cell>
          <cell r="BH110" t="str">
            <v>-</v>
          </cell>
          <cell r="BI110" t="str">
            <v>-</v>
          </cell>
          <cell r="BJ110" t="str">
            <v>-</v>
          </cell>
          <cell r="BK110" t="str">
            <v>-</v>
          </cell>
          <cell r="BL110" t="str">
            <v>-</v>
          </cell>
          <cell r="BM110">
            <v>0</v>
          </cell>
          <cell r="BN110">
            <v>0</v>
          </cell>
          <cell r="BO110" t="str">
            <v>-</v>
          </cell>
          <cell r="BP110" t="str">
            <v>-</v>
          </cell>
          <cell r="BQ110">
            <v>0</v>
          </cell>
          <cell r="BR110">
            <v>0</v>
          </cell>
          <cell r="BS110">
            <v>0</v>
          </cell>
          <cell r="BT110">
            <v>0</v>
          </cell>
        </row>
        <row r="111">
          <cell r="A111" t="str">
            <v>Denmark2021100 / 100</v>
          </cell>
          <cell r="B111" t="str">
            <v>Denmark</v>
          </cell>
          <cell r="C111">
            <v>2021</v>
          </cell>
          <cell r="D111" t="str">
            <v>100 / 100</v>
          </cell>
          <cell r="E111">
            <v>451800</v>
          </cell>
          <cell r="F111">
            <v>37650</v>
          </cell>
          <cell r="G111">
            <v>8688.5283732951793</v>
          </cell>
          <cell r="H111">
            <v>1737.7056746590358</v>
          </cell>
          <cell r="I111">
            <v>451800</v>
          </cell>
          <cell r="J111">
            <v>37650</v>
          </cell>
          <cell r="K111">
            <v>8688.5283732951793</v>
          </cell>
          <cell r="L111">
            <v>1737.7056746590358</v>
          </cell>
          <cell r="M111" t="str">
            <v>..</v>
          </cell>
          <cell r="N111" t="str">
            <v>..</v>
          </cell>
          <cell r="O111" t="str">
            <v>..</v>
          </cell>
          <cell r="P111" t="str">
            <v>..</v>
          </cell>
          <cell r="Q111" t="str">
            <v>..</v>
          </cell>
          <cell r="R111" t="str">
            <v>..</v>
          </cell>
          <cell r="S111" t="str">
            <v>..</v>
          </cell>
          <cell r="T111" t="str">
            <v>..</v>
          </cell>
          <cell r="U111" t="str">
            <v>..</v>
          </cell>
          <cell r="V111">
            <v>32</v>
          </cell>
          <cell r="W111">
            <v>0</v>
          </cell>
          <cell r="X111">
            <v>32</v>
          </cell>
          <cell r="Y111" t="str">
            <v>-</v>
          </cell>
          <cell r="Z111" t="str">
            <v>No statutory entitlement to paid father-specific parental leave</v>
          </cell>
          <cell r="AA111" t="str">
            <v>-</v>
          </cell>
          <cell r="AB111" t="str">
            <v>-</v>
          </cell>
          <cell r="AC111" t="str">
            <v>-</v>
          </cell>
          <cell r="AD111" t="str">
            <v>-</v>
          </cell>
          <cell r="AE111" t="str">
            <v>-</v>
          </cell>
          <cell r="AF111" t="str">
            <v>-</v>
          </cell>
          <cell r="AG111" t="str">
            <v>-</v>
          </cell>
          <cell r="AH111" t="str">
            <v>-</v>
          </cell>
          <cell r="AI111" t="str">
            <v>-</v>
          </cell>
          <cell r="AJ111" t="str">
            <v>-</v>
          </cell>
          <cell r="AK111" t="str">
            <v>-</v>
          </cell>
          <cell r="AL111" t="str">
            <v>-</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cell r="BD111" t="str">
            <v>-</v>
          </cell>
          <cell r="BE111" t="str">
            <v>-</v>
          </cell>
          <cell r="BF111" t="str">
            <v>-</v>
          </cell>
          <cell r="BG111" t="str">
            <v>-</v>
          </cell>
          <cell r="BH111" t="str">
            <v>-</v>
          </cell>
          <cell r="BI111" t="str">
            <v>-</v>
          </cell>
          <cell r="BJ111" t="str">
            <v>-</v>
          </cell>
          <cell r="BK111" t="str">
            <v>-</v>
          </cell>
          <cell r="BL111" t="str">
            <v>-</v>
          </cell>
          <cell r="BM111">
            <v>0</v>
          </cell>
          <cell r="BN111">
            <v>0</v>
          </cell>
          <cell r="BO111" t="str">
            <v>-</v>
          </cell>
          <cell r="BP111" t="str">
            <v>-</v>
          </cell>
          <cell r="BQ111">
            <v>0</v>
          </cell>
          <cell r="BR111">
            <v>0</v>
          </cell>
          <cell r="BS111">
            <v>0</v>
          </cell>
          <cell r="BT111">
            <v>0</v>
          </cell>
        </row>
        <row r="112">
          <cell r="A112" t="str">
            <v>Denmark2022100 / 100</v>
          </cell>
          <cell r="B112" t="str">
            <v>Denmark</v>
          </cell>
          <cell r="C112">
            <v>2022</v>
          </cell>
          <cell r="D112" t="str">
            <v>100 / 100</v>
          </cell>
          <cell r="E112">
            <v>469400</v>
          </cell>
          <cell r="F112">
            <v>39116.666666666664</v>
          </cell>
          <cell r="G112">
            <v>9026.9925153270397</v>
          </cell>
          <cell r="H112">
            <v>1805.398503065408</v>
          </cell>
          <cell r="I112">
            <v>469400</v>
          </cell>
          <cell r="J112">
            <v>39116.666666666664</v>
          </cell>
          <cell r="K112">
            <v>9026.9925153270397</v>
          </cell>
          <cell r="L112">
            <v>1805.398503065408</v>
          </cell>
          <cell r="M112" t="str">
            <v>..</v>
          </cell>
          <cell r="N112" t="str">
            <v>..</v>
          </cell>
          <cell r="O112" t="str">
            <v>..</v>
          </cell>
          <cell r="P112" t="str">
            <v>..</v>
          </cell>
          <cell r="Q112" t="str">
            <v>..</v>
          </cell>
          <cell r="R112" t="str">
            <v>..</v>
          </cell>
          <cell r="S112" t="str">
            <v>..</v>
          </cell>
          <cell r="T112" t="str">
            <v>..</v>
          </cell>
          <cell r="U112" t="str">
            <v>..</v>
          </cell>
          <cell r="V112">
            <v>32</v>
          </cell>
          <cell r="W112">
            <v>0</v>
          </cell>
          <cell r="X112">
            <v>32</v>
          </cell>
          <cell r="Y112" t="str">
            <v>-</v>
          </cell>
          <cell r="Z112" t="str">
            <v>No statutory entitlement to paid father-specific parental leave</v>
          </cell>
          <cell r="AA112" t="str">
            <v>-</v>
          </cell>
          <cell r="AB112" t="str">
            <v>-</v>
          </cell>
          <cell r="AC112" t="str">
            <v>-</v>
          </cell>
          <cell r="AD112" t="str">
            <v>-</v>
          </cell>
          <cell r="AE112" t="str">
            <v>-</v>
          </cell>
          <cell r="AF112" t="str">
            <v>-</v>
          </cell>
          <cell r="AG112" t="str">
            <v>-</v>
          </cell>
          <cell r="AH112" t="str">
            <v>-</v>
          </cell>
          <cell r="AI112" t="str">
            <v>-</v>
          </cell>
          <cell r="AJ112" t="str">
            <v>-</v>
          </cell>
          <cell r="AK112" t="str">
            <v>-</v>
          </cell>
          <cell r="AL112" t="str">
            <v>-</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cell r="BD112" t="str">
            <v>-</v>
          </cell>
          <cell r="BE112" t="str">
            <v>-</v>
          </cell>
          <cell r="BF112" t="str">
            <v>-</v>
          </cell>
          <cell r="BG112" t="str">
            <v>-</v>
          </cell>
          <cell r="BH112" t="str">
            <v>-</v>
          </cell>
          <cell r="BI112" t="str">
            <v>-</v>
          </cell>
          <cell r="BJ112" t="str">
            <v>-</v>
          </cell>
          <cell r="BK112" t="str">
            <v>-</v>
          </cell>
          <cell r="BL112" t="str">
            <v>-</v>
          </cell>
          <cell r="BM112">
            <v>0</v>
          </cell>
          <cell r="BN112">
            <v>0</v>
          </cell>
          <cell r="BO112" t="str">
            <v>-</v>
          </cell>
          <cell r="BP112" t="str">
            <v>-</v>
          </cell>
          <cell r="BQ112">
            <v>0</v>
          </cell>
          <cell r="BR112">
            <v>0</v>
          </cell>
          <cell r="BS112">
            <v>0</v>
          </cell>
          <cell r="BT112">
            <v>0</v>
          </cell>
        </row>
        <row r="113">
          <cell r="A113" t="str">
            <v>Denmark2023100 / 100</v>
          </cell>
          <cell r="B113" t="str">
            <v>Denmark</v>
          </cell>
          <cell r="C113">
            <v>2023</v>
          </cell>
          <cell r="D113" t="str">
            <v>100 / 100</v>
          </cell>
          <cell r="E113">
            <v>491253.02</v>
          </cell>
          <cell r="F113">
            <v>40937.751666666671</v>
          </cell>
          <cell r="G113">
            <v>9447.2461326625598</v>
          </cell>
          <cell r="H113">
            <v>1889.4492265325121</v>
          </cell>
          <cell r="I113">
            <v>491253.02</v>
          </cell>
          <cell r="J113">
            <v>40937.751666666671</v>
          </cell>
          <cell r="K113">
            <v>9447.2461326625598</v>
          </cell>
          <cell r="L113">
            <v>1889.4492265325121</v>
          </cell>
          <cell r="M113" t="str">
            <v>..</v>
          </cell>
          <cell r="N113" t="str">
            <v>..</v>
          </cell>
          <cell r="O113" t="str">
            <v>..</v>
          </cell>
          <cell r="P113" t="str">
            <v>..</v>
          </cell>
          <cell r="Q113" t="str">
            <v>..</v>
          </cell>
          <cell r="R113" t="str">
            <v>..</v>
          </cell>
          <cell r="S113" t="str">
            <v>..</v>
          </cell>
          <cell r="T113" t="str">
            <v>..</v>
          </cell>
          <cell r="U113" t="str">
            <v>..</v>
          </cell>
          <cell r="V113">
            <v>9</v>
          </cell>
          <cell r="W113">
            <v>9</v>
          </cell>
          <cell r="X113">
            <v>0</v>
          </cell>
          <cell r="Y113" t="str">
            <v>-</v>
          </cell>
          <cell r="Z113" t="str">
            <v>Fourteen weeks minus five weeks transferred from the father or other parent. All employees are entitled to a daily cash benefits based on 100 per cent of former earnings up to a ceiling of DKK 4.550 per week before taxes for full-time employees and self-employed.</v>
          </cell>
          <cell r="AA113" t="str">
            <v>-</v>
          </cell>
          <cell r="AB113" t="str">
            <v>-</v>
          </cell>
          <cell r="AC113">
            <v>9</v>
          </cell>
          <cell r="AD113">
            <v>1</v>
          </cell>
          <cell r="AE113">
            <v>4550</v>
          </cell>
          <cell r="AF113" t="str">
            <v>Week</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cell r="BE113" t="str">
            <v>-</v>
          </cell>
          <cell r="BF113" t="str">
            <v>-</v>
          </cell>
          <cell r="BG113" t="str">
            <v>-</v>
          </cell>
          <cell r="BH113" t="str">
            <v>-</v>
          </cell>
          <cell r="BI113" t="str">
            <v>-</v>
          </cell>
          <cell r="BJ113" t="str">
            <v>-</v>
          </cell>
          <cell r="BK113" t="str">
            <v>-</v>
          </cell>
          <cell r="BL113" t="str">
            <v>-</v>
          </cell>
          <cell r="BM113">
            <v>0.48162183308308204</v>
          </cell>
          <cell r="BN113">
            <v>0.48162183308308204</v>
          </cell>
          <cell r="BO113" t="str">
            <v>-</v>
          </cell>
          <cell r="BP113" t="str">
            <v>-</v>
          </cell>
          <cell r="BQ113">
            <v>236598.17999999996</v>
          </cell>
          <cell r="BR113">
            <v>19716.514999999999</v>
          </cell>
          <cell r="BS113">
            <v>4550</v>
          </cell>
          <cell r="BT113">
            <v>910</v>
          </cell>
        </row>
        <row r="114">
          <cell r="A114" t="str">
            <v>Denmark2024100 / 100</v>
          </cell>
          <cell r="B114" t="str">
            <v>Denmark</v>
          </cell>
          <cell r="C114">
            <v>2024</v>
          </cell>
          <cell r="D114" t="str">
            <v>100 / 100</v>
          </cell>
          <cell r="E114">
            <v>509092.9</v>
          </cell>
          <cell r="F114">
            <v>42424.408333333333</v>
          </cell>
          <cell r="G114">
            <v>9790.323387102977</v>
          </cell>
          <cell r="H114">
            <v>1958.0646774205954</v>
          </cell>
          <cell r="I114">
            <v>509092.9</v>
          </cell>
          <cell r="J114">
            <v>42424.408333333333</v>
          </cell>
          <cell r="K114">
            <v>9790.323387102977</v>
          </cell>
          <cell r="L114">
            <v>1958.0646774205954</v>
          </cell>
          <cell r="M114" t="str">
            <v>..</v>
          </cell>
          <cell r="N114" t="str">
            <v>..</v>
          </cell>
          <cell r="O114" t="str">
            <v>..</v>
          </cell>
          <cell r="P114" t="str">
            <v>..</v>
          </cell>
          <cell r="Q114" t="str">
            <v>..</v>
          </cell>
          <cell r="R114" t="str">
            <v>..</v>
          </cell>
          <cell r="S114" t="str">
            <v>..</v>
          </cell>
          <cell r="T114" t="str">
            <v>..</v>
          </cell>
          <cell r="U114" t="str">
            <v>..</v>
          </cell>
          <cell r="V114">
            <v>9</v>
          </cell>
          <cell r="W114">
            <v>9</v>
          </cell>
          <cell r="X114">
            <v>0</v>
          </cell>
          <cell r="Y114" t="str">
            <v>-</v>
          </cell>
          <cell r="Z114" t="str">
            <v>Fourteen weeks minus five weeks transferred from the father or other parent. All employees are entitled to a daily cash benefits based on 100 per cent of former earnings up to a ceiling of DKK 4.695 per week before taxes for full-time employees and self-employed.</v>
          </cell>
          <cell r="AA114" t="str">
            <v>-</v>
          </cell>
          <cell r="AB114" t="str">
            <v>-</v>
          </cell>
          <cell r="AC114">
            <v>9</v>
          </cell>
          <cell r="AD114">
            <v>1</v>
          </cell>
          <cell r="AE114">
            <v>4695</v>
          </cell>
          <cell r="AF114" t="str">
            <v>Week</v>
          </cell>
          <cell r="AG114" t="str">
            <v>-</v>
          </cell>
          <cell r="AH114" t="str">
            <v>-</v>
          </cell>
          <cell r="AI114" t="str">
            <v>-</v>
          </cell>
          <cell r="AJ114" t="str">
            <v>-</v>
          </cell>
          <cell r="AK114" t="str">
            <v>-</v>
          </cell>
          <cell r="AL114" t="str">
            <v>-</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cell r="BD114" t="str">
            <v>-</v>
          </cell>
          <cell r="BE114" t="str">
            <v>-</v>
          </cell>
          <cell r="BF114" t="str">
            <v>-</v>
          </cell>
          <cell r="BG114" t="str">
            <v>-</v>
          </cell>
          <cell r="BH114" t="str">
            <v>-</v>
          </cell>
          <cell r="BI114" t="str">
            <v>-</v>
          </cell>
          <cell r="BJ114" t="str">
            <v>-</v>
          </cell>
          <cell r="BK114" t="str">
            <v>-</v>
          </cell>
          <cell r="BL114" t="str">
            <v>-</v>
          </cell>
          <cell r="BM114">
            <v>0.4795551499539672</v>
          </cell>
          <cell r="BN114">
            <v>0.4795551499539672</v>
          </cell>
          <cell r="BO114" t="str">
            <v>-</v>
          </cell>
          <cell r="BP114" t="str">
            <v>-</v>
          </cell>
          <cell r="BQ114">
            <v>244138.12200000003</v>
          </cell>
          <cell r="BR114">
            <v>20344.843500000003</v>
          </cell>
          <cell r="BS114">
            <v>4695</v>
          </cell>
          <cell r="BT114">
            <v>939</v>
          </cell>
        </row>
        <row r="115">
          <cell r="A115" t="str">
            <v>Denmark2025100 / 100</v>
          </cell>
          <cell r="B115" t="str">
            <v>Denmark</v>
          </cell>
          <cell r="C115">
            <v>2025</v>
          </cell>
          <cell r="D115" t="str">
            <v>100 / 100</v>
          </cell>
          <cell r="E115">
            <v>509092.9</v>
          </cell>
          <cell r="F115">
            <v>42424.408333333333</v>
          </cell>
          <cell r="G115">
            <v>9790.323387102977</v>
          </cell>
          <cell r="H115">
            <v>1958.0646774205954</v>
          </cell>
          <cell r="I115">
            <v>509092.9</v>
          </cell>
          <cell r="J115">
            <v>42424.408333333333</v>
          </cell>
          <cell r="K115">
            <v>9790.323387102977</v>
          </cell>
          <cell r="L115">
            <v>1958.0646774205954</v>
          </cell>
          <cell r="M115" t="str">
            <v>..</v>
          </cell>
          <cell r="N115" t="str">
            <v>..</v>
          </cell>
          <cell r="O115" t="str">
            <v>..</v>
          </cell>
          <cell r="P115" t="str">
            <v>..</v>
          </cell>
          <cell r="Q115" t="str">
            <v>..</v>
          </cell>
          <cell r="R115" t="str">
            <v>..</v>
          </cell>
          <cell r="S115" t="str">
            <v>..</v>
          </cell>
          <cell r="T115" t="str">
            <v>..</v>
          </cell>
          <cell r="U115" t="str">
            <v>..</v>
          </cell>
          <cell r="V115">
            <v>9</v>
          </cell>
          <cell r="W115">
            <v>9</v>
          </cell>
          <cell r="X115">
            <v>0</v>
          </cell>
          <cell r="Y115" t="str">
            <v>-</v>
          </cell>
          <cell r="Z115" t="str">
            <v>Fourteen weeks minus five weeks transferred from the father or other parent. All employees are entitled to a daily cash benefits based on 100 per cent of former earnings up to a ceiling of DKK 4.865 per week before taxes for full-time employees and self-employed.</v>
          </cell>
          <cell r="AA115" t="str">
            <v>-</v>
          </cell>
          <cell r="AB115" t="str">
            <v>-</v>
          </cell>
          <cell r="AC115">
            <v>9</v>
          </cell>
          <cell r="AD115">
            <v>1</v>
          </cell>
          <cell r="AE115">
            <v>4865</v>
          </cell>
          <cell r="AF115" t="str">
            <v>Week</v>
          </cell>
          <cell r="AG115" t="str">
            <v>-</v>
          </cell>
          <cell r="AH115" t="str">
            <v>-</v>
          </cell>
          <cell r="AI115" t="str">
            <v>-</v>
          </cell>
          <cell r="AJ115" t="str">
            <v>-</v>
          </cell>
          <cell r="AK115" t="str">
            <v>-</v>
          </cell>
          <cell r="AL115" t="str">
            <v>-</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cell r="BD115" t="str">
            <v>-</v>
          </cell>
          <cell r="BE115" t="str">
            <v>-</v>
          </cell>
          <cell r="BF115" t="str">
            <v>-</v>
          </cell>
          <cell r="BG115" t="str">
            <v>-</v>
          </cell>
          <cell r="BH115" t="str">
            <v>-</v>
          </cell>
          <cell r="BI115" t="str">
            <v>-</v>
          </cell>
          <cell r="BJ115" t="str">
            <v>-</v>
          </cell>
          <cell r="BK115" t="str">
            <v>-</v>
          </cell>
          <cell r="BL115" t="str">
            <v>-</v>
          </cell>
          <cell r="BM115">
            <v>0.49691923419085199</v>
          </cell>
          <cell r="BN115">
            <v>0.49691923419085199</v>
          </cell>
          <cell r="BO115" t="str">
            <v>-</v>
          </cell>
          <cell r="BP115" t="str">
            <v>-</v>
          </cell>
          <cell r="BQ115">
            <v>252978.054</v>
          </cell>
          <cell r="BR115">
            <v>21081.504499999999</v>
          </cell>
          <cell r="BS115">
            <v>4864.9999999999991</v>
          </cell>
          <cell r="BT115">
            <v>972.99999999999989</v>
          </cell>
        </row>
        <row r="116">
          <cell r="A116" t="str">
            <v>Estonia2014100 / 100</v>
          </cell>
          <cell r="B116" t="str">
            <v>Estonia</v>
          </cell>
          <cell r="C116">
            <v>2014</v>
          </cell>
          <cell r="D116" t="str">
            <v>100 / 100</v>
          </cell>
          <cell r="E116">
            <v>12337.985000000001</v>
          </cell>
          <cell r="F116">
            <v>1028.1654166666667</v>
          </cell>
          <cell r="G116">
            <v>237.27076746744206</v>
          </cell>
          <cell r="H116">
            <v>47.454153493488413</v>
          </cell>
          <cell r="I116">
            <v>12337.985000000001</v>
          </cell>
          <cell r="J116">
            <v>1028.1654166666667</v>
          </cell>
          <cell r="K116">
            <v>237.27076746744206</v>
          </cell>
          <cell r="L116">
            <v>47.454153493488413</v>
          </cell>
          <cell r="M116" t="str">
            <v>..</v>
          </cell>
          <cell r="N116" t="str">
            <v>..</v>
          </cell>
          <cell r="O116" t="str">
            <v>..</v>
          </cell>
          <cell r="P116" t="str">
            <v>..</v>
          </cell>
          <cell r="Q116" t="str">
            <v>..</v>
          </cell>
          <cell r="R116" t="str">
            <v>..</v>
          </cell>
          <cell r="S116" t="str">
            <v>..</v>
          </cell>
          <cell r="T116" t="str">
            <v>..</v>
          </cell>
          <cell r="U116" t="str">
            <v>..</v>
          </cell>
          <cell r="V116">
            <v>0</v>
          </cell>
          <cell r="W116">
            <v>0</v>
          </cell>
          <cell r="X116">
            <v>0</v>
          </cell>
          <cell r="Y116" t="str">
            <v>-</v>
          </cell>
          <cell r="Z116" t="str">
            <v>No statutory entitlement</v>
          </cell>
          <cell r="AA116" t="str">
            <v>-</v>
          </cell>
          <cell r="AB116" t="str">
            <v>-</v>
          </cell>
          <cell r="AC116" t="str">
            <v>-</v>
          </cell>
          <cell r="AD116" t="str">
            <v>-</v>
          </cell>
          <cell r="AE116" t="str">
            <v>-</v>
          </cell>
          <cell r="AF116" t="str">
            <v>-</v>
          </cell>
          <cell r="AG116" t="str">
            <v>-</v>
          </cell>
          <cell r="AH116" t="str">
            <v>-</v>
          </cell>
          <cell r="AI116" t="str">
            <v>-</v>
          </cell>
          <cell r="AJ116" t="str">
            <v>-</v>
          </cell>
          <cell r="AK116" t="str">
            <v>-</v>
          </cell>
          <cell r="AL116" t="str">
            <v>-</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cell r="BD116" t="str">
            <v>-</v>
          </cell>
          <cell r="BE116" t="str">
            <v>-</v>
          </cell>
          <cell r="BF116" t="str">
            <v>-</v>
          </cell>
          <cell r="BG116" t="str">
            <v>-</v>
          </cell>
          <cell r="BH116" t="str">
            <v>-</v>
          </cell>
          <cell r="BI116" t="str">
            <v>-</v>
          </cell>
          <cell r="BJ116" t="str">
            <v>-</v>
          </cell>
          <cell r="BK116" t="str">
            <v>-</v>
          </cell>
          <cell r="BL116" t="str">
            <v>-</v>
          </cell>
          <cell r="BM116">
            <v>0</v>
          </cell>
          <cell r="BN116">
            <v>0</v>
          </cell>
          <cell r="BO116" t="str">
            <v>-</v>
          </cell>
          <cell r="BP116" t="str">
            <v>-</v>
          </cell>
          <cell r="BQ116">
            <v>0</v>
          </cell>
          <cell r="BR116">
            <v>0</v>
          </cell>
          <cell r="BS116">
            <v>0</v>
          </cell>
          <cell r="BT116">
            <v>0</v>
          </cell>
        </row>
        <row r="117">
          <cell r="A117" t="str">
            <v>Estonia2015100 / 100</v>
          </cell>
          <cell r="B117" t="str">
            <v>Estonia</v>
          </cell>
          <cell r="C117">
            <v>2015</v>
          </cell>
          <cell r="D117" t="str">
            <v>100 / 100</v>
          </cell>
          <cell r="E117">
            <v>13044.735000000001</v>
          </cell>
          <cell r="F117">
            <v>1087.06125</v>
          </cell>
          <cell r="G117">
            <v>250.86221817090899</v>
          </cell>
          <cell r="H117">
            <v>50.172443634181796</v>
          </cell>
          <cell r="I117">
            <v>13044.735000000001</v>
          </cell>
          <cell r="J117">
            <v>1087.06125</v>
          </cell>
          <cell r="K117">
            <v>250.86221817090899</v>
          </cell>
          <cell r="L117">
            <v>50.172443634181796</v>
          </cell>
          <cell r="M117" t="str">
            <v>..</v>
          </cell>
          <cell r="N117" t="str">
            <v>..</v>
          </cell>
          <cell r="O117" t="str">
            <v>..</v>
          </cell>
          <cell r="P117" t="str">
            <v>..</v>
          </cell>
          <cell r="Q117" t="str">
            <v>..</v>
          </cell>
          <cell r="R117" t="str">
            <v>..</v>
          </cell>
          <cell r="S117" t="str">
            <v>..</v>
          </cell>
          <cell r="T117" t="str">
            <v>..</v>
          </cell>
          <cell r="U117" t="str">
            <v>..</v>
          </cell>
          <cell r="V117">
            <v>0</v>
          </cell>
          <cell r="W117">
            <v>0</v>
          </cell>
          <cell r="X117">
            <v>0</v>
          </cell>
          <cell r="Y117" t="str">
            <v>-</v>
          </cell>
          <cell r="Z117" t="str">
            <v>No statutory entitlement</v>
          </cell>
          <cell r="AA117" t="str">
            <v>-</v>
          </cell>
          <cell r="AB117" t="str">
            <v>-</v>
          </cell>
          <cell r="AC117" t="str">
            <v>-</v>
          </cell>
          <cell r="AD117" t="str">
            <v>-</v>
          </cell>
          <cell r="AE117" t="str">
            <v>-</v>
          </cell>
          <cell r="AF117" t="str">
            <v>-</v>
          </cell>
          <cell r="AG117" t="str">
            <v>-</v>
          </cell>
          <cell r="AH117" t="str">
            <v>-</v>
          </cell>
          <cell r="AI117" t="str">
            <v>-</v>
          </cell>
          <cell r="AJ117" t="str">
            <v>-</v>
          </cell>
          <cell r="AK117" t="str">
            <v>-</v>
          </cell>
          <cell r="AL117" t="str">
            <v>-</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cell r="BE117" t="str">
            <v>-</v>
          </cell>
          <cell r="BF117" t="str">
            <v>-</v>
          </cell>
          <cell r="BG117" t="str">
            <v>-</v>
          </cell>
          <cell r="BH117" t="str">
            <v>-</v>
          </cell>
          <cell r="BI117" t="str">
            <v>-</v>
          </cell>
          <cell r="BJ117" t="str">
            <v>-</v>
          </cell>
          <cell r="BK117" t="str">
            <v>-</v>
          </cell>
          <cell r="BL117" t="str">
            <v>-</v>
          </cell>
          <cell r="BM117">
            <v>0</v>
          </cell>
          <cell r="BN117">
            <v>0</v>
          </cell>
          <cell r="BO117" t="str">
            <v>-</v>
          </cell>
          <cell r="BP117" t="str">
            <v>-</v>
          </cell>
          <cell r="BQ117">
            <v>0</v>
          </cell>
          <cell r="BR117">
            <v>0</v>
          </cell>
          <cell r="BS117">
            <v>0</v>
          </cell>
          <cell r="BT117">
            <v>0</v>
          </cell>
        </row>
        <row r="118">
          <cell r="A118" t="str">
            <v>Estonia2016100 / 100</v>
          </cell>
          <cell r="B118" t="str">
            <v>Estonia</v>
          </cell>
          <cell r="C118">
            <v>2016</v>
          </cell>
          <cell r="D118" t="str">
            <v>100 / 100</v>
          </cell>
          <cell r="E118">
            <v>14032.911</v>
          </cell>
          <cell r="F118">
            <v>1169.4092499999999</v>
          </cell>
          <cell r="G118">
            <v>269.86574896729974</v>
          </cell>
          <cell r="H118">
            <v>53.973149793459946</v>
          </cell>
          <cell r="I118">
            <v>14032.911</v>
          </cell>
          <cell r="J118">
            <v>1169.4092499999999</v>
          </cell>
          <cell r="K118">
            <v>269.86574896729974</v>
          </cell>
          <cell r="L118">
            <v>53.973149793459946</v>
          </cell>
          <cell r="M118" t="str">
            <v>..</v>
          </cell>
          <cell r="N118" t="str">
            <v>..</v>
          </cell>
          <cell r="O118" t="str">
            <v>..</v>
          </cell>
          <cell r="P118" t="str">
            <v>..</v>
          </cell>
          <cell r="Q118" t="str">
            <v>..</v>
          </cell>
          <cell r="R118" t="str">
            <v>..</v>
          </cell>
          <cell r="S118" t="str">
            <v>..</v>
          </cell>
          <cell r="T118" t="str">
            <v>..</v>
          </cell>
          <cell r="U118" t="str">
            <v>..</v>
          </cell>
          <cell r="V118">
            <v>0</v>
          </cell>
          <cell r="W118">
            <v>0</v>
          </cell>
          <cell r="X118">
            <v>0</v>
          </cell>
          <cell r="Y118" t="str">
            <v>-</v>
          </cell>
          <cell r="Z118" t="str">
            <v>No statutory entitlement</v>
          </cell>
          <cell r="AA118" t="str">
            <v>-</v>
          </cell>
          <cell r="AB118" t="str">
            <v>-</v>
          </cell>
          <cell r="AC118" t="str">
            <v>-</v>
          </cell>
          <cell r="AD118" t="str">
            <v>-</v>
          </cell>
          <cell r="AE118" t="str">
            <v>-</v>
          </cell>
          <cell r="AF118" t="str">
            <v>-</v>
          </cell>
          <cell r="AG118" t="str">
            <v>-</v>
          </cell>
          <cell r="AH118" t="str">
            <v>-</v>
          </cell>
          <cell r="AI118" t="str">
            <v>-</v>
          </cell>
          <cell r="AJ118" t="str">
            <v>-</v>
          </cell>
          <cell r="AK118" t="str">
            <v>-</v>
          </cell>
          <cell r="AL118" t="str">
            <v>-</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cell r="BD118" t="str">
            <v>-</v>
          </cell>
          <cell r="BE118" t="str">
            <v>-</v>
          </cell>
          <cell r="BF118" t="str">
            <v>-</v>
          </cell>
          <cell r="BG118" t="str">
            <v>-</v>
          </cell>
          <cell r="BH118" t="str">
            <v>-</v>
          </cell>
          <cell r="BI118" t="str">
            <v>-</v>
          </cell>
          <cell r="BJ118" t="str">
            <v>-</v>
          </cell>
          <cell r="BK118" t="str">
            <v>-</v>
          </cell>
          <cell r="BL118" t="str">
            <v>-</v>
          </cell>
          <cell r="BM118">
            <v>0</v>
          </cell>
          <cell r="BN118">
            <v>0</v>
          </cell>
          <cell r="BO118" t="str">
            <v>-</v>
          </cell>
          <cell r="BP118" t="str">
            <v>-</v>
          </cell>
          <cell r="BQ118">
            <v>0</v>
          </cell>
          <cell r="BR118">
            <v>0</v>
          </cell>
          <cell r="BS118">
            <v>0</v>
          </cell>
          <cell r="BT118">
            <v>0</v>
          </cell>
        </row>
        <row r="119">
          <cell r="A119" t="str">
            <v>Estonia2017100 / 100</v>
          </cell>
          <cell r="B119" t="str">
            <v>Estonia</v>
          </cell>
          <cell r="C119">
            <v>2017</v>
          </cell>
          <cell r="D119" t="str">
            <v>100 / 100</v>
          </cell>
          <cell r="E119">
            <v>14991.67</v>
          </cell>
          <cell r="F119">
            <v>1249.3058333333333</v>
          </cell>
          <cell r="G119">
            <v>288.30356387356824</v>
          </cell>
          <cell r="H119">
            <v>57.660712774713645</v>
          </cell>
          <cell r="I119">
            <v>14991.67</v>
          </cell>
          <cell r="J119">
            <v>1249.3058333333333</v>
          </cell>
          <cell r="K119">
            <v>288.30356387356824</v>
          </cell>
          <cell r="L119">
            <v>57.660712774713645</v>
          </cell>
          <cell r="M119" t="str">
            <v>..</v>
          </cell>
          <cell r="N119" t="str">
            <v>..</v>
          </cell>
          <cell r="O119" t="str">
            <v>..</v>
          </cell>
          <cell r="P119" t="str">
            <v>..</v>
          </cell>
          <cell r="Q119" t="str">
            <v>..</v>
          </cell>
          <cell r="R119" t="str">
            <v>..</v>
          </cell>
          <cell r="S119" t="str">
            <v>..</v>
          </cell>
          <cell r="T119" t="str">
            <v>..</v>
          </cell>
          <cell r="U119" t="str">
            <v>..</v>
          </cell>
          <cell r="V119">
            <v>0</v>
          </cell>
          <cell r="W119">
            <v>0</v>
          </cell>
          <cell r="X119">
            <v>0</v>
          </cell>
          <cell r="Y119" t="str">
            <v>-</v>
          </cell>
          <cell r="Z119" t="str">
            <v>No statutory entitlement</v>
          </cell>
          <cell r="AA119" t="str">
            <v>-</v>
          </cell>
          <cell r="AB119" t="str">
            <v>-</v>
          </cell>
          <cell r="AC119" t="str">
            <v>-</v>
          </cell>
          <cell r="AD119" t="str">
            <v>-</v>
          </cell>
          <cell r="AE119" t="str">
            <v>-</v>
          </cell>
          <cell r="AF119" t="str">
            <v>-</v>
          </cell>
          <cell r="AG119" t="str">
            <v>-</v>
          </cell>
          <cell r="AH119" t="str">
            <v>-</v>
          </cell>
          <cell r="AI119" t="str">
            <v>-</v>
          </cell>
          <cell r="AJ119" t="str">
            <v>-</v>
          </cell>
          <cell r="AK119" t="str">
            <v>-</v>
          </cell>
          <cell r="AL119" t="str">
            <v>-</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cell r="BD119" t="str">
            <v>-</v>
          </cell>
          <cell r="BE119" t="str">
            <v>-</v>
          </cell>
          <cell r="BF119" t="str">
            <v>-</v>
          </cell>
          <cell r="BG119" t="str">
            <v>-</v>
          </cell>
          <cell r="BH119" t="str">
            <v>-</v>
          </cell>
          <cell r="BI119" t="str">
            <v>-</v>
          </cell>
          <cell r="BJ119" t="str">
            <v>-</v>
          </cell>
          <cell r="BK119" t="str">
            <v>-</v>
          </cell>
          <cell r="BL119" t="str">
            <v>-</v>
          </cell>
          <cell r="BM119">
            <v>0</v>
          </cell>
          <cell r="BN119">
            <v>0</v>
          </cell>
          <cell r="BO119" t="str">
            <v>-</v>
          </cell>
          <cell r="BP119" t="str">
            <v>-</v>
          </cell>
          <cell r="BQ119">
            <v>0</v>
          </cell>
          <cell r="BR119">
            <v>0</v>
          </cell>
          <cell r="BS119">
            <v>0</v>
          </cell>
          <cell r="BT119">
            <v>0</v>
          </cell>
        </row>
        <row r="120">
          <cell r="A120" t="str">
            <v>Estonia2018100 / 100</v>
          </cell>
          <cell r="B120" t="str">
            <v>Estonia</v>
          </cell>
          <cell r="C120">
            <v>2018</v>
          </cell>
          <cell r="D120" t="str">
            <v>100 / 100</v>
          </cell>
          <cell r="E120">
            <v>15734.165000000001</v>
          </cell>
          <cell r="F120">
            <v>1311.1804166666668</v>
          </cell>
          <cell r="G120">
            <v>302.58242371095162</v>
          </cell>
          <cell r="H120">
            <v>60.516484742190322</v>
          </cell>
          <cell r="I120">
            <v>15734.165000000001</v>
          </cell>
          <cell r="J120">
            <v>1311.1804166666668</v>
          </cell>
          <cell r="K120">
            <v>302.58242371095162</v>
          </cell>
          <cell r="L120">
            <v>60.516484742190322</v>
          </cell>
          <cell r="M120" t="str">
            <v>..</v>
          </cell>
          <cell r="N120" t="str">
            <v>..</v>
          </cell>
          <cell r="O120" t="str">
            <v>..</v>
          </cell>
          <cell r="P120" t="str">
            <v>..</v>
          </cell>
          <cell r="Q120" t="str">
            <v>..</v>
          </cell>
          <cell r="R120" t="str">
            <v>..</v>
          </cell>
          <cell r="S120" t="str">
            <v>..</v>
          </cell>
          <cell r="T120" t="str">
            <v>..</v>
          </cell>
          <cell r="U120" t="str">
            <v>..</v>
          </cell>
          <cell r="V120">
            <v>0</v>
          </cell>
          <cell r="W120">
            <v>0</v>
          </cell>
          <cell r="X120">
            <v>0</v>
          </cell>
          <cell r="Y120" t="str">
            <v>-</v>
          </cell>
          <cell r="Z120" t="str">
            <v>No statutory entitlement</v>
          </cell>
          <cell r="AA120" t="str">
            <v>-</v>
          </cell>
          <cell r="AB120" t="str">
            <v>-</v>
          </cell>
          <cell r="AC120" t="str">
            <v>-</v>
          </cell>
          <cell r="AD120" t="str">
            <v>-</v>
          </cell>
          <cell r="AE120" t="str">
            <v>-</v>
          </cell>
          <cell r="AF120" t="str">
            <v>-</v>
          </cell>
          <cell r="AG120" t="str">
            <v>-</v>
          </cell>
          <cell r="AH120" t="str">
            <v>-</v>
          </cell>
          <cell r="AI120" t="str">
            <v>-</v>
          </cell>
          <cell r="AJ120" t="str">
            <v>-</v>
          </cell>
          <cell r="AK120" t="str">
            <v>-</v>
          </cell>
          <cell r="AL120" t="str">
            <v>-</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cell r="BD120" t="str">
            <v>-</v>
          </cell>
          <cell r="BE120" t="str">
            <v>-</v>
          </cell>
          <cell r="BF120" t="str">
            <v>-</v>
          </cell>
          <cell r="BG120" t="str">
            <v>-</v>
          </cell>
          <cell r="BH120" t="str">
            <v>-</v>
          </cell>
          <cell r="BI120" t="str">
            <v>-</v>
          </cell>
          <cell r="BJ120" t="str">
            <v>-</v>
          </cell>
          <cell r="BK120" t="str">
            <v>-</v>
          </cell>
          <cell r="BL120" t="str">
            <v>-</v>
          </cell>
          <cell r="BM120">
            <v>0</v>
          </cell>
          <cell r="BN120">
            <v>0</v>
          </cell>
          <cell r="BO120" t="str">
            <v>-</v>
          </cell>
          <cell r="BP120" t="str">
            <v>-</v>
          </cell>
          <cell r="BQ120">
            <v>0</v>
          </cell>
          <cell r="BR120">
            <v>0</v>
          </cell>
          <cell r="BS120">
            <v>0</v>
          </cell>
          <cell r="BT120">
            <v>0</v>
          </cell>
        </row>
        <row r="121">
          <cell r="A121" t="str">
            <v>Estonia2019100 / 100</v>
          </cell>
          <cell r="B121" t="str">
            <v>Estonia</v>
          </cell>
          <cell r="C121">
            <v>2019</v>
          </cell>
          <cell r="D121" t="str">
            <v>100 / 100</v>
          </cell>
          <cell r="E121">
            <v>16816.728999999999</v>
          </cell>
          <cell r="F121">
            <v>1401.3940833333334</v>
          </cell>
          <cell r="G121">
            <v>323.40112231632548</v>
          </cell>
          <cell r="H121">
            <v>64.680224463265091</v>
          </cell>
          <cell r="I121">
            <v>16816.728999999999</v>
          </cell>
          <cell r="J121">
            <v>1401.3940833333334</v>
          </cell>
          <cell r="K121">
            <v>323.40112231632548</v>
          </cell>
          <cell r="L121">
            <v>64.680224463265091</v>
          </cell>
          <cell r="M121" t="str">
            <v>..</v>
          </cell>
          <cell r="N121" t="str">
            <v>..</v>
          </cell>
          <cell r="O121" t="str">
            <v>..</v>
          </cell>
          <cell r="P121" t="str">
            <v>..</v>
          </cell>
          <cell r="Q121" t="str">
            <v>..</v>
          </cell>
          <cell r="R121" t="str">
            <v>..</v>
          </cell>
          <cell r="S121" t="str">
            <v>..</v>
          </cell>
          <cell r="T121" t="str">
            <v>..</v>
          </cell>
          <cell r="U121" t="str">
            <v>..</v>
          </cell>
          <cell r="V121">
            <v>0</v>
          </cell>
          <cell r="W121">
            <v>0</v>
          </cell>
          <cell r="X121">
            <v>0</v>
          </cell>
          <cell r="Y121" t="str">
            <v>-</v>
          </cell>
          <cell r="Z121" t="str">
            <v>No statutory entitlement</v>
          </cell>
          <cell r="AA121" t="str">
            <v>-</v>
          </cell>
          <cell r="AB121" t="str">
            <v>-</v>
          </cell>
          <cell r="AC121" t="str">
            <v>-</v>
          </cell>
          <cell r="AD121" t="str">
            <v>-</v>
          </cell>
          <cell r="AE121" t="str">
            <v>-</v>
          </cell>
          <cell r="AF121" t="str">
            <v>-</v>
          </cell>
          <cell r="AG121" t="str">
            <v>-</v>
          </cell>
          <cell r="AH121" t="str">
            <v>-</v>
          </cell>
          <cell r="AI121" t="str">
            <v>-</v>
          </cell>
          <cell r="AJ121" t="str">
            <v>-</v>
          </cell>
          <cell r="AK121" t="str">
            <v>-</v>
          </cell>
          <cell r="AL121" t="str">
            <v>-</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cell r="BD121" t="str">
            <v>-</v>
          </cell>
          <cell r="BE121" t="str">
            <v>-</v>
          </cell>
          <cell r="BF121" t="str">
            <v>-</v>
          </cell>
          <cell r="BG121" t="str">
            <v>-</v>
          </cell>
          <cell r="BH121" t="str">
            <v>-</v>
          </cell>
          <cell r="BI121" t="str">
            <v>-</v>
          </cell>
          <cell r="BJ121" t="str">
            <v>-</v>
          </cell>
          <cell r="BK121" t="str">
            <v>-</v>
          </cell>
          <cell r="BL121" t="str">
            <v>-</v>
          </cell>
          <cell r="BM121">
            <v>0</v>
          </cell>
          <cell r="BN121">
            <v>0</v>
          </cell>
          <cell r="BO121" t="str">
            <v>-</v>
          </cell>
          <cell r="BP121" t="str">
            <v>-</v>
          </cell>
          <cell r="BQ121">
            <v>0</v>
          </cell>
          <cell r="BR121">
            <v>0</v>
          </cell>
          <cell r="BS121">
            <v>0</v>
          </cell>
          <cell r="BT121">
            <v>0</v>
          </cell>
        </row>
        <row r="122">
          <cell r="A122" t="str">
            <v>Estonia2020100 / 100</v>
          </cell>
          <cell r="B122" t="str">
            <v>Estonia</v>
          </cell>
          <cell r="C122">
            <v>2020</v>
          </cell>
          <cell r="D122" t="str">
            <v>100 / 100</v>
          </cell>
          <cell r="E122">
            <v>17223.502</v>
          </cell>
          <cell r="F122">
            <v>1435.2918333333334</v>
          </cell>
          <cell r="G122">
            <v>331.22374018261678</v>
          </cell>
          <cell r="H122">
            <v>66.244748036523362</v>
          </cell>
          <cell r="I122">
            <v>17223.502</v>
          </cell>
          <cell r="J122">
            <v>1435.2918333333334</v>
          </cell>
          <cell r="K122">
            <v>331.22374018261678</v>
          </cell>
          <cell r="L122">
            <v>66.244748036523362</v>
          </cell>
          <cell r="M122" t="str">
            <v>..</v>
          </cell>
          <cell r="N122" t="str">
            <v>..</v>
          </cell>
          <cell r="O122" t="str">
            <v>..</v>
          </cell>
          <cell r="P122" t="str">
            <v>..</v>
          </cell>
          <cell r="Q122" t="str">
            <v>..</v>
          </cell>
          <cell r="R122" t="str">
            <v>..</v>
          </cell>
          <cell r="S122" t="str">
            <v>..</v>
          </cell>
          <cell r="T122" t="str">
            <v>..</v>
          </cell>
          <cell r="U122" t="str">
            <v>..</v>
          </cell>
          <cell r="V122">
            <v>0</v>
          </cell>
          <cell r="W122">
            <v>0</v>
          </cell>
          <cell r="X122">
            <v>0</v>
          </cell>
          <cell r="Y122" t="str">
            <v>-</v>
          </cell>
          <cell r="Z122" t="str">
            <v>No statutory entitlement</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cell r="BE122" t="str">
            <v>-</v>
          </cell>
          <cell r="BF122" t="str">
            <v>-</v>
          </cell>
          <cell r="BG122" t="str">
            <v>-</v>
          </cell>
          <cell r="BH122" t="str">
            <v>-</v>
          </cell>
          <cell r="BI122" t="str">
            <v>-</v>
          </cell>
          <cell r="BJ122" t="str">
            <v>-</v>
          </cell>
          <cell r="BK122" t="str">
            <v>-</v>
          </cell>
          <cell r="BL122" t="str">
            <v>-</v>
          </cell>
          <cell r="BM122">
            <v>0</v>
          </cell>
          <cell r="BN122">
            <v>0</v>
          </cell>
          <cell r="BO122" t="str">
            <v>-</v>
          </cell>
          <cell r="BP122" t="str">
            <v>-</v>
          </cell>
          <cell r="BQ122">
            <v>0</v>
          </cell>
          <cell r="BR122">
            <v>0</v>
          </cell>
          <cell r="BS122">
            <v>0</v>
          </cell>
          <cell r="BT122">
            <v>0</v>
          </cell>
        </row>
        <row r="123">
          <cell r="A123" t="str">
            <v>Estonia2021100 / 100</v>
          </cell>
          <cell r="B123" t="str">
            <v>Estonia</v>
          </cell>
          <cell r="C123">
            <v>2021</v>
          </cell>
          <cell r="D123" t="str">
            <v>100 / 100</v>
          </cell>
          <cell r="E123">
            <v>18489.342000000001</v>
          </cell>
          <cell r="F123">
            <v>1540.7785000000001</v>
          </cell>
          <cell r="G123">
            <v>355.567004361572</v>
          </cell>
          <cell r="H123">
            <v>71.113400872314401</v>
          </cell>
          <cell r="I123">
            <v>18489.342000000001</v>
          </cell>
          <cell r="J123">
            <v>1540.7785000000001</v>
          </cell>
          <cell r="K123">
            <v>355.567004361572</v>
          </cell>
          <cell r="L123">
            <v>71.113400872314401</v>
          </cell>
          <cell r="M123" t="str">
            <v>..</v>
          </cell>
          <cell r="N123" t="str">
            <v>..</v>
          </cell>
          <cell r="O123" t="str">
            <v>..</v>
          </cell>
          <cell r="P123" t="str">
            <v>..</v>
          </cell>
          <cell r="Q123" t="str">
            <v>..</v>
          </cell>
          <cell r="R123" t="str">
            <v>..</v>
          </cell>
          <cell r="S123" t="str">
            <v>..</v>
          </cell>
          <cell r="T123" t="str">
            <v>..</v>
          </cell>
          <cell r="U123" t="str">
            <v>..</v>
          </cell>
          <cell r="V123">
            <v>0</v>
          </cell>
          <cell r="W123">
            <v>0</v>
          </cell>
          <cell r="X123">
            <v>0</v>
          </cell>
          <cell r="Y123" t="str">
            <v>-</v>
          </cell>
          <cell r="Z123" t="str">
            <v>No statutory entitlement</v>
          </cell>
          <cell r="AA123" t="str">
            <v>-</v>
          </cell>
          <cell r="AB123" t="str">
            <v>-</v>
          </cell>
          <cell r="AC123" t="str">
            <v>-</v>
          </cell>
          <cell r="AD123" t="str">
            <v>-</v>
          </cell>
          <cell r="AE123" t="str">
            <v>-</v>
          </cell>
          <cell r="AF123" t="str">
            <v>-</v>
          </cell>
          <cell r="AG123" t="str">
            <v>-</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cell r="BD123" t="str">
            <v>-</v>
          </cell>
          <cell r="BE123" t="str">
            <v>-</v>
          </cell>
          <cell r="BF123" t="str">
            <v>-</v>
          </cell>
          <cell r="BG123" t="str">
            <v>-</v>
          </cell>
          <cell r="BH123" t="str">
            <v>-</v>
          </cell>
          <cell r="BI123" t="str">
            <v>-</v>
          </cell>
          <cell r="BJ123" t="str">
            <v>-</v>
          </cell>
          <cell r="BK123" t="str">
            <v>-</v>
          </cell>
          <cell r="BL123" t="str">
            <v>-</v>
          </cell>
          <cell r="BM123">
            <v>0</v>
          </cell>
          <cell r="BN123">
            <v>0</v>
          </cell>
          <cell r="BO123" t="str">
            <v>-</v>
          </cell>
          <cell r="BP123" t="str">
            <v>-</v>
          </cell>
          <cell r="BQ123">
            <v>0</v>
          </cell>
          <cell r="BR123">
            <v>0</v>
          </cell>
          <cell r="BS123">
            <v>0</v>
          </cell>
          <cell r="BT123">
            <v>0</v>
          </cell>
        </row>
        <row r="124">
          <cell r="A124" t="str">
            <v>Estonia2022100 / 100</v>
          </cell>
          <cell r="B124" t="str">
            <v>Estonia</v>
          </cell>
          <cell r="C124">
            <v>2022</v>
          </cell>
          <cell r="D124" t="str">
            <v>100 / 100</v>
          </cell>
          <cell r="E124">
            <v>20222.330999999998</v>
          </cell>
          <cell r="F124">
            <v>1685.1942499999998</v>
          </cell>
          <cell r="G124">
            <v>388.89397226132502</v>
          </cell>
          <cell r="H124">
            <v>77.778794452265004</v>
          </cell>
          <cell r="I124">
            <v>20222.330999999998</v>
          </cell>
          <cell r="J124">
            <v>1685.1942499999998</v>
          </cell>
          <cell r="K124">
            <v>388.89397226132502</v>
          </cell>
          <cell r="L124">
            <v>77.778794452265004</v>
          </cell>
          <cell r="M124" t="str">
            <v>..</v>
          </cell>
          <cell r="N124" t="str">
            <v>..</v>
          </cell>
          <cell r="O124" t="str">
            <v>..</v>
          </cell>
          <cell r="P124" t="str">
            <v>..</v>
          </cell>
          <cell r="Q124" t="str">
            <v>..</v>
          </cell>
          <cell r="R124" t="str">
            <v>..</v>
          </cell>
          <cell r="S124" t="str">
            <v>..</v>
          </cell>
          <cell r="T124" t="str">
            <v>..</v>
          </cell>
          <cell r="U124" t="str">
            <v>..</v>
          </cell>
          <cell r="V124">
            <v>0</v>
          </cell>
          <cell r="W124">
            <v>0</v>
          </cell>
          <cell r="X124">
            <v>0</v>
          </cell>
          <cell r="Y124" t="str">
            <v>-</v>
          </cell>
          <cell r="Z124" t="str">
            <v>No statutory entitlement</v>
          </cell>
          <cell r="AA124" t="str">
            <v>-</v>
          </cell>
          <cell r="AB124" t="str">
            <v>-</v>
          </cell>
          <cell r="AC124" t="str">
            <v>-</v>
          </cell>
          <cell r="AD124" t="str">
            <v>-</v>
          </cell>
          <cell r="AE124" t="str">
            <v>-</v>
          </cell>
          <cell r="AF124" t="str">
            <v>-</v>
          </cell>
          <cell r="AG124" t="str">
            <v>-</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cell r="BD124" t="str">
            <v>-</v>
          </cell>
          <cell r="BE124" t="str">
            <v>-</v>
          </cell>
          <cell r="BF124" t="str">
            <v>-</v>
          </cell>
          <cell r="BG124" t="str">
            <v>-</v>
          </cell>
          <cell r="BH124" t="str">
            <v>-</v>
          </cell>
          <cell r="BI124" t="str">
            <v>-</v>
          </cell>
          <cell r="BJ124" t="str">
            <v>-</v>
          </cell>
          <cell r="BK124" t="str">
            <v>-</v>
          </cell>
          <cell r="BL124" t="str">
            <v>-</v>
          </cell>
          <cell r="BM124">
            <v>0</v>
          </cell>
          <cell r="BN124">
            <v>0</v>
          </cell>
          <cell r="BO124" t="str">
            <v>-</v>
          </cell>
          <cell r="BP124" t="str">
            <v>-</v>
          </cell>
          <cell r="BQ124">
            <v>0</v>
          </cell>
          <cell r="BR124">
            <v>0</v>
          </cell>
          <cell r="BS124">
            <v>0</v>
          </cell>
          <cell r="BT124">
            <v>0</v>
          </cell>
        </row>
        <row r="125">
          <cell r="A125" t="str">
            <v>Estonia2023100 / 100</v>
          </cell>
          <cell r="B125" t="str">
            <v>Estonia</v>
          </cell>
          <cell r="C125">
            <v>2023</v>
          </cell>
          <cell r="D125" t="str">
            <v>100 / 100</v>
          </cell>
          <cell r="E125">
            <v>21860.891</v>
          </cell>
          <cell r="F125">
            <v>1821.7409166666666</v>
          </cell>
          <cell r="G125">
            <v>420.4049838844914</v>
          </cell>
          <cell r="H125">
            <v>84.080996776898274</v>
          </cell>
          <cell r="I125">
            <v>21860.891</v>
          </cell>
          <cell r="J125">
            <v>1821.7409166666666</v>
          </cell>
          <cell r="K125">
            <v>420.4049838844914</v>
          </cell>
          <cell r="L125">
            <v>84.080996776898274</v>
          </cell>
          <cell r="M125" t="str">
            <v>..</v>
          </cell>
          <cell r="N125" t="str">
            <v>..</v>
          </cell>
          <cell r="O125" t="str">
            <v>..</v>
          </cell>
          <cell r="P125" t="str">
            <v>..</v>
          </cell>
          <cell r="Q125" t="str">
            <v>..</v>
          </cell>
          <cell r="R125" t="str">
            <v>..</v>
          </cell>
          <cell r="S125" t="str">
            <v>..</v>
          </cell>
          <cell r="T125" t="str">
            <v>..</v>
          </cell>
          <cell r="U125" t="str">
            <v>..</v>
          </cell>
          <cell r="V125">
            <v>0</v>
          </cell>
          <cell r="W125">
            <v>0</v>
          </cell>
          <cell r="X125">
            <v>0</v>
          </cell>
          <cell r="Y125" t="str">
            <v>-</v>
          </cell>
          <cell r="Z125" t="str">
            <v>No statutory entitlement</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cell r="BE125" t="str">
            <v>-</v>
          </cell>
          <cell r="BF125" t="str">
            <v>-</v>
          </cell>
          <cell r="BG125" t="str">
            <v>-</v>
          </cell>
          <cell r="BH125" t="str">
            <v>-</v>
          </cell>
          <cell r="BI125" t="str">
            <v>-</v>
          </cell>
          <cell r="BJ125" t="str">
            <v>-</v>
          </cell>
          <cell r="BK125" t="str">
            <v>-</v>
          </cell>
          <cell r="BL125" t="str">
            <v>-</v>
          </cell>
          <cell r="BM125">
            <v>0</v>
          </cell>
          <cell r="BN125">
            <v>0</v>
          </cell>
          <cell r="BO125" t="str">
            <v>-</v>
          </cell>
          <cell r="BP125" t="str">
            <v>-</v>
          </cell>
          <cell r="BQ125">
            <v>0</v>
          </cell>
          <cell r="BR125">
            <v>0</v>
          </cell>
          <cell r="BS125">
            <v>0</v>
          </cell>
          <cell r="BT125">
            <v>0</v>
          </cell>
        </row>
        <row r="126">
          <cell r="A126" t="str">
            <v>Estonia2024100 / 100</v>
          </cell>
          <cell r="B126" t="str">
            <v>Estonia</v>
          </cell>
          <cell r="C126">
            <v>2024</v>
          </cell>
          <cell r="D126" t="str">
            <v>100 / 100</v>
          </cell>
          <cell r="E126">
            <v>23930.49</v>
          </cell>
          <cell r="F126">
            <v>1994.2075000000002</v>
          </cell>
          <cell r="G126">
            <v>460.20527080977547</v>
          </cell>
          <cell r="H126">
            <v>92.041054161955088</v>
          </cell>
          <cell r="I126">
            <v>23930.49</v>
          </cell>
          <cell r="J126">
            <v>1994.2075000000002</v>
          </cell>
          <cell r="K126">
            <v>460.20527080977547</v>
          </cell>
          <cell r="L126">
            <v>92.041054161955088</v>
          </cell>
          <cell r="M126" t="str">
            <v>..</v>
          </cell>
          <cell r="N126" t="str">
            <v>..</v>
          </cell>
          <cell r="O126" t="str">
            <v>..</v>
          </cell>
          <cell r="P126" t="str">
            <v>..</v>
          </cell>
          <cell r="Q126" t="str">
            <v>..</v>
          </cell>
          <cell r="R126" t="str">
            <v>..</v>
          </cell>
          <cell r="S126" t="str">
            <v>..</v>
          </cell>
          <cell r="T126" t="str">
            <v>..</v>
          </cell>
          <cell r="U126" t="str">
            <v>..</v>
          </cell>
          <cell r="V126">
            <v>0</v>
          </cell>
          <cell r="W126">
            <v>0</v>
          </cell>
          <cell r="X126">
            <v>0</v>
          </cell>
          <cell r="Y126" t="str">
            <v>-</v>
          </cell>
          <cell r="Z126" t="str">
            <v>No statutory entitlement</v>
          </cell>
          <cell r="AA126" t="str">
            <v>-</v>
          </cell>
          <cell r="AB126" t="str">
            <v>-</v>
          </cell>
          <cell r="AC126" t="str">
            <v>-</v>
          </cell>
          <cell r="AD126" t="str">
            <v>-</v>
          </cell>
          <cell r="AE126" t="str">
            <v>-</v>
          </cell>
          <cell r="AF126" t="str">
            <v>-</v>
          </cell>
          <cell r="AG126" t="str">
            <v>-</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cell r="BD126" t="str">
            <v>-</v>
          </cell>
          <cell r="BE126" t="str">
            <v>-</v>
          </cell>
          <cell r="BF126" t="str">
            <v>-</v>
          </cell>
          <cell r="BG126" t="str">
            <v>-</v>
          </cell>
          <cell r="BH126" t="str">
            <v>-</v>
          </cell>
          <cell r="BI126" t="str">
            <v>-</v>
          </cell>
          <cell r="BJ126" t="str">
            <v>-</v>
          </cell>
          <cell r="BK126" t="str">
            <v>-</v>
          </cell>
          <cell r="BL126" t="str">
            <v>-</v>
          </cell>
          <cell r="BM126">
            <v>0</v>
          </cell>
          <cell r="BN126">
            <v>0</v>
          </cell>
          <cell r="BO126" t="str">
            <v>-</v>
          </cell>
          <cell r="BP126" t="str">
            <v>-</v>
          </cell>
          <cell r="BQ126">
            <v>0</v>
          </cell>
          <cell r="BR126">
            <v>0</v>
          </cell>
          <cell r="BS126">
            <v>0</v>
          </cell>
          <cell r="BT126">
            <v>0</v>
          </cell>
        </row>
        <row r="127">
          <cell r="A127" t="str">
            <v>Estonia2025100 / 100</v>
          </cell>
          <cell r="B127" t="str">
            <v>Estonia</v>
          </cell>
          <cell r="C127">
            <v>2025</v>
          </cell>
          <cell r="D127" t="str">
            <v>100 / 100</v>
          </cell>
          <cell r="E127">
            <v>23930.49</v>
          </cell>
          <cell r="F127">
            <v>1994.2075000000002</v>
          </cell>
          <cell r="G127">
            <v>460.20527080977547</v>
          </cell>
          <cell r="H127">
            <v>92.041054161955088</v>
          </cell>
          <cell r="I127">
            <v>23930.49</v>
          </cell>
          <cell r="J127">
            <v>1994.2075000000002</v>
          </cell>
          <cell r="K127">
            <v>460.20527080977547</v>
          </cell>
          <cell r="L127">
            <v>92.041054161955088</v>
          </cell>
          <cell r="M127" t="str">
            <v>..</v>
          </cell>
          <cell r="N127" t="str">
            <v>..</v>
          </cell>
          <cell r="O127" t="str">
            <v>..</v>
          </cell>
          <cell r="P127" t="str">
            <v>..</v>
          </cell>
          <cell r="Q127" t="str">
            <v>..</v>
          </cell>
          <cell r="R127" t="str">
            <v>..</v>
          </cell>
          <cell r="S127" t="str">
            <v>..</v>
          </cell>
          <cell r="T127" t="str">
            <v>..</v>
          </cell>
          <cell r="U127" t="str">
            <v>..</v>
          </cell>
          <cell r="V127">
            <v>0</v>
          </cell>
          <cell r="W127">
            <v>0</v>
          </cell>
          <cell r="X127">
            <v>0</v>
          </cell>
          <cell r="Y127" t="str">
            <v>-</v>
          </cell>
          <cell r="Z127" t="str">
            <v>No statutory entitlement</v>
          </cell>
          <cell r="AA127" t="str">
            <v>-</v>
          </cell>
          <cell r="AB127" t="str">
            <v>-</v>
          </cell>
          <cell r="AC127" t="str">
            <v>-</v>
          </cell>
          <cell r="AD127" t="str">
            <v>-</v>
          </cell>
          <cell r="AE127" t="str">
            <v>-</v>
          </cell>
          <cell r="AF127" t="str">
            <v>-</v>
          </cell>
          <cell r="AG127" t="str">
            <v>-</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cell r="BD127" t="str">
            <v>-</v>
          </cell>
          <cell r="BE127" t="str">
            <v>-</v>
          </cell>
          <cell r="BF127" t="str">
            <v>-</v>
          </cell>
          <cell r="BG127" t="str">
            <v>-</v>
          </cell>
          <cell r="BH127" t="str">
            <v>-</v>
          </cell>
          <cell r="BI127" t="str">
            <v>-</v>
          </cell>
          <cell r="BJ127" t="str">
            <v>-</v>
          </cell>
          <cell r="BK127" t="str">
            <v>-</v>
          </cell>
          <cell r="BL127" t="str">
            <v>-</v>
          </cell>
          <cell r="BM127">
            <v>0</v>
          </cell>
          <cell r="BN127">
            <v>0</v>
          </cell>
          <cell r="BO127" t="str">
            <v>-</v>
          </cell>
          <cell r="BP127" t="str">
            <v>-</v>
          </cell>
          <cell r="BQ127">
            <v>0</v>
          </cell>
          <cell r="BR127">
            <v>0</v>
          </cell>
          <cell r="BS127">
            <v>0</v>
          </cell>
          <cell r="BT127">
            <v>0</v>
          </cell>
        </row>
        <row r="128">
          <cell r="A128" t="str">
            <v>Finland2014100 / 100</v>
          </cell>
          <cell r="B128" t="str">
            <v>Finland</v>
          </cell>
          <cell r="C128">
            <v>2014</v>
          </cell>
          <cell r="D128" t="str">
            <v>100 / 100</v>
          </cell>
          <cell r="E128">
            <v>42704</v>
          </cell>
          <cell r="F128">
            <v>3558.6666666666665</v>
          </cell>
          <cell r="G128">
            <v>821.2370864391263</v>
          </cell>
          <cell r="H128">
            <v>164.24741728782527</v>
          </cell>
          <cell r="I128">
            <v>42704</v>
          </cell>
          <cell r="J128">
            <v>3558.6666666666665</v>
          </cell>
          <cell r="K128">
            <v>821.2370864391263</v>
          </cell>
          <cell r="L128">
            <v>164.24741728782527</v>
          </cell>
          <cell r="M128" t="str">
            <v>..</v>
          </cell>
          <cell r="N128" t="str">
            <v>..</v>
          </cell>
          <cell r="O128" t="str">
            <v>..</v>
          </cell>
          <cell r="P128" t="str">
            <v>..</v>
          </cell>
          <cell r="Q128" t="str">
            <v>..</v>
          </cell>
          <cell r="R128" t="str">
            <v>..</v>
          </cell>
          <cell r="S128" t="str">
            <v>..</v>
          </cell>
          <cell r="T128" t="str">
            <v>..</v>
          </cell>
          <cell r="U128">
            <v>40320.324800000002</v>
          </cell>
          <cell r="V128">
            <v>9</v>
          </cell>
          <cell r="W128">
            <v>9</v>
          </cell>
          <cell r="X128">
            <v>0</v>
          </cell>
          <cell r="Y128" t="str">
            <v>-</v>
          </cell>
          <cell r="Z128" t="str">
            <v xml:space="preserve">Fifty four working days (six day working week). During the first 30 days of Paternity leave taken after Maternity and Parental leave payment is made at 75 per cent of annual earnings up to €55,498, and 32.5% for earnings above this level. For the remaining period, and for the one to 18 days taken while the mother is on Maternity or Parental leave, payment is made at 70 per cent of earnings up to €36,071, with a lower percentage for earnings above this level (40% between €36,072 and €55,498 and 25% of earned income exceeding this latter level). The minimum daily benefit is €23.92. </v>
          </cell>
          <cell r="AA128" t="str">
            <v>Gross</v>
          </cell>
          <cell r="AB128" t="str">
            <v>Y</v>
          </cell>
          <cell r="AC128">
            <v>5</v>
          </cell>
          <cell r="AD128">
            <v>0.75</v>
          </cell>
          <cell r="AE128">
            <v>55498</v>
          </cell>
          <cell r="AF128" t="str">
            <v>annual. Earnings ceiling.</v>
          </cell>
          <cell r="AG128">
            <v>23.92</v>
          </cell>
          <cell r="AH128" t="str">
            <v>-</v>
          </cell>
          <cell r="AI128" t="str">
            <v>-</v>
          </cell>
          <cell r="AJ128" t="str">
            <v>-</v>
          </cell>
          <cell r="AK128">
            <v>0.32500000000000001</v>
          </cell>
          <cell r="AL128" t="str">
            <v>Secondary payment rate</v>
          </cell>
          <cell r="AM128" t="str">
            <v>-</v>
          </cell>
          <cell r="AN128" t="str">
            <v>-</v>
          </cell>
          <cell r="AO128">
            <v>4</v>
          </cell>
          <cell r="AP128">
            <v>0.7</v>
          </cell>
          <cell r="AQ128">
            <v>36071</v>
          </cell>
          <cell r="AR128" t="str">
            <v>annual. Earnings ceiling.</v>
          </cell>
          <cell r="AS128" t="str">
            <v>-</v>
          </cell>
          <cell r="AT128" t="str">
            <v>-</v>
          </cell>
          <cell r="AU128" t="str">
            <v>-</v>
          </cell>
          <cell r="AV128" t="str">
            <v>-</v>
          </cell>
          <cell r="AW128">
            <v>0.4</v>
          </cell>
          <cell r="AX128" t="str">
            <v>Secondary payment rate</v>
          </cell>
          <cell r="AY128">
            <v>0.25</v>
          </cell>
          <cell r="AZ128" t="str">
            <v>Tertiary payment rate</v>
          </cell>
          <cell r="BA128" t="str">
            <v>-</v>
          </cell>
          <cell r="BB128" t="str">
            <v>-</v>
          </cell>
          <cell r="BC128" t="str">
            <v>-</v>
          </cell>
          <cell r="BD128" t="str">
            <v>-</v>
          </cell>
          <cell r="BE128" t="str">
            <v>-</v>
          </cell>
          <cell r="BF128" t="str">
            <v>-</v>
          </cell>
          <cell r="BG128" t="str">
            <v>-</v>
          </cell>
          <cell r="BH128" t="str">
            <v>-</v>
          </cell>
          <cell r="BI128" t="str">
            <v>-</v>
          </cell>
          <cell r="BJ128" t="str">
            <v>-</v>
          </cell>
          <cell r="BK128" t="str">
            <v>-</v>
          </cell>
          <cell r="BL128" t="str">
            <v>-</v>
          </cell>
          <cell r="BM128">
            <v>0.69714447691603176</v>
          </cell>
          <cell r="BN128">
            <v>0.69714447691603176</v>
          </cell>
          <cell r="BO128" t="str">
            <v>-</v>
          </cell>
          <cell r="BP128" t="str">
            <v>-</v>
          </cell>
          <cell r="BQ128">
            <v>29770.857742222219</v>
          </cell>
          <cell r="BR128">
            <v>2480.9048118518517</v>
          </cell>
          <cell r="BS128">
            <v>572.52089904965067</v>
          </cell>
          <cell r="BT128">
            <v>114.50417980993014</v>
          </cell>
        </row>
        <row r="129">
          <cell r="A129" t="str">
            <v>Finland2015100 / 100</v>
          </cell>
          <cell r="B129" t="str">
            <v>Finland</v>
          </cell>
          <cell r="C129">
            <v>2015</v>
          </cell>
          <cell r="D129" t="str">
            <v>100 / 100</v>
          </cell>
          <cell r="E129">
            <v>43268</v>
          </cell>
          <cell r="F129">
            <v>3605.6666666666665</v>
          </cell>
          <cell r="G129">
            <v>832.08332371787469</v>
          </cell>
          <cell r="H129">
            <v>166.41666474357493</v>
          </cell>
          <cell r="I129">
            <v>43268</v>
          </cell>
          <cell r="J129">
            <v>3605.6666666666665</v>
          </cell>
          <cell r="K129">
            <v>832.08332371787469</v>
          </cell>
          <cell r="L129">
            <v>166.41666474357493</v>
          </cell>
          <cell r="M129" t="str">
            <v>..</v>
          </cell>
          <cell r="N129" t="str">
            <v>..</v>
          </cell>
          <cell r="O129" t="str">
            <v>..</v>
          </cell>
          <cell r="P129" t="str">
            <v>..</v>
          </cell>
          <cell r="Q129" t="str">
            <v>..</v>
          </cell>
          <cell r="R129" t="str">
            <v>..</v>
          </cell>
          <cell r="S129" t="str">
            <v>..</v>
          </cell>
          <cell r="T129" t="str">
            <v>..</v>
          </cell>
          <cell r="U129">
            <v>40796.1296</v>
          </cell>
          <cell r="V129">
            <v>6</v>
          </cell>
          <cell r="W129">
            <v>6</v>
          </cell>
          <cell r="X129">
            <v>0</v>
          </cell>
          <cell r="Y129" t="str">
            <v>-</v>
          </cell>
          <cell r="Z129" t="str">
            <v xml:space="preserve">Technically, fathers have 54 days of general father-specific leave. However, only 18 days can be used simulataneous with the mother. These first 18 days are treated here as a paternity leave, with the remaining 6 weeks treated as a father specific parental leave. Payment details for the WHOLE period are as follows: Fifty four working days (six day working week). For the first 30 weekdays the parental allowance (vanhempainraha) and paternity allowance (isyysraha) are 75% of earned income up to €56,032 (annual) and 32.5% for an income exceeding this level. Both parents are eligible for an increased rate for the first 30 weekdays. For the rest of the leave the parental allowance and paternity allowance are 70% up to earned income of €36,419, 40% between €36,420 and €56,032 and 25% of earned income exceeding this latter level. Minimum cash benefit is €24.02 per day. </v>
          </cell>
          <cell r="AA129" t="str">
            <v>Gross</v>
          </cell>
          <cell r="AB129" t="str">
            <v>Y</v>
          </cell>
          <cell r="AC129">
            <v>2</v>
          </cell>
          <cell r="AD129">
            <v>0.75</v>
          </cell>
          <cell r="AE129">
            <v>56032</v>
          </cell>
          <cell r="AF129" t="str">
            <v>annual</v>
          </cell>
          <cell r="AG129">
            <v>24.02</v>
          </cell>
          <cell r="AH129" t="str">
            <v>day</v>
          </cell>
          <cell r="AI129" t="str">
            <v>-</v>
          </cell>
          <cell r="AJ129" t="str">
            <v>-</v>
          </cell>
          <cell r="AK129">
            <v>0.32500000000000001</v>
          </cell>
          <cell r="AL129" t="str">
            <v>Secondary payment rate</v>
          </cell>
          <cell r="AM129" t="str">
            <v>-</v>
          </cell>
          <cell r="AN129" t="str">
            <v>-</v>
          </cell>
          <cell r="AO129">
            <v>4</v>
          </cell>
          <cell r="AP129">
            <v>0.7</v>
          </cell>
          <cell r="AQ129">
            <v>36419</v>
          </cell>
          <cell r="AR129" t="str">
            <v>annual</v>
          </cell>
          <cell r="AS129">
            <v>24.02</v>
          </cell>
          <cell r="AT129" t="str">
            <v>day</v>
          </cell>
          <cell r="AU129" t="str">
            <v>-</v>
          </cell>
          <cell r="AV129" t="str">
            <v>-</v>
          </cell>
          <cell r="AW129">
            <v>0.4</v>
          </cell>
          <cell r="AX129" t="str">
            <v>Secondary payment rate</v>
          </cell>
          <cell r="AY129">
            <v>0.25</v>
          </cell>
          <cell r="AZ129" t="str">
            <v>Tertiary payment rate</v>
          </cell>
          <cell r="BA129" t="str">
            <v>-</v>
          </cell>
          <cell r="BB129" t="str">
            <v>-</v>
          </cell>
          <cell r="BC129" t="str">
            <v>-</v>
          </cell>
          <cell r="BD129" t="str">
            <v>-</v>
          </cell>
          <cell r="BE129" t="str">
            <v>-</v>
          </cell>
          <cell r="BF129" t="str">
            <v>-</v>
          </cell>
          <cell r="BG129" t="str">
            <v>-</v>
          </cell>
          <cell r="BH129" t="str">
            <v>-</v>
          </cell>
          <cell r="BI129" t="str">
            <v>-</v>
          </cell>
          <cell r="BJ129" t="str">
            <v>-</v>
          </cell>
          <cell r="BK129" t="str">
            <v>-</v>
          </cell>
          <cell r="BL129" t="str">
            <v>-</v>
          </cell>
          <cell r="BM129">
            <v>0.66977368709747009</v>
          </cell>
          <cell r="BN129">
            <v>0.66977368709747009</v>
          </cell>
          <cell r="BO129" t="str">
            <v>-</v>
          </cell>
          <cell r="BP129" t="str">
            <v>-</v>
          </cell>
          <cell r="BQ129">
            <v>28979.767893333337</v>
          </cell>
          <cell r="BR129">
            <v>2414.9806577777781</v>
          </cell>
          <cell r="BS129">
            <v>557.30751569883876</v>
          </cell>
          <cell r="BT129">
            <v>111.46150313976774</v>
          </cell>
        </row>
        <row r="130">
          <cell r="A130" t="str">
            <v>Finland2016100 / 100</v>
          </cell>
          <cell r="B130" t="str">
            <v>Finland</v>
          </cell>
          <cell r="C130">
            <v>2016</v>
          </cell>
          <cell r="D130" t="str">
            <v>100 / 100</v>
          </cell>
          <cell r="E130">
            <v>43783</v>
          </cell>
          <cell r="F130">
            <v>3648.5833333333335</v>
          </cell>
          <cell r="G130">
            <v>841.98724605573886</v>
          </cell>
          <cell r="H130">
            <v>168.39744921114777</v>
          </cell>
          <cell r="I130">
            <v>43783</v>
          </cell>
          <cell r="J130">
            <v>3648.5833333333335</v>
          </cell>
          <cell r="K130">
            <v>841.98724605573886</v>
          </cell>
          <cell r="L130">
            <v>168.39744921114777</v>
          </cell>
          <cell r="M130" t="str">
            <v>..</v>
          </cell>
          <cell r="N130" t="str">
            <v>..</v>
          </cell>
          <cell r="O130" t="str">
            <v>..</v>
          </cell>
          <cell r="P130" t="str">
            <v>..</v>
          </cell>
          <cell r="Q130" t="str">
            <v>..</v>
          </cell>
          <cell r="R130" t="str">
            <v>..</v>
          </cell>
          <cell r="S130" t="str">
            <v>..</v>
          </cell>
          <cell r="T130" t="str">
            <v>..</v>
          </cell>
          <cell r="U130">
            <v>41148.982000000004</v>
          </cell>
          <cell r="V130">
            <v>6</v>
          </cell>
          <cell r="W130">
            <v>6</v>
          </cell>
          <cell r="X130">
            <v>0</v>
          </cell>
          <cell r="Y130" t="str">
            <v>-</v>
          </cell>
          <cell r="Z130"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up to earned income of €36,686, 40% between €36,687 and €56,443 and 25% of earned income exceeding this latter level. Minimum cash benefit is €23.93 per day [NOTE: See the cells highlighted in yellow to the right for the 'parameter' values]</v>
          </cell>
          <cell r="AA130" t="str">
            <v>Gross</v>
          </cell>
          <cell r="AB130" t="str">
            <v>Y</v>
          </cell>
          <cell r="AC130">
            <v>6</v>
          </cell>
          <cell r="AD130" t="str">
            <v>-</v>
          </cell>
          <cell r="AE130" t="str">
            <v>-</v>
          </cell>
          <cell r="AF130" t="str">
            <v>-</v>
          </cell>
          <cell r="AG130">
            <v>23.93</v>
          </cell>
          <cell r="AH130" t="str">
            <v>day</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cell r="BE130" t="str">
            <v>-</v>
          </cell>
          <cell r="BF130" t="str">
            <v>-</v>
          </cell>
          <cell r="BG130" t="str">
            <v>-</v>
          </cell>
          <cell r="BH130" t="str">
            <v>-</v>
          </cell>
          <cell r="BI130" t="str">
            <v>-</v>
          </cell>
          <cell r="BJ130" t="str">
            <v>-</v>
          </cell>
          <cell r="BK130">
            <v>62.730723796907469</v>
          </cell>
          <cell r="BL130" t="str">
            <v>-</v>
          </cell>
          <cell r="BM130">
            <v>0.62730723796907473</v>
          </cell>
          <cell r="BN130">
            <v>0.62730723796907473</v>
          </cell>
          <cell r="BO130" t="str">
            <v>-</v>
          </cell>
          <cell r="BP130" t="str">
            <v>-</v>
          </cell>
          <cell r="BQ130">
            <v>27465.392799999998</v>
          </cell>
          <cell r="BR130">
            <v>2288.7827333333335</v>
          </cell>
          <cell r="BS130">
            <v>528.18469372841321</v>
          </cell>
          <cell r="BT130">
            <v>105.63693874568266</v>
          </cell>
        </row>
        <row r="131">
          <cell r="A131" t="str">
            <v>Finland2017100 / 100</v>
          </cell>
          <cell r="B131" t="str">
            <v>Finland</v>
          </cell>
          <cell r="C131">
            <v>2017</v>
          </cell>
          <cell r="D131" t="str">
            <v>100 / 100</v>
          </cell>
          <cell r="E131">
            <v>44165</v>
          </cell>
          <cell r="F131">
            <v>3680.4166666666665</v>
          </cell>
          <cell r="G131">
            <v>849.33345641120309</v>
          </cell>
          <cell r="H131">
            <v>169.86669128224062</v>
          </cell>
          <cell r="I131">
            <v>44165</v>
          </cell>
          <cell r="J131">
            <v>3680.4166666666665</v>
          </cell>
          <cell r="K131">
            <v>849.33345641120309</v>
          </cell>
          <cell r="L131">
            <v>169.86669128224062</v>
          </cell>
          <cell r="M131" t="str">
            <v>..</v>
          </cell>
          <cell r="N131" t="str">
            <v>..</v>
          </cell>
          <cell r="O131" t="str">
            <v>..</v>
          </cell>
          <cell r="P131" t="str">
            <v>..</v>
          </cell>
          <cell r="Q131" t="str">
            <v>..</v>
          </cell>
          <cell r="R131" t="str">
            <v>..</v>
          </cell>
          <cell r="S131" t="str">
            <v>..</v>
          </cell>
          <cell r="T131" t="str">
            <v>..</v>
          </cell>
          <cell r="U131">
            <v>41365.743999999999</v>
          </cell>
          <cell r="V131">
            <v>6</v>
          </cell>
          <cell r="W131">
            <v>6</v>
          </cell>
          <cell r="X131">
            <v>0</v>
          </cell>
          <cell r="Y131" t="str">
            <v>-</v>
          </cell>
          <cell r="Z131"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up to earned income of €37,113, 40% between €37,114 and €57,101, and 25% of earned income exceeding this latter level. Minimum cash benefit is €23.73 per day [NOTE: See the cells highlighted in yellow to the right for the 'parameter' values]</v>
          </cell>
          <cell r="AA131" t="str">
            <v>Gross</v>
          </cell>
          <cell r="AB131" t="str">
            <v>Y</v>
          </cell>
          <cell r="AC131">
            <v>6</v>
          </cell>
          <cell r="AD131" t="str">
            <v>-</v>
          </cell>
          <cell r="AE131" t="str">
            <v>-</v>
          </cell>
          <cell r="AF131" t="str">
            <v>-</v>
          </cell>
          <cell r="AG131">
            <v>23.73</v>
          </cell>
          <cell r="AH131" t="str">
            <v>day</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cell r="BE131" t="str">
            <v>-</v>
          </cell>
          <cell r="BF131" t="str">
            <v>-</v>
          </cell>
          <cell r="BG131" t="str">
            <v>-</v>
          </cell>
          <cell r="BH131" t="str">
            <v>-</v>
          </cell>
          <cell r="BI131" t="str">
            <v>-</v>
          </cell>
          <cell r="BJ131" t="str">
            <v>-</v>
          </cell>
          <cell r="BK131">
            <v>62.674510585305107</v>
          </cell>
          <cell r="BL131" t="str">
            <v>-</v>
          </cell>
          <cell r="BM131">
            <v>0.6267451058530511</v>
          </cell>
          <cell r="BN131">
            <v>0.6267451058530511</v>
          </cell>
          <cell r="BO131" t="str">
            <v>-</v>
          </cell>
          <cell r="BP131" t="str">
            <v>-</v>
          </cell>
          <cell r="BQ131">
            <v>27680.197600000003</v>
          </cell>
          <cell r="BR131">
            <v>2306.6831333333334</v>
          </cell>
          <cell r="BS131">
            <v>532.3155870429772</v>
          </cell>
          <cell r="BT131">
            <v>106.46311740859545</v>
          </cell>
        </row>
        <row r="132">
          <cell r="A132" t="str">
            <v>Finland2018100 / 100</v>
          </cell>
          <cell r="B132" t="str">
            <v>Finland</v>
          </cell>
          <cell r="C132">
            <v>2018</v>
          </cell>
          <cell r="D132" t="str">
            <v>100 / 100</v>
          </cell>
          <cell r="E132">
            <v>45081</v>
          </cell>
          <cell r="F132">
            <v>3756.75</v>
          </cell>
          <cell r="G132">
            <v>866.94897653058865</v>
          </cell>
          <cell r="H132">
            <v>173.38979530611772</v>
          </cell>
          <cell r="I132">
            <v>45081</v>
          </cell>
          <cell r="J132">
            <v>3756.75</v>
          </cell>
          <cell r="K132">
            <v>866.94897653058865</v>
          </cell>
          <cell r="L132">
            <v>173.38979530611772</v>
          </cell>
          <cell r="M132" t="str">
            <v>..</v>
          </cell>
          <cell r="N132" t="str">
            <v>..</v>
          </cell>
          <cell r="O132" t="str">
            <v>..</v>
          </cell>
          <cell r="P132" t="str">
            <v>..</v>
          </cell>
          <cell r="Q132" t="str">
            <v>..</v>
          </cell>
          <cell r="R132" t="str">
            <v>..</v>
          </cell>
          <cell r="S132" t="str">
            <v>..</v>
          </cell>
          <cell r="T132" t="str">
            <v>..</v>
          </cell>
          <cell r="U132">
            <v>42311.371199999994</v>
          </cell>
          <cell r="V132">
            <v>6</v>
          </cell>
          <cell r="W132">
            <v>6</v>
          </cell>
          <cell r="X132">
            <v>0</v>
          </cell>
          <cell r="Y132" t="str">
            <v>-</v>
          </cell>
          <cell r="Z132"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of daily earnings for annual earnings up to €37,167; 40% for annual earnings from €37,167 to €57,183; and 25% for annual earnings above €57,183. Minimum cash benefit is €24.64 per day. [NOTE: See the cells highlighted in yellow to the right for the 'parameter' values]</v>
          </cell>
          <cell r="AA132" t="str">
            <v>Gross</v>
          </cell>
          <cell r="AB132" t="str">
            <v>Y</v>
          </cell>
          <cell r="AC132">
            <v>6</v>
          </cell>
          <cell r="AD132" t="str">
            <v>-</v>
          </cell>
          <cell r="AE132" t="str">
            <v>-</v>
          </cell>
          <cell r="AF132" t="str">
            <v>-</v>
          </cell>
          <cell r="AG132">
            <v>24.64</v>
          </cell>
          <cell r="AH132" t="str">
            <v>day</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cell r="BD132" t="str">
            <v>-</v>
          </cell>
          <cell r="BE132" t="str">
            <v>-</v>
          </cell>
          <cell r="BF132" t="str">
            <v>-</v>
          </cell>
          <cell r="BG132" t="str">
            <v>-</v>
          </cell>
          <cell r="BH132" t="str">
            <v>-</v>
          </cell>
          <cell r="BI132" t="str">
            <v>-</v>
          </cell>
          <cell r="BJ132" t="str">
            <v>-</v>
          </cell>
          <cell r="BK132">
            <v>62.276010913688687</v>
          </cell>
          <cell r="BL132" t="str">
            <v>-</v>
          </cell>
          <cell r="BM132">
            <v>0.62276010913688684</v>
          </cell>
          <cell r="BN132">
            <v>0.62276010913688684</v>
          </cell>
          <cell r="BO132" t="str">
            <v>-</v>
          </cell>
          <cell r="BP132" t="str">
            <v>-</v>
          </cell>
          <cell r="BQ132">
            <v>28074.648479999996</v>
          </cell>
          <cell r="BR132">
            <v>2339.5540399999995</v>
          </cell>
          <cell r="BS132">
            <v>539.90123924030172</v>
          </cell>
          <cell r="BT132">
            <v>107.98024784806034</v>
          </cell>
        </row>
        <row r="133">
          <cell r="A133" t="str">
            <v>Finland2019100 / 100</v>
          </cell>
          <cell r="B133" t="str">
            <v>Finland</v>
          </cell>
          <cell r="C133">
            <v>2019</v>
          </cell>
          <cell r="D133" t="str">
            <v>100 / 100</v>
          </cell>
          <cell r="E133">
            <v>46117</v>
          </cell>
          <cell r="F133">
            <v>3843.0833333333335</v>
          </cell>
          <cell r="G133">
            <v>886.8722067092823</v>
          </cell>
          <cell r="H133">
            <v>177.37444134185645</v>
          </cell>
          <cell r="I133">
            <v>46117</v>
          </cell>
          <cell r="J133">
            <v>3843.0833333333335</v>
          </cell>
          <cell r="K133">
            <v>886.8722067092823</v>
          </cell>
          <cell r="L133">
            <v>177.37444134185645</v>
          </cell>
          <cell r="M133" t="str">
            <v>..</v>
          </cell>
          <cell r="N133" t="str">
            <v>..</v>
          </cell>
          <cell r="O133" t="str">
            <v>..</v>
          </cell>
          <cell r="P133" t="str">
            <v>..</v>
          </cell>
          <cell r="Q133" t="str">
            <v>..</v>
          </cell>
          <cell r="R133" t="str">
            <v>..</v>
          </cell>
          <cell r="S133" t="str">
            <v>..</v>
          </cell>
          <cell r="T133" t="str">
            <v>..</v>
          </cell>
          <cell r="U133">
            <v>43411.639199999998</v>
          </cell>
          <cell r="V133">
            <v>6</v>
          </cell>
          <cell r="W133">
            <v>6</v>
          </cell>
          <cell r="X133">
            <v>0</v>
          </cell>
          <cell r="Y133" t="str">
            <v>-</v>
          </cell>
          <cell r="Z133"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of daily earnings for annual earnings up to €37,167; 40% for annual earnings from €37,167 to €57,183; and 25% for annual earnings above €57,183. Minimum cash benefit is €27.86 per day. [NOTE: See the cells highlighted in yellow to the right for the 'parameter' values]</v>
          </cell>
          <cell r="AA133" t="str">
            <v>Gross</v>
          </cell>
          <cell r="AB133" t="str">
            <v>Y</v>
          </cell>
          <cell r="AC133">
            <v>6</v>
          </cell>
          <cell r="AD133" t="str">
            <v>-</v>
          </cell>
          <cell r="AE133" t="str">
            <v>-</v>
          </cell>
          <cell r="AF133" t="str">
            <v>-</v>
          </cell>
          <cell r="AG133">
            <v>27.86</v>
          </cell>
          <cell r="AH133" t="str">
            <v>day</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cell r="BD133" t="str">
            <v>-</v>
          </cell>
          <cell r="BE133" t="str">
            <v>-</v>
          </cell>
          <cell r="BF133" t="str">
            <v>-</v>
          </cell>
          <cell r="BG133" t="str">
            <v>-</v>
          </cell>
          <cell r="BH133" t="str">
            <v>-</v>
          </cell>
          <cell r="BI133" t="str">
            <v>-</v>
          </cell>
          <cell r="BJ133" t="str">
            <v>-</v>
          </cell>
          <cell r="BK133">
            <v>62.282793069800711</v>
          </cell>
          <cell r="BL133" t="str">
            <v>-</v>
          </cell>
          <cell r="BM133">
            <v>0.62282793069800713</v>
          </cell>
          <cell r="BN133">
            <v>0.62282793069800713</v>
          </cell>
          <cell r="BO133" t="str">
            <v>-</v>
          </cell>
          <cell r="BP133" t="str">
            <v>-</v>
          </cell>
          <cell r="BQ133">
            <v>28722.955679999995</v>
          </cell>
          <cell r="BR133">
            <v>2393.5796399999995</v>
          </cell>
          <cell r="BS133">
            <v>552.36878129831757</v>
          </cell>
          <cell r="BT133">
            <v>110.4737562596635</v>
          </cell>
        </row>
        <row r="134">
          <cell r="A134" t="str">
            <v>Finland2020100 / 100</v>
          </cell>
          <cell r="B134" t="str">
            <v>Finland</v>
          </cell>
          <cell r="C134">
            <v>2020</v>
          </cell>
          <cell r="D134" t="str">
            <v>100 / 100</v>
          </cell>
          <cell r="E134">
            <v>48083</v>
          </cell>
          <cell r="F134">
            <v>4006.9166666666665</v>
          </cell>
          <cell r="G134">
            <v>924.68018984761409</v>
          </cell>
          <cell r="H134">
            <v>184.93603796952283</v>
          </cell>
          <cell r="I134">
            <v>48083</v>
          </cell>
          <cell r="J134">
            <v>4006.9166666666665</v>
          </cell>
          <cell r="K134">
            <v>924.68018984761409</v>
          </cell>
          <cell r="L134">
            <v>184.93603796952283</v>
          </cell>
          <cell r="M134" t="str">
            <v>..</v>
          </cell>
          <cell r="N134" t="str">
            <v>..</v>
          </cell>
          <cell r="O134" t="str">
            <v>..</v>
          </cell>
          <cell r="P134" t="str">
            <v>..</v>
          </cell>
          <cell r="Q134" t="str">
            <v>..</v>
          </cell>
          <cell r="R134" t="str">
            <v>..</v>
          </cell>
          <cell r="S134" t="str">
            <v>..</v>
          </cell>
          <cell r="T134" t="str">
            <v>..</v>
          </cell>
          <cell r="U134">
            <v>45342.363799999999</v>
          </cell>
          <cell r="V134">
            <v>6</v>
          </cell>
          <cell r="W134">
            <v>6</v>
          </cell>
          <cell r="X134">
            <v>0</v>
          </cell>
          <cell r="Y134" t="str">
            <v>-</v>
          </cell>
          <cell r="Z134"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of daily earnings for annual earnings up to €37,167; 40% for annual earnings from €37,167 to €57,183; and 25% for annual earnings above €57,183. Minimum cash benefit is €28.94 per day. [NOTE: See the cells highlighted in yellow to the right for the 'parameter' values]</v>
          </cell>
          <cell r="AA134" t="str">
            <v>Gross</v>
          </cell>
          <cell r="AB134" t="str">
            <v>Y</v>
          </cell>
          <cell r="AC134">
            <v>6</v>
          </cell>
          <cell r="AD134" t="str">
            <v>-</v>
          </cell>
          <cell r="AE134" t="str">
            <v>-</v>
          </cell>
          <cell r="AF134" t="str">
            <v>-</v>
          </cell>
          <cell r="AG134">
            <v>28.94</v>
          </cell>
          <cell r="AH134" t="str">
            <v>day</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cell r="BD134" t="str">
            <v>-</v>
          </cell>
          <cell r="BE134" t="str">
            <v>-</v>
          </cell>
          <cell r="BF134" t="str">
            <v>-</v>
          </cell>
          <cell r="BG134" t="str">
            <v>-</v>
          </cell>
          <cell r="BH134" t="str">
            <v>-</v>
          </cell>
          <cell r="BI134" t="str">
            <v>-</v>
          </cell>
          <cell r="BJ134" t="str">
            <v>-</v>
          </cell>
          <cell r="BK134">
            <v>61.825895888359703</v>
          </cell>
          <cell r="BL134" t="str">
            <v>-</v>
          </cell>
          <cell r="BM134">
            <v>0.61825895888359705</v>
          </cell>
          <cell r="BN134">
            <v>0.61825895888359705</v>
          </cell>
          <cell r="BO134" t="str">
            <v>-</v>
          </cell>
          <cell r="BP134" t="str">
            <v>-</v>
          </cell>
          <cell r="BQ134">
            <v>29727.745519999997</v>
          </cell>
          <cell r="BR134">
            <v>2477.3121266666662</v>
          </cell>
          <cell r="BS134">
            <v>571.69181147547272</v>
          </cell>
          <cell r="BT134">
            <v>114.33836229509456</v>
          </cell>
        </row>
        <row r="135">
          <cell r="A135" t="str">
            <v>Finland2021100 / 100</v>
          </cell>
          <cell r="B135" t="str">
            <v>Finland</v>
          </cell>
          <cell r="C135">
            <v>2021</v>
          </cell>
          <cell r="D135" t="str">
            <v>100 / 100</v>
          </cell>
          <cell r="E135">
            <v>49329</v>
          </cell>
          <cell r="F135">
            <v>4110.75</v>
          </cell>
          <cell r="G135">
            <v>948.64191263009707</v>
          </cell>
          <cell r="H135">
            <v>189.7283825260194</v>
          </cell>
          <cell r="I135">
            <v>49329</v>
          </cell>
          <cell r="J135">
            <v>4110.75</v>
          </cell>
          <cell r="K135">
            <v>948.64191263009707</v>
          </cell>
          <cell r="L135">
            <v>189.7283825260194</v>
          </cell>
          <cell r="M135" t="str">
            <v>..</v>
          </cell>
          <cell r="N135" t="str">
            <v>..</v>
          </cell>
          <cell r="O135" t="str">
            <v>..</v>
          </cell>
          <cell r="P135" t="str">
            <v>..</v>
          </cell>
          <cell r="Q135" t="str">
            <v>..</v>
          </cell>
          <cell r="R135" t="str">
            <v>..</v>
          </cell>
          <cell r="S135" t="str">
            <v>..</v>
          </cell>
          <cell r="T135" t="str">
            <v>..</v>
          </cell>
          <cell r="U135">
            <v>46536.779399999999</v>
          </cell>
          <cell r="V135">
            <v>6</v>
          </cell>
          <cell r="W135">
            <v>6</v>
          </cell>
          <cell r="X135">
            <v>0</v>
          </cell>
          <cell r="Y135" t="str">
            <v>-</v>
          </cell>
          <cell r="Z135" t="str">
            <v>Technically, fathers have 54 days of general father-specific leave. However, only 18 days can be used simulataneous with the mother. These first 18 days are treated here as a paternity leave, with the remaining 6 weeks treated as a father specific parental leave.  Benefit is paid at 70% of daily earnings for annual earnings up to €37,167; 40% for annual earnings from €37,167 to €57,183; and 25% for annual earnings above €57,183. Minimum cash benefit is €29.05 per day. [NOTE: See the cells highlighted in yellow to the right for the 'parameter' values]</v>
          </cell>
          <cell r="AA135" t="str">
            <v>Gross</v>
          </cell>
          <cell r="AB135" t="str">
            <v>Y</v>
          </cell>
          <cell r="AC135">
            <v>6</v>
          </cell>
          <cell r="AD135" t="str">
            <v>-</v>
          </cell>
          <cell r="AE135" t="str">
            <v>-</v>
          </cell>
          <cell r="AF135" t="str">
            <v>-</v>
          </cell>
          <cell r="AG135">
            <v>29.05</v>
          </cell>
          <cell r="AH135" t="str">
            <v>day</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cell r="BD135" t="str">
            <v>-</v>
          </cell>
          <cell r="BE135" t="str">
            <v>-</v>
          </cell>
          <cell r="BF135" t="str">
            <v>-</v>
          </cell>
          <cell r="BG135" t="str">
            <v>-</v>
          </cell>
          <cell r="BH135" t="str">
            <v>-</v>
          </cell>
          <cell r="BI135" t="str">
            <v>-</v>
          </cell>
          <cell r="BJ135" t="str">
            <v>-</v>
          </cell>
          <cell r="BK135">
            <v>61.541713312655844</v>
          </cell>
          <cell r="BL135" t="str">
            <v>-</v>
          </cell>
          <cell r="BM135">
            <v>0.61541713312655844</v>
          </cell>
          <cell r="BN135">
            <v>0.61541713312655844</v>
          </cell>
          <cell r="BO135" t="str">
            <v>-</v>
          </cell>
          <cell r="BP135" t="str">
            <v>-</v>
          </cell>
          <cell r="BQ135">
            <v>30357.911760000003</v>
          </cell>
          <cell r="BR135">
            <v>2529.8259800000001</v>
          </cell>
          <cell r="BS135">
            <v>583.81048623450943</v>
          </cell>
          <cell r="BT135">
            <v>116.76209724690189</v>
          </cell>
        </row>
        <row r="136">
          <cell r="A136" t="str">
            <v>Finland2022100 / 100</v>
          </cell>
          <cell r="B136" t="str">
            <v>Finland</v>
          </cell>
          <cell r="C136">
            <v>2022</v>
          </cell>
          <cell r="D136" t="str">
            <v>100 / 100</v>
          </cell>
          <cell r="E136">
            <v>50918.231</v>
          </cell>
          <cell r="F136">
            <v>4243.1859166666663</v>
          </cell>
          <cell r="G136">
            <v>979.2042823406332</v>
          </cell>
          <cell r="H136">
            <v>195.84085646812665</v>
          </cell>
          <cell r="I136">
            <v>50918.231</v>
          </cell>
          <cell r="J136">
            <v>4243.1859166666663</v>
          </cell>
          <cell r="K136">
            <v>979.2042823406332</v>
          </cell>
          <cell r="L136">
            <v>195.84085646812665</v>
          </cell>
          <cell r="M136" t="str">
            <v>..</v>
          </cell>
          <cell r="N136" t="str">
            <v>..</v>
          </cell>
          <cell r="O136" t="str">
            <v>..</v>
          </cell>
          <cell r="P136" t="str">
            <v>..</v>
          </cell>
          <cell r="Q136" t="str">
            <v>..</v>
          </cell>
          <cell r="R136" t="str">
            <v>..</v>
          </cell>
          <cell r="S136" t="str">
            <v>..</v>
          </cell>
          <cell r="T136" t="str">
            <v>..</v>
          </cell>
          <cell r="U136">
            <v>48060.216236599998</v>
          </cell>
          <cell r="V136">
            <v>6</v>
          </cell>
          <cell r="W136">
            <v>6</v>
          </cell>
          <cell r="X136">
            <v>0</v>
          </cell>
          <cell r="Y136" t="str">
            <v>-</v>
          </cell>
          <cell r="Z136" t="str">
            <v>Technically, fathers have 54 days of general father-specific leave. However, only 18 days can be used simultaneously with the mother. These first 18 days are treated here as a paternity leave, with the remaining 6 weeks treated as a father specific parental leave.  Benefit is paid at 70% of daily earnings for annual earnings up to €40,106; 40% for annual earnings from €40,106 to €61,705; and 25% for annual earnings above €61,705. Minimum cash benefit is €29.67 per day. [NOTE: See the cells highlighted in yellow to the right for the 'parameter' values]</v>
          </cell>
          <cell r="AA136" t="str">
            <v>Gross</v>
          </cell>
          <cell r="AB136" t="str">
            <v>Y</v>
          </cell>
          <cell r="AC136">
            <v>6</v>
          </cell>
          <cell r="AD136" t="str">
            <v>-</v>
          </cell>
          <cell r="AE136" t="str">
            <v>-</v>
          </cell>
          <cell r="AF136" t="str">
            <v>-</v>
          </cell>
          <cell r="AG136">
            <v>29.67</v>
          </cell>
          <cell r="AH136" t="str">
            <v>day</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cell r="BD136" t="str">
            <v>-</v>
          </cell>
          <cell r="BE136" t="str">
            <v>-</v>
          </cell>
          <cell r="BF136" t="str">
            <v>-</v>
          </cell>
          <cell r="BG136" t="str">
            <v>-</v>
          </cell>
          <cell r="BH136" t="str">
            <v>-</v>
          </cell>
          <cell r="BI136" t="str">
            <v>-</v>
          </cell>
          <cell r="BJ136" t="str">
            <v>-</v>
          </cell>
          <cell r="BK136">
            <v>61.384470514382159</v>
          </cell>
          <cell r="BL136" t="str">
            <v>-</v>
          </cell>
          <cell r="BM136">
            <v>0.61384470514382161</v>
          </cell>
          <cell r="BN136">
            <v>0.61384470514382161</v>
          </cell>
          <cell r="BO136" t="str">
            <v>-</v>
          </cell>
          <cell r="BP136" t="str">
            <v>-</v>
          </cell>
          <cell r="BQ136">
            <v>31255.886494639995</v>
          </cell>
          <cell r="BR136">
            <v>2604.6572078866661</v>
          </cell>
          <cell r="BS136">
            <v>601.07936396895343</v>
          </cell>
          <cell r="BT136">
            <v>120.21587279379069</v>
          </cell>
        </row>
        <row r="137">
          <cell r="A137" t="str">
            <v>Finland2023100 / 100</v>
          </cell>
          <cell r="B137" t="str">
            <v>Finland</v>
          </cell>
          <cell r="C137">
            <v>2023</v>
          </cell>
          <cell r="D137" t="str">
            <v>100 / 100</v>
          </cell>
          <cell r="E137">
            <v>53230.483</v>
          </cell>
          <cell r="F137">
            <v>4435.873583333333</v>
          </cell>
          <cell r="G137">
            <v>1023.6710090077614</v>
          </cell>
          <cell r="H137">
            <v>204.73420180155227</v>
          </cell>
          <cell r="I137">
            <v>53230.483</v>
          </cell>
          <cell r="J137">
            <v>4435.873583333333</v>
          </cell>
          <cell r="K137">
            <v>1023.6710090077614</v>
          </cell>
          <cell r="L137">
            <v>204.73420180155227</v>
          </cell>
          <cell r="M137" t="str">
            <v>..</v>
          </cell>
          <cell r="N137" t="str">
            <v>..</v>
          </cell>
          <cell r="O137" t="str">
            <v>..</v>
          </cell>
          <cell r="P137" t="str">
            <v>..</v>
          </cell>
          <cell r="Q137" t="str">
            <v>..</v>
          </cell>
          <cell r="R137" t="str">
            <v>..</v>
          </cell>
          <cell r="S137" t="str">
            <v>..</v>
          </cell>
          <cell r="T137" t="str">
            <v>..</v>
          </cell>
          <cell r="U137">
            <v>50138.341747999999</v>
          </cell>
          <cell r="V137">
            <v>13.166600000000001</v>
          </cell>
          <cell r="W137">
            <v>13.166</v>
          </cell>
          <cell r="X137">
            <v>0</v>
          </cell>
          <cell r="Y137" t="str">
            <v>-</v>
          </cell>
          <cell r="Z137" t="str">
            <v>Technically, fathers have 54 days of general father-specific leave. However, only 18 days can be used simultaneously with the mother. These first 18 days are treated here as a paternity leave, with the remaining 13.17 weeks treated as a father specific parental leave.  Benefit is paid at 70% of daily earnings for annual earnings up to €40,106; 40% for annual earnings from €40,106 to €61,705; and 25% for annual earnings above €61,705. Minimum cash benefit is €29.67 per day. [NOTE: See the cells highlighted in yellow to the right for the 'parameter' values]</v>
          </cell>
          <cell r="AA137" t="str">
            <v>Gross</v>
          </cell>
          <cell r="AB137" t="str">
            <v>Y</v>
          </cell>
          <cell r="AC137">
            <v>13.17</v>
          </cell>
          <cell r="AD137" t="str">
            <v>-</v>
          </cell>
          <cell r="AE137" t="str">
            <v>-</v>
          </cell>
          <cell r="AF137" t="str">
            <v>-</v>
          </cell>
          <cell r="AG137">
            <v>31.99</v>
          </cell>
          <cell r="AH137" t="str">
            <v>day</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cell r="BD137" t="str">
            <v>-</v>
          </cell>
          <cell r="BE137" t="str">
            <v>-</v>
          </cell>
          <cell r="BF137" t="str">
            <v>-</v>
          </cell>
          <cell r="BG137" t="str">
            <v>-</v>
          </cell>
          <cell r="BH137" t="str">
            <v>-</v>
          </cell>
          <cell r="BI137" t="str">
            <v>-</v>
          </cell>
          <cell r="BJ137" t="str">
            <v>-</v>
          </cell>
          <cell r="BK137">
            <v>61.156544448003324</v>
          </cell>
          <cell r="BL137" t="str">
            <v>-</v>
          </cell>
          <cell r="BM137">
            <v>0.61156544448003325</v>
          </cell>
          <cell r="BN137">
            <v>0.61153757553385979</v>
          </cell>
          <cell r="BO137" t="str">
            <v>-</v>
          </cell>
          <cell r="BP137" t="str">
            <v>-</v>
          </cell>
          <cell r="BQ137">
            <v>32553.923995781854</v>
          </cell>
          <cell r="BR137">
            <v>2712.8269996484878</v>
          </cell>
          <cell r="BS137">
            <v>626.04181562515578</v>
          </cell>
          <cell r="BT137">
            <v>125.20836312503114</v>
          </cell>
        </row>
        <row r="138">
          <cell r="A138" t="str">
            <v>Finland2024100 / 100</v>
          </cell>
          <cell r="B138" t="str">
            <v>Finland</v>
          </cell>
          <cell r="C138">
            <v>2024</v>
          </cell>
          <cell r="D138" t="str">
            <v>100 / 100</v>
          </cell>
          <cell r="E138">
            <v>52892.77</v>
          </cell>
          <cell r="F138">
            <v>4407.7308333333331</v>
          </cell>
          <cell r="G138">
            <v>1017.1764782806021</v>
          </cell>
          <cell r="H138">
            <v>203.43529565612042</v>
          </cell>
          <cell r="I138">
            <v>52892.77</v>
          </cell>
          <cell r="J138">
            <v>4407.7308333333331</v>
          </cell>
          <cell r="K138">
            <v>1017.1764782806021</v>
          </cell>
          <cell r="L138">
            <v>203.43529565612042</v>
          </cell>
          <cell r="M138" t="str">
            <v>..</v>
          </cell>
          <cell r="N138" t="str">
            <v>..</v>
          </cell>
          <cell r="O138" t="str">
            <v>..</v>
          </cell>
          <cell r="P138" t="str">
            <v>..</v>
          </cell>
          <cell r="Q138" t="str">
            <v>..</v>
          </cell>
          <cell r="R138" t="str">
            <v>..</v>
          </cell>
          <cell r="S138" t="str">
            <v>..</v>
          </cell>
          <cell r="T138" t="str">
            <v>..</v>
          </cell>
          <cell r="U138">
            <v>49815.488119999995</v>
          </cell>
          <cell r="V138">
            <v>13.166600000000001</v>
          </cell>
          <cell r="W138">
            <v>13.166</v>
          </cell>
          <cell r="X138">
            <v>0</v>
          </cell>
          <cell r="Y138" t="str">
            <v>-</v>
          </cell>
          <cell r="Z138" t="str">
            <v>Technically, fathers have 97 (=160-63) days of general father-specific leave. However, only 18 days can be used simulataneous with the mother. These first 18 days are treated here as a paternity leave, with the remaining 79 days treated as a father specific parental leave. Benefit is paid at 90 per cent of earnings to both parents for the first 16 parental leave days. For the remaining period, benefit is paid at 70 per cent of the individual’s annual earnings between €13,713 and €43,740, with a lower percentage for earnings above this level (40 per cent up to €67,296 and 25 per cent above this). Those whose annual earnings are less than €13,713 before the birth get the minimum flat-rate allowance. Minimum cash benefit is €31.99 per day.</v>
          </cell>
          <cell r="AA138" t="str">
            <v>Gross</v>
          </cell>
          <cell r="AB138" t="str">
            <v>Y</v>
          </cell>
          <cell r="AC138">
            <v>13.17</v>
          </cell>
          <cell r="AD138" t="str">
            <v>-</v>
          </cell>
          <cell r="AE138" t="str">
            <v>-</v>
          </cell>
          <cell r="AF138" t="str">
            <v>-</v>
          </cell>
          <cell r="AG138">
            <v>31.99</v>
          </cell>
          <cell r="AH138" t="str">
            <v>day</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cell r="BD138" t="str">
            <v>-</v>
          </cell>
          <cell r="BE138" t="str">
            <v>-</v>
          </cell>
          <cell r="BF138" t="str">
            <v>-</v>
          </cell>
          <cell r="BG138" t="str">
            <v>-</v>
          </cell>
          <cell r="BH138" t="str">
            <v>-</v>
          </cell>
          <cell r="BI138" t="str">
            <v>-</v>
          </cell>
          <cell r="BJ138" t="str">
            <v>-</v>
          </cell>
          <cell r="BK138">
            <v>62.500481094917262</v>
          </cell>
          <cell r="BL138" t="str">
            <v>-</v>
          </cell>
          <cell r="BM138">
            <v>0.6250048109491726</v>
          </cell>
          <cell r="BN138">
            <v>0.6249763295730717</v>
          </cell>
          <cell r="BO138" t="str">
            <v>-</v>
          </cell>
          <cell r="BP138" t="str">
            <v>-</v>
          </cell>
          <cell r="BQ138">
            <v>33058.235714428069</v>
          </cell>
          <cell r="BR138">
            <v>2754.8529762023386</v>
          </cell>
          <cell r="BS138">
            <v>635.74019250971287</v>
          </cell>
          <cell r="BT138">
            <v>127.14803850194258</v>
          </cell>
        </row>
        <row r="139">
          <cell r="A139" t="str">
            <v>Finland2025100 / 100</v>
          </cell>
          <cell r="B139" t="str">
            <v>Finland</v>
          </cell>
          <cell r="C139">
            <v>2025</v>
          </cell>
          <cell r="D139" t="str">
            <v>100 / 100</v>
          </cell>
          <cell r="E139">
            <v>52892.77</v>
          </cell>
          <cell r="F139">
            <v>4407.7308333333331</v>
          </cell>
          <cell r="G139">
            <v>1017.1764782806021</v>
          </cell>
          <cell r="H139">
            <v>203.43529565612042</v>
          </cell>
          <cell r="I139">
            <v>52892.77</v>
          </cell>
          <cell r="J139">
            <v>4407.7308333333331</v>
          </cell>
          <cell r="K139">
            <v>1017.1764782806021</v>
          </cell>
          <cell r="L139">
            <v>203.43529565612042</v>
          </cell>
          <cell r="M139" t="str">
            <v>..</v>
          </cell>
          <cell r="N139" t="str">
            <v>..</v>
          </cell>
          <cell r="O139" t="str">
            <v>..</v>
          </cell>
          <cell r="P139" t="str">
            <v>..</v>
          </cell>
          <cell r="Q139" t="str">
            <v>..</v>
          </cell>
          <cell r="R139" t="str">
            <v>..</v>
          </cell>
          <cell r="S139" t="str">
            <v>..</v>
          </cell>
          <cell r="T139" t="str">
            <v>..</v>
          </cell>
          <cell r="U139">
            <v>49815.488119999995</v>
          </cell>
          <cell r="V139">
            <v>13.166600000000001</v>
          </cell>
          <cell r="W139">
            <v>13.166</v>
          </cell>
          <cell r="X139">
            <v>0</v>
          </cell>
          <cell r="Y139" t="str">
            <v>-</v>
          </cell>
          <cell r="Z139" t="str">
            <v>Technically, fathers have 97 (=160-63) days of general father-specific leave. However, only 18 days can be used simulataneous with the mother. These first 18 days are treated here as a paternity leave, with the remaining 79 days treated as a father specific parental leave. Benefit is paid at 90 per cent of earnings to both parents for the first 16 parental leave days. For the remaining period, benefit is paid at 70 per cent of the individual’s annual earnings between €13,713 and €44,702, with a lower percentage for earnings above this level (40 per cent up to €68,776 and 25 per cent above this). Those whose annual earnings are less than €13,713 before the birth get the minimum flat-rate allowance. Minimum cash benefit is €31.99 per day.</v>
          </cell>
          <cell r="AA139" t="str">
            <v>Gross</v>
          </cell>
          <cell r="AB139" t="str">
            <v>Y</v>
          </cell>
          <cell r="AC139">
            <v>13.17</v>
          </cell>
          <cell r="AD139" t="str">
            <v>-</v>
          </cell>
          <cell r="AE139" t="str">
            <v>-</v>
          </cell>
          <cell r="AF139" t="str">
            <v>-</v>
          </cell>
          <cell r="AG139">
            <v>31.99</v>
          </cell>
          <cell r="AH139" t="str">
            <v>day</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cell r="BD139" t="str">
            <v>-</v>
          </cell>
          <cell r="BE139" t="str">
            <v>-</v>
          </cell>
          <cell r="BF139" t="str">
            <v>-</v>
          </cell>
          <cell r="BG139" t="str">
            <v>-</v>
          </cell>
          <cell r="BH139" t="str">
            <v>-</v>
          </cell>
          <cell r="BI139" t="str">
            <v>-</v>
          </cell>
          <cell r="BJ139" t="str">
            <v>-</v>
          </cell>
          <cell r="BK139">
            <v>63.046279094131307</v>
          </cell>
          <cell r="BL139" t="str">
            <v>-</v>
          </cell>
          <cell r="BM139">
            <v>0.63046279094131308</v>
          </cell>
          <cell r="BN139">
            <v>0.63043406084587728</v>
          </cell>
          <cell r="BO139" t="str">
            <v>-</v>
          </cell>
          <cell r="BP139" t="str">
            <v>-</v>
          </cell>
          <cell r="BQ139">
            <v>33346.923394816957</v>
          </cell>
          <cell r="BR139">
            <v>2778.9102829014128</v>
          </cell>
          <cell r="BS139">
            <v>641.29192137664427</v>
          </cell>
          <cell r="BT139">
            <v>128.25838427532886</v>
          </cell>
        </row>
        <row r="140">
          <cell r="A140" t="str">
            <v>France2014100 / 100</v>
          </cell>
          <cell r="B140" t="str">
            <v>France</v>
          </cell>
          <cell r="C140">
            <v>2014</v>
          </cell>
          <cell r="D140" t="str">
            <v>100 / 100</v>
          </cell>
          <cell r="E140">
            <v>37235</v>
          </cell>
          <cell r="F140">
            <v>3102.9166666666665</v>
          </cell>
          <cell r="G140">
            <v>716.06320048615748</v>
          </cell>
          <cell r="H140">
            <v>143.21264009723149</v>
          </cell>
          <cell r="I140">
            <v>37235</v>
          </cell>
          <cell r="J140">
            <v>3102.9166666666665</v>
          </cell>
          <cell r="K140">
            <v>716.06320048615748</v>
          </cell>
          <cell r="L140">
            <v>143.21264009723149</v>
          </cell>
          <cell r="M140">
            <v>32003.482499999998</v>
          </cell>
          <cell r="N140">
            <v>2666.9568749999999</v>
          </cell>
          <cell r="O140">
            <v>615.45632081785232</v>
          </cell>
          <cell r="P140">
            <v>87.922331545407474</v>
          </cell>
          <cell r="Q140">
            <v>32003.482499999998</v>
          </cell>
          <cell r="R140">
            <v>2666.9568749999999</v>
          </cell>
          <cell r="S140">
            <v>615.45632081785232</v>
          </cell>
          <cell r="T140">
            <v>87.922331545407474</v>
          </cell>
          <cell r="U140" t="str">
            <v>..</v>
          </cell>
          <cell r="V140">
            <v>154</v>
          </cell>
          <cell r="W140">
            <v>26</v>
          </cell>
          <cell r="X140">
            <v>128</v>
          </cell>
          <cell r="Y140" t="str">
            <v>-</v>
          </cell>
          <cell r="Z140" t="str">
            <v>Twenty six weeks father-specific parental leave, paid for twenty six weeks through a flat-rate payment of €572.81 per month. Unpaid parental leave until age 3.</v>
          </cell>
          <cell r="AA140" t="str">
            <v>Net</v>
          </cell>
          <cell r="AB140" t="str">
            <v>N</v>
          </cell>
          <cell r="AC140">
            <v>26</v>
          </cell>
          <cell r="AD140" t="str">
            <v>-</v>
          </cell>
          <cell r="AE140" t="str">
            <v>-</v>
          </cell>
          <cell r="AF140" t="str">
            <v>-</v>
          </cell>
          <cell r="AG140" t="str">
            <v>-</v>
          </cell>
          <cell r="AH140" t="str">
            <v>-</v>
          </cell>
          <cell r="AI140">
            <v>572.80999999999995</v>
          </cell>
          <cell r="AJ140" t="str">
            <v>month</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cell r="BD140" t="str">
            <v>-</v>
          </cell>
          <cell r="BE140" t="str">
            <v>-</v>
          </cell>
          <cell r="BF140" t="str">
            <v>-</v>
          </cell>
          <cell r="BG140" t="str">
            <v>-</v>
          </cell>
          <cell r="BH140" t="str">
            <v>-</v>
          </cell>
          <cell r="BI140" t="str">
            <v>-</v>
          </cell>
          <cell r="BJ140" t="str">
            <v>-</v>
          </cell>
          <cell r="BK140" t="str">
            <v>-</v>
          </cell>
          <cell r="BL140" t="str">
            <v>-</v>
          </cell>
          <cell r="BM140">
            <v>0.1846037330468645</v>
          </cell>
          <cell r="BN140">
            <v>3.1166864020899205E-2</v>
          </cell>
          <cell r="BO140">
            <v>0.21478037585440896</v>
          </cell>
          <cell r="BP140">
            <v>3.6261621897497612E-2</v>
          </cell>
          <cell r="BQ140">
            <v>6873.72</v>
          </cell>
          <cell r="BR140">
            <v>572.80999999999995</v>
          </cell>
          <cell r="BS140">
            <v>132.18793990723003</v>
          </cell>
          <cell r="BT140">
            <v>26.437587981446004</v>
          </cell>
        </row>
        <row r="141">
          <cell r="A141" t="str">
            <v>France2015100 / 100</v>
          </cell>
          <cell r="B141" t="str">
            <v>France</v>
          </cell>
          <cell r="C141">
            <v>2015</v>
          </cell>
          <cell r="D141" t="str">
            <v>100 / 100</v>
          </cell>
          <cell r="E141">
            <v>37975</v>
          </cell>
          <cell r="F141">
            <v>3164.5833333333335</v>
          </cell>
          <cell r="G141">
            <v>730.29407918522452</v>
          </cell>
          <cell r="H141">
            <v>146.0588158370449</v>
          </cell>
          <cell r="I141">
            <v>37975</v>
          </cell>
          <cell r="J141">
            <v>3164.5833333333335</v>
          </cell>
          <cell r="K141">
            <v>730.29407918522452</v>
          </cell>
          <cell r="L141">
            <v>146.0588158370449</v>
          </cell>
          <cell r="M141">
            <v>32582.55</v>
          </cell>
          <cell r="N141">
            <v>2715.2125000000001</v>
          </cell>
          <cell r="O141">
            <v>626.59231994092261</v>
          </cell>
          <cell r="P141">
            <v>89.513188562988944</v>
          </cell>
          <cell r="Q141">
            <v>32582.55</v>
          </cell>
          <cell r="R141">
            <v>2715.2125000000001</v>
          </cell>
          <cell r="S141">
            <v>626.59231994092261</v>
          </cell>
          <cell r="T141">
            <v>89.513188562988944</v>
          </cell>
          <cell r="U141" t="str">
            <v>..</v>
          </cell>
          <cell r="V141">
            <v>154</v>
          </cell>
          <cell r="W141">
            <v>26</v>
          </cell>
          <cell r="X141">
            <v>128</v>
          </cell>
          <cell r="Y141" t="str">
            <v>-</v>
          </cell>
          <cell r="Z141" t="str">
            <v>Twenty six weeks father-specific parental leave, paid for twenty six weeks through a flat-rate payment of €390.52 per month. Unpaid parental leave until age 3.</v>
          </cell>
          <cell r="AA141" t="str">
            <v>Net</v>
          </cell>
          <cell r="AB141" t="str">
            <v>N</v>
          </cell>
          <cell r="AC141">
            <v>26</v>
          </cell>
          <cell r="AD141" t="str">
            <v>-</v>
          </cell>
          <cell r="AE141" t="str">
            <v>-</v>
          </cell>
          <cell r="AF141" t="str">
            <v>-</v>
          </cell>
          <cell r="AG141" t="str">
            <v>-</v>
          </cell>
          <cell r="AH141" t="str">
            <v>-</v>
          </cell>
          <cell r="AI141">
            <v>390.52</v>
          </cell>
          <cell r="AJ141" t="str">
            <v>month</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cell r="BD141" t="str">
            <v>-</v>
          </cell>
          <cell r="BE141" t="str">
            <v>-</v>
          </cell>
          <cell r="BF141" t="str">
            <v>-</v>
          </cell>
          <cell r="BG141" t="str">
            <v>-</v>
          </cell>
          <cell r="BH141" t="str">
            <v>-</v>
          </cell>
          <cell r="BI141" t="str">
            <v>-</v>
          </cell>
          <cell r="BJ141" t="str">
            <v>-</v>
          </cell>
          <cell r="BK141" t="str">
            <v>-</v>
          </cell>
          <cell r="BL141" t="str">
            <v>-</v>
          </cell>
          <cell r="BM141">
            <v>0.12340329163923633</v>
          </cell>
          <cell r="BN141">
            <v>2.0834321965065874E-2</v>
          </cell>
          <cell r="BO141">
            <v>0.14382668023221018</v>
          </cell>
          <cell r="BP141">
            <v>2.4282426532710809E-2</v>
          </cell>
          <cell r="BQ141">
            <v>4686.24</v>
          </cell>
          <cell r="BR141">
            <v>390.52</v>
          </cell>
          <cell r="BS141">
            <v>90.120693236101815</v>
          </cell>
          <cell r="BT141">
            <v>18.024138647220362</v>
          </cell>
        </row>
        <row r="142">
          <cell r="A142" t="str">
            <v>France2016100 / 100</v>
          </cell>
          <cell r="B142" t="str">
            <v>France</v>
          </cell>
          <cell r="C142">
            <v>2016</v>
          </cell>
          <cell r="D142" t="str">
            <v>100 / 100</v>
          </cell>
          <cell r="E142">
            <v>37875</v>
          </cell>
          <cell r="F142">
            <v>3156.25</v>
          </cell>
          <cell r="G142">
            <v>728.37098746913432</v>
          </cell>
          <cell r="H142">
            <v>145.67419749382685</v>
          </cell>
          <cell r="I142">
            <v>37875</v>
          </cell>
          <cell r="J142">
            <v>3156.25</v>
          </cell>
          <cell r="K142">
            <v>728.37098746913432</v>
          </cell>
          <cell r="L142">
            <v>145.67419749382685</v>
          </cell>
          <cell r="M142">
            <v>32458.875</v>
          </cell>
          <cell r="N142">
            <v>2704.90625</v>
          </cell>
          <cell r="O142">
            <v>624.21393626104816</v>
          </cell>
          <cell r="P142">
            <v>89.173419465864029</v>
          </cell>
          <cell r="Q142">
            <v>32458.875</v>
          </cell>
          <cell r="R142">
            <v>2704.90625</v>
          </cell>
          <cell r="S142">
            <v>624.21393626104816</v>
          </cell>
          <cell r="T142">
            <v>89.173419465864029</v>
          </cell>
          <cell r="U142" t="str">
            <v>..</v>
          </cell>
          <cell r="V142">
            <v>154</v>
          </cell>
          <cell r="W142">
            <v>26</v>
          </cell>
          <cell r="X142">
            <v>128</v>
          </cell>
          <cell r="Y142" t="str">
            <v>-</v>
          </cell>
          <cell r="Z142" t="str">
            <v>Twenty six weeks father-specific parental leave, paid for twenty six weeks through a flat-rate payment of €390.52 per month. Unpaid parental leave until age 3.</v>
          </cell>
          <cell r="AA142" t="str">
            <v>Net</v>
          </cell>
          <cell r="AB142" t="str">
            <v>N</v>
          </cell>
          <cell r="AC142">
            <v>26</v>
          </cell>
          <cell r="AD142" t="str">
            <v>-</v>
          </cell>
          <cell r="AE142" t="str">
            <v>-</v>
          </cell>
          <cell r="AF142" t="str">
            <v>-</v>
          </cell>
          <cell r="AG142" t="str">
            <v>-</v>
          </cell>
          <cell r="AH142" t="str">
            <v>-</v>
          </cell>
          <cell r="AI142">
            <v>390.52</v>
          </cell>
          <cell r="AJ142" t="str">
            <v>month</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cell r="BD142" t="str">
            <v>-</v>
          </cell>
          <cell r="BE142" t="str">
            <v>-</v>
          </cell>
          <cell r="BF142" t="str">
            <v>-</v>
          </cell>
          <cell r="BG142" t="str">
            <v>-</v>
          </cell>
          <cell r="BH142" t="str">
            <v>-</v>
          </cell>
          <cell r="BI142" t="str">
            <v>-</v>
          </cell>
          <cell r="BJ142" t="str">
            <v>-</v>
          </cell>
          <cell r="BK142" t="str">
            <v>-</v>
          </cell>
          <cell r="BL142" t="str">
            <v>-</v>
          </cell>
          <cell r="BM142">
            <v>0.12372910891089109</v>
          </cell>
          <cell r="BN142">
            <v>2.0889330075864729E-2</v>
          </cell>
          <cell r="BO142">
            <v>0.14437468951095808</v>
          </cell>
          <cell r="BP142">
            <v>2.4374947579772141E-2</v>
          </cell>
          <cell r="BQ142">
            <v>4686.24</v>
          </cell>
          <cell r="BR142">
            <v>390.52</v>
          </cell>
          <cell r="BS142">
            <v>90.120693236101815</v>
          </cell>
          <cell r="BT142">
            <v>18.024138647220362</v>
          </cell>
        </row>
        <row r="143">
          <cell r="A143" t="str">
            <v>France2017100 / 100</v>
          </cell>
          <cell r="B143" t="str">
            <v>France</v>
          </cell>
          <cell r="C143">
            <v>2017</v>
          </cell>
          <cell r="D143" t="str">
            <v>100 / 100</v>
          </cell>
          <cell r="E143">
            <v>38052</v>
          </cell>
          <cell r="F143">
            <v>3171</v>
          </cell>
          <cell r="G143">
            <v>731.77485980661379</v>
          </cell>
          <cell r="H143">
            <v>146.35497196132275</v>
          </cell>
          <cell r="I143">
            <v>38052</v>
          </cell>
          <cell r="J143">
            <v>3171</v>
          </cell>
          <cell r="K143">
            <v>731.77485980661379</v>
          </cell>
          <cell r="L143">
            <v>146.35497196132275</v>
          </cell>
          <cell r="M143">
            <v>32591.538</v>
          </cell>
          <cell r="N143">
            <v>2715.9614999999999</v>
          </cell>
          <cell r="O143">
            <v>626.76516742436468</v>
          </cell>
          <cell r="P143">
            <v>89.537881060623519</v>
          </cell>
          <cell r="Q143">
            <v>32591.538</v>
          </cell>
          <cell r="R143">
            <v>2715.9614999999999</v>
          </cell>
          <cell r="S143">
            <v>626.76516742436468</v>
          </cell>
          <cell r="T143">
            <v>89.537881060623519</v>
          </cell>
          <cell r="U143" t="str">
            <v>..</v>
          </cell>
          <cell r="V143">
            <v>154</v>
          </cell>
          <cell r="W143">
            <v>26</v>
          </cell>
          <cell r="X143">
            <v>128</v>
          </cell>
          <cell r="Y143" t="str">
            <v>-</v>
          </cell>
          <cell r="Z143" t="str">
            <v>Twenty six weeks father-specific parental leave, paid for twenty six weeks through a flat-rate payment of €392.09 per month. Unpaid parental leave until age 3.</v>
          </cell>
          <cell r="AA143" t="str">
            <v>Net</v>
          </cell>
          <cell r="AB143" t="str">
            <v>N</v>
          </cell>
          <cell r="AC143">
            <v>26</v>
          </cell>
          <cell r="AD143" t="str">
            <v>-</v>
          </cell>
          <cell r="AE143" t="str">
            <v>-</v>
          </cell>
          <cell r="AF143" t="str">
            <v>-</v>
          </cell>
          <cell r="AG143" t="str">
            <v>-</v>
          </cell>
          <cell r="AH143" t="str">
            <v>-</v>
          </cell>
          <cell r="AI143">
            <v>392.09</v>
          </cell>
          <cell r="AJ143" t="str">
            <v>month</v>
          </cell>
          <cell r="AK143" t="str">
            <v>-</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cell r="BD143" t="str">
            <v>-</v>
          </cell>
          <cell r="BE143" t="str">
            <v>-</v>
          </cell>
          <cell r="BF143" t="str">
            <v>-</v>
          </cell>
          <cell r="BG143" t="str">
            <v>-</v>
          </cell>
          <cell r="BH143" t="str">
            <v>-</v>
          </cell>
          <cell r="BI143" t="str">
            <v>-</v>
          </cell>
          <cell r="BJ143" t="str">
            <v>-</v>
          </cell>
          <cell r="BK143" t="str">
            <v>-</v>
          </cell>
          <cell r="BL143" t="str">
            <v>-</v>
          </cell>
          <cell r="BM143">
            <v>0.1236486912645853</v>
          </cell>
          <cell r="BN143">
            <v>2.0875753070644272E-2</v>
          </cell>
          <cell r="BO143">
            <v>0.14436508028556369</v>
          </cell>
          <cell r="BP143">
            <v>2.4373325243017246E-2</v>
          </cell>
          <cell r="BQ143">
            <v>4705.08</v>
          </cell>
          <cell r="BR143">
            <v>392.09</v>
          </cell>
          <cell r="BS143">
            <v>90.483003715413176</v>
          </cell>
          <cell r="BT143">
            <v>18.096600743082636</v>
          </cell>
        </row>
        <row r="144">
          <cell r="A144" t="str">
            <v>France2018100 / 100</v>
          </cell>
          <cell r="B144" t="str">
            <v>France</v>
          </cell>
          <cell r="C144">
            <v>2018</v>
          </cell>
          <cell r="D144" t="str">
            <v>100 / 100</v>
          </cell>
          <cell r="E144">
            <v>38646</v>
          </cell>
          <cell r="F144">
            <v>3220.5</v>
          </cell>
          <cell r="G144">
            <v>743.19802460018911</v>
          </cell>
          <cell r="H144">
            <v>148.63960492003781</v>
          </cell>
          <cell r="I144">
            <v>38646</v>
          </cell>
          <cell r="J144">
            <v>3220.5</v>
          </cell>
          <cell r="K144">
            <v>743.19802460018911</v>
          </cell>
          <cell r="L144">
            <v>148.63960492003781</v>
          </cell>
          <cell r="M144">
            <v>33950.510999999999</v>
          </cell>
          <cell r="N144">
            <v>2829.2092499999999</v>
          </cell>
          <cell r="O144">
            <v>652.89946461126613</v>
          </cell>
          <cell r="P144">
            <v>93.271352087323734</v>
          </cell>
          <cell r="Q144">
            <v>33950.510999999999</v>
          </cell>
          <cell r="R144">
            <v>2829.2092499999999</v>
          </cell>
          <cell r="S144">
            <v>652.89946461126613</v>
          </cell>
          <cell r="T144">
            <v>93.271352087323734</v>
          </cell>
          <cell r="U144" t="str">
            <v>..</v>
          </cell>
          <cell r="V144">
            <v>154</v>
          </cell>
          <cell r="W144">
            <v>26</v>
          </cell>
          <cell r="X144">
            <v>128</v>
          </cell>
          <cell r="Y144" t="str">
            <v>-</v>
          </cell>
          <cell r="Z144" t="str">
            <v>Twenty six weeks father-specific parental leave, paid for twenty six weeks through a flat-rate payment of €391 per month. Unpaid parental leave until age 3.</v>
          </cell>
          <cell r="AA144" t="str">
            <v>Net</v>
          </cell>
          <cell r="AB144" t="str">
            <v>N</v>
          </cell>
          <cell r="AC144">
            <v>26</v>
          </cell>
          <cell r="AD144" t="str">
            <v>-</v>
          </cell>
          <cell r="AE144" t="str">
            <v>-</v>
          </cell>
          <cell r="AF144" t="str">
            <v>-</v>
          </cell>
          <cell r="AG144" t="str">
            <v>-</v>
          </cell>
          <cell r="AH144" t="str">
            <v>-</v>
          </cell>
          <cell r="AI144">
            <v>391</v>
          </cell>
          <cell r="AJ144" t="str">
            <v>month</v>
          </cell>
          <cell r="AK144" t="str">
            <v>-</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cell r="BD144" t="str">
            <v>-</v>
          </cell>
          <cell r="BE144" t="str">
            <v>-</v>
          </cell>
          <cell r="BF144" t="str">
            <v>-</v>
          </cell>
          <cell r="BG144" t="str">
            <v>-</v>
          </cell>
          <cell r="BH144" t="str">
            <v>-</v>
          </cell>
          <cell r="BI144" t="str">
            <v>-</v>
          </cell>
          <cell r="BJ144" t="str">
            <v>-</v>
          </cell>
          <cell r="BK144" t="str">
            <v>-</v>
          </cell>
          <cell r="BL144" t="str">
            <v>-</v>
          </cell>
          <cell r="BM144">
            <v>0.12140971898773481</v>
          </cell>
          <cell r="BN144">
            <v>2.0497744764163019E-2</v>
          </cell>
          <cell r="BO144">
            <v>0.13820115991774026</v>
          </cell>
          <cell r="BP144">
            <v>2.333266336273537E-2</v>
          </cell>
          <cell r="BQ144">
            <v>4691.9999999999991</v>
          </cell>
          <cell r="BR144">
            <v>390.99999999999994</v>
          </cell>
          <cell r="BS144">
            <v>90.231463318948585</v>
          </cell>
          <cell r="BT144">
            <v>18.046292663789714</v>
          </cell>
        </row>
        <row r="145">
          <cell r="A145" t="str">
            <v>France2019100 / 100</v>
          </cell>
          <cell r="B145" t="str">
            <v>France</v>
          </cell>
          <cell r="C145">
            <v>2019</v>
          </cell>
          <cell r="D145" t="str">
            <v>100 / 100</v>
          </cell>
          <cell r="E145">
            <v>39106.82</v>
          </cell>
          <cell r="F145">
            <v>3258.9016666666666</v>
          </cell>
          <cell r="G145">
            <v>752.06001584627563</v>
          </cell>
          <cell r="H145">
            <v>150.41200316925512</v>
          </cell>
          <cell r="I145">
            <v>39106.82</v>
          </cell>
          <cell r="J145">
            <v>3258.9016666666666</v>
          </cell>
          <cell r="K145">
            <v>752.06001584627563</v>
          </cell>
          <cell r="L145">
            <v>150.41200316925512</v>
          </cell>
          <cell r="M145">
            <v>34627.236700000001</v>
          </cell>
          <cell r="N145">
            <v>2885.6030583333336</v>
          </cell>
          <cell r="O145">
            <v>665.91352048861916</v>
          </cell>
          <cell r="P145">
            <v>95.130502926945596</v>
          </cell>
          <cell r="Q145">
            <v>34627.236700000001</v>
          </cell>
          <cell r="R145">
            <v>2885.6030583333336</v>
          </cell>
          <cell r="S145">
            <v>665.91352048861916</v>
          </cell>
          <cell r="T145">
            <v>95.130502926945596</v>
          </cell>
          <cell r="U145" t="str">
            <v>..</v>
          </cell>
          <cell r="V145">
            <v>154</v>
          </cell>
          <cell r="W145">
            <v>26</v>
          </cell>
          <cell r="X145">
            <v>128</v>
          </cell>
          <cell r="Y145" t="str">
            <v>-</v>
          </cell>
          <cell r="Z145" t="str">
            <v>Twenty six weeks father-specific parental leave, paid for twenty six weeks through a flat-rate payment of €396 per month. Unpaid parental leave until age 3.</v>
          </cell>
          <cell r="AA145" t="str">
            <v>Net</v>
          </cell>
          <cell r="AB145" t="str">
            <v>N</v>
          </cell>
          <cell r="AC145">
            <v>26</v>
          </cell>
          <cell r="AD145" t="str">
            <v>-</v>
          </cell>
          <cell r="AE145" t="str">
            <v>-</v>
          </cell>
          <cell r="AF145" t="str">
            <v>-</v>
          </cell>
          <cell r="AG145" t="str">
            <v>-</v>
          </cell>
          <cell r="AH145" t="str">
            <v>-</v>
          </cell>
          <cell r="AI145">
            <v>396.01</v>
          </cell>
          <cell r="AJ145" t="str">
            <v>month</v>
          </cell>
          <cell r="AK145" t="str">
            <v>-</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cell r="BD145" t="str">
            <v>-</v>
          </cell>
          <cell r="BE145" t="str">
            <v>-</v>
          </cell>
          <cell r="BF145" t="str">
            <v>-</v>
          </cell>
          <cell r="BG145" t="str">
            <v>-</v>
          </cell>
          <cell r="BH145" t="str">
            <v>-</v>
          </cell>
          <cell r="BI145" t="str">
            <v>-</v>
          </cell>
          <cell r="BJ145" t="str">
            <v>-</v>
          </cell>
          <cell r="BK145" t="str">
            <v>-</v>
          </cell>
          <cell r="BL145" t="str">
            <v>-</v>
          </cell>
          <cell r="BM145">
            <v>0.12151640046416458</v>
          </cell>
          <cell r="BN145">
            <v>2.0515755922521292E-2</v>
          </cell>
          <cell r="BO145">
            <v>0.13723647778108727</v>
          </cell>
          <cell r="BP145">
            <v>2.3169794950053696E-2</v>
          </cell>
          <cell r="BQ145">
            <v>4752.1200000000008</v>
          </cell>
          <cell r="BR145">
            <v>396.01000000000005</v>
          </cell>
          <cell r="BS145">
            <v>91.387626058661994</v>
          </cell>
          <cell r="BT145">
            <v>18.277525211732396</v>
          </cell>
        </row>
        <row r="146">
          <cell r="A146" t="str">
            <v>France2020100 / 100</v>
          </cell>
          <cell r="B146" t="str">
            <v>France</v>
          </cell>
          <cell r="C146">
            <v>2020</v>
          </cell>
          <cell r="D146" t="str">
            <v>100 / 100</v>
          </cell>
          <cell r="E146">
            <v>37669.4</v>
          </cell>
          <cell r="F146">
            <v>3139.1166666666668</v>
          </cell>
          <cell r="G146">
            <v>724.417110900853</v>
          </cell>
          <cell r="H146">
            <v>144.88342218017061</v>
          </cell>
          <cell r="I146">
            <v>37669.4</v>
          </cell>
          <cell r="J146">
            <v>3139.1166666666668</v>
          </cell>
          <cell r="K146">
            <v>724.417110900853</v>
          </cell>
          <cell r="L146">
            <v>144.88342218017061</v>
          </cell>
          <cell r="M146">
            <v>33632.762900000002</v>
          </cell>
          <cell r="N146">
            <v>2802.7302416666666</v>
          </cell>
          <cell r="O146">
            <v>646.78887722213244</v>
          </cell>
          <cell r="P146">
            <v>92.398411031733204</v>
          </cell>
          <cell r="Q146">
            <v>33632.762900000002</v>
          </cell>
          <cell r="R146">
            <v>2802.7302416666666</v>
          </cell>
          <cell r="S146">
            <v>646.78887722213244</v>
          </cell>
          <cell r="T146">
            <v>92.398411031733204</v>
          </cell>
          <cell r="U146" t="str">
            <v>..</v>
          </cell>
          <cell r="V146">
            <v>154</v>
          </cell>
          <cell r="W146">
            <v>26</v>
          </cell>
          <cell r="X146">
            <v>128</v>
          </cell>
          <cell r="Y146" t="str">
            <v>-</v>
          </cell>
          <cell r="Z146" t="str">
            <v>Twenty six weeks father-specific parental leave, paid for twenty six weeks through a flat-rate payment of €397.02 per month. Unpaid parental leave until age 3.</v>
          </cell>
          <cell r="AA146" t="str">
            <v>Net</v>
          </cell>
          <cell r="AB146" t="str">
            <v>N</v>
          </cell>
          <cell r="AC146">
            <v>26</v>
          </cell>
          <cell r="AD146" t="str">
            <v>-</v>
          </cell>
          <cell r="AE146" t="str">
            <v>-</v>
          </cell>
          <cell r="AF146" t="str">
            <v>-</v>
          </cell>
          <cell r="AG146" t="str">
            <v>-</v>
          </cell>
          <cell r="AH146" t="str">
            <v>-</v>
          </cell>
          <cell r="AI146">
            <v>397.2</v>
          </cell>
          <cell r="AJ146" t="str">
            <v>month</v>
          </cell>
          <cell r="AK146" t="str">
            <v>-</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cell r="BD146" t="str">
            <v>-</v>
          </cell>
          <cell r="BE146" t="str">
            <v>-</v>
          </cell>
          <cell r="BF146" t="str">
            <v>-</v>
          </cell>
          <cell r="BG146" t="str">
            <v>-</v>
          </cell>
          <cell r="BH146" t="str">
            <v>-</v>
          </cell>
          <cell r="BI146" t="str">
            <v>-</v>
          </cell>
          <cell r="BJ146" t="str">
            <v>-</v>
          </cell>
          <cell r="BK146" t="str">
            <v>-</v>
          </cell>
          <cell r="BL146" t="str">
            <v>-</v>
          </cell>
          <cell r="BM146">
            <v>0.12653241092239323</v>
          </cell>
          <cell r="BN146">
            <v>2.1362614831053402E-2</v>
          </cell>
          <cell r="BO146">
            <v>0.1417189546446688</v>
          </cell>
          <cell r="BP146">
            <v>2.3926576758190835E-2</v>
          </cell>
          <cell r="BQ146">
            <v>4766.3999999999996</v>
          </cell>
          <cell r="BR146">
            <v>397.2</v>
          </cell>
          <cell r="BS146">
            <v>91.662243555719641</v>
          </cell>
          <cell r="BT146">
            <v>18.332448711143929</v>
          </cell>
        </row>
        <row r="147">
          <cell r="A147" t="str">
            <v>France2021100 / 100</v>
          </cell>
          <cell r="B147" t="str">
            <v>France</v>
          </cell>
          <cell r="C147">
            <v>2021</v>
          </cell>
          <cell r="D147" t="str">
            <v>100 / 100</v>
          </cell>
          <cell r="E147">
            <v>39587.379999999997</v>
          </cell>
          <cell r="F147">
            <v>3298.9483333333333</v>
          </cell>
          <cell r="G147">
            <v>761.30162539711841</v>
          </cell>
          <cell r="H147">
            <v>152.26032507942369</v>
          </cell>
          <cell r="I147">
            <v>39587.379999999997</v>
          </cell>
          <cell r="J147">
            <v>3298.9483333333333</v>
          </cell>
          <cell r="K147">
            <v>761.30162539711841</v>
          </cell>
          <cell r="L147">
            <v>152.26032507942369</v>
          </cell>
          <cell r="M147">
            <v>35450.656800000004</v>
          </cell>
          <cell r="N147">
            <v>2954.2214000000004</v>
          </cell>
          <cell r="O147">
            <v>681.74864422034022</v>
          </cell>
          <cell r="P147">
            <v>97.39266346004861</v>
          </cell>
          <cell r="Q147">
            <v>35450.656800000004</v>
          </cell>
          <cell r="R147">
            <v>2954.2214000000004</v>
          </cell>
          <cell r="S147">
            <v>681.74864422034022</v>
          </cell>
          <cell r="T147">
            <v>97.39266346004861</v>
          </cell>
          <cell r="U147" t="str">
            <v>..</v>
          </cell>
          <cell r="V147">
            <v>154</v>
          </cell>
          <cell r="W147">
            <v>26</v>
          </cell>
          <cell r="X147">
            <v>128</v>
          </cell>
          <cell r="Y147" t="str">
            <v>-</v>
          </cell>
          <cell r="Z147" t="str">
            <v>Twenty six weeks father-specific parental leave, paid for twenty six weeks through a flat-rate payment of €398.4 per month. Unpaid parental leave until age 3.</v>
          </cell>
          <cell r="AA147" t="str">
            <v>Net</v>
          </cell>
          <cell r="AB147" t="str">
            <v>N</v>
          </cell>
          <cell r="AC147">
            <v>26</v>
          </cell>
          <cell r="AD147" t="str">
            <v>-</v>
          </cell>
          <cell r="AE147" t="str">
            <v>-</v>
          </cell>
          <cell r="AF147" t="str">
            <v>-</v>
          </cell>
          <cell r="AG147" t="str">
            <v>-</v>
          </cell>
          <cell r="AH147" t="str">
            <v>-</v>
          </cell>
          <cell r="AI147">
            <v>398.4</v>
          </cell>
          <cell r="AJ147" t="str">
            <v>month</v>
          </cell>
          <cell r="AK147" t="str">
            <v>-</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cell r="BD147" t="str">
            <v>-</v>
          </cell>
          <cell r="BE147" t="str">
            <v>-</v>
          </cell>
          <cell r="BF147" t="str">
            <v>-</v>
          </cell>
          <cell r="BG147" t="str">
            <v>-</v>
          </cell>
          <cell r="BH147" t="str">
            <v>-</v>
          </cell>
          <cell r="BI147" t="str">
            <v>-</v>
          </cell>
          <cell r="BJ147" t="str">
            <v>-</v>
          </cell>
          <cell r="BK147" t="str">
            <v>-</v>
          </cell>
          <cell r="BL147" t="str">
            <v>-</v>
          </cell>
          <cell r="BM147">
            <v>0.12076575918891323</v>
          </cell>
          <cell r="BN147">
            <v>2.038902427864769E-2</v>
          </cell>
          <cell r="BO147">
            <v>0.13485786813405384</v>
          </cell>
          <cell r="BP147">
            <v>2.2768211503151947E-2</v>
          </cell>
          <cell r="BQ147">
            <v>4780.7999999999993</v>
          </cell>
          <cell r="BR147">
            <v>398.4</v>
          </cell>
          <cell r="BS147">
            <v>91.93916876283663</v>
          </cell>
          <cell r="BT147">
            <v>18.387833752567328</v>
          </cell>
        </row>
        <row r="148">
          <cell r="A148" t="str">
            <v>France2022100 / 100</v>
          </cell>
          <cell r="B148" t="str">
            <v>France</v>
          </cell>
          <cell r="C148">
            <v>2022</v>
          </cell>
          <cell r="D148" t="str">
            <v>100 / 100</v>
          </cell>
          <cell r="E148">
            <v>41522.063999999998</v>
          </cell>
          <cell r="F148">
            <v>3460.172</v>
          </cell>
          <cell r="G148">
            <v>798.50737313363948</v>
          </cell>
          <cell r="H148">
            <v>159.7014746267279</v>
          </cell>
          <cell r="I148">
            <v>41522.063999999998</v>
          </cell>
          <cell r="J148">
            <v>3460.172</v>
          </cell>
          <cell r="K148">
            <v>798.50737313363948</v>
          </cell>
          <cell r="L148">
            <v>159.7014746267279</v>
          </cell>
          <cell r="M148">
            <v>37081.93</v>
          </cell>
          <cell r="N148">
            <v>3090.1608333333334</v>
          </cell>
          <cell r="O148">
            <v>713.11952399633833</v>
          </cell>
          <cell r="P148">
            <v>101.87421771376262</v>
          </cell>
          <cell r="Q148">
            <v>37081.93</v>
          </cell>
          <cell r="R148">
            <v>3090.1608333333334</v>
          </cell>
          <cell r="S148">
            <v>713.11952399633833</v>
          </cell>
          <cell r="T148">
            <v>101.87421771376262</v>
          </cell>
          <cell r="U148" t="str">
            <v>..</v>
          </cell>
          <cell r="V148">
            <v>151.83000000000001</v>
          </cell>
          <cell r="W148">
            <v>26</v>
          </cell>
          <cell r="X148">
            <v>125.83000000000001</v>
          </cell>
          <cell r="Y148" t="str">
            <v>-</v>
          </cell>
          <cell r="Z148" t="str">
            <v>Twenty six weeks father-specific parental leave, paid for twenty six weeks through a flat-rate payment of €398.79 per month. Unpaid parental leave until age 3</v>
          </cell>
          <cell r="AA148" t="str">
            <v>Net</v>
          </cell>
          <cell r="AB148" t="str">
            <v>N</v>
          </cell>
          <cell r="AC148">
            <v>26</v>
          </cell>
          <cell r="AD148" t="str">
            <v>-</v>
          </cell>
          <cell r="AE148" t="str">
            <v>-</v>
          </cell>
          <cell r="AF148" t="str">
            <v>-</v>
          </cell>
          <cell r="AG148" t="str">
            <v>-</v>
          </cell>
          <cell r="AH148" t="str">
            <v>-</v>
          </cell>
          <cell r="AI148">
            <v>398.79</v>
          </cell>
          <cell r="AJ148" t="str">
            <v>month</v>
          </cell>
          <cell r="AK148" t="str">
            <v>-</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cell r="BD148" t="str">
            <v>-</v>
          </cell>
          <cell r="BE148" t="str">
            <v>-</v>
          </cell>
          <cell r="BF148" t="str">
            <v>-</v>
          </cell>
          <cell r="BG148" t="str">
            <v>-</v>
          </cell>
          <cell r="BH148" t="str">
            <v>-</v>
          </cell>
          <cell r="BI148" t="str">
            <v>-</v>
          </cell>
          <cell r="BJ148" t="str">
            <v>-</v>
          </cell>
          <cell r="BK148" t="str">
            <v>-</v>
          </cell>
          <cell r="BL148" t="str">
            <v>-</v>
          </cell>
          <cell r="BM148">
            <v>0.11525149616839857</v>
          </cell>
          <cell r="BN148">
            <v>1.9736145033118373E-2</v>
          </cell>
          <cell r="BO148">
            <v>0.12905153534349481</v>
          </cell>
          <cell r="BP148">
            <v>2.2099321075748302E-2</v>
          </cell>
          <cell r="BQ148">
            <v>4785.4799999999996</v>
          </cell>
          <cell r="BR148">
            <v>398.79</v>
          </cell>
          <cell r="BS148">
            <v>92.029169455149656</v>
          </cell>
          <cell r="BT148">
            <v>18.405833891029932</v>
          </cell>
        </row>
        <row r="149">
          <cell r="A149" t="str">
            <v>France2023100 / 100</v>
          </cell>
          <cell r="B149" t="str">
            <v>France</v>
          </cell>
          <cell r="C149">
            <v>2023</v>
          </cell>
          <cell r="D149" t="str">
            <v>100 / 100</v>
          </cell>
          <cell r="E149">
            <v>43766.377999999997</v>
          </cell>
          <cell r="F149">
            <v>3647.1981666666666</v>
          </cell>
          <cell r="G149">
            <v>841.66758975069024</v>
          </cell>
          <cell r="H149">
            <v>168.33351795013806</v>
          </cell>
          <cell r="I149">
            <v>43766.377999999997</v>
          </cell>
          <cell r="J149">
            <v>3647.1981666666666</v>
          </cell>
          <cell r="K149">
            <v>841.66758975069024</v>
          </cell>
          <cell r="L149">
            <v>168.33351795013806</v>
          </cell>
          <cell r="M149">
            <v>38668.910000000003</v>
          </cell>
          <cell r="N149">
            <v>3222.4091666666668</v>
          </cell>
          <cell r="O149">
            <v>743.6386049123455</v>
          </cell>
          <cell r="P149">
            <v>106.23408641604935</v>
          </cell>
          <cell r="Q149">
            <v>38668.910000000003</v>
          </cell>
          <cell r="R149">
            <v>3222.4091666666668</v>
          </cell>
          <cell r="S149">
            <v>743.6386049123455</v>
          </cell>
          <cell r="T149">
            <v>106.23408641604935</v>
          </cell>
          <cell r="U149" t="str">
            <v>..</v>
          </cell>
          <cell r="V149">
            <v>151.83000000000001</v>
          </cell>
          <cell r="W149">
            <v>26</v>
          </cell>
          <cell r="X149">
            <v>125.83000000000001</v>
          </cell>
          <cell r="Y149" t="str">
            <v>-</v>
          </cell>
          <cell r="Z149" t="str">
            <v>Twenty six weeks father-specific parental leave, paid for twenty six weeks through a flat-rate payment of €422.21 per month. Unpaid parental leave until age 4</v>
          </cell>
          <cell r="AA149" t="str">
            <v>Net</v>
          </cell>
          <cell r="AB149" t="str">
            <v>N</v>
          </cell>
          <cell r="AC149">
            <v>26</v>
          </cell>
          <cell r="AD149" t="str">
            <v>-</v>
          </cell>
          <cell r="AE149" t="str">
            <v>-</v>
          </cell>
          <cell r="AF149" t="str">
            <v>-</v>
          </cell>
          <cell r="AG149" t="str">
            <v>-</v>
          </cell>
          <cell r="AH149" t="str">
            <v>-</v>
          </cell>
          <cell r="AI149">
            <v>422.21</v>
          </cell>
          <cell r="AJ149" t="str">
            <v>month</v>
          </cell>
          <cell r="AK149" t="str">
            <v>-</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cell r="BD149" t="str">
            <v>-</v>
          </cell>
          <cell r="BE149" t="str">
            <v>-</v>
          </cell>
          <cell r="BF149" t="str">
            <v>-</v>
          </cell>
          <cell r="BG149" t="str">
            <v>-</v>
          </cell>
          <cell r="BH149" t="str">
            <v>-</v>
          </cell>
          <cell r="BI149" t="str">
            <v>-</v>
          </cell>
          <cell r="BJ149" t="str">
            <v>-</v>
          </cell>
          <cell r="BK149" t="str">
            <v>-</v>
          </cell>
          <cell r="BL149" t="str">
            <v>-</v>
          </cell>
          <cell r="BM149">
            <v>0.11576283511511963</v>
          </cell>
          <cell r="BN149">
            <v>1.9823708838787524E-2</v>
          </cell>
          <cell r="BO149">
            <v>0.13102308805704632</v>
          </cell>
          <cell r="BP149">
            <v>2.2436937953521731E-2</v>
          </cell>
          <cell r="BQ149">
            <v>5066.5199999999986</v>
          </cell>
          <cell r="BR149">
            <v>422.20999999999992</v>
          </cell>
          <cell r="BS149">
            <v>97.433826414049307</v>
          </cell>
          <cell r="BT149">
            <v>19.486765282809863</v>
          </cell>
        </row>
        <row r="150">
          <cell r="A150" t="str">
            <v>France2024100 / 100</v>
          </cell>
          <cell r="B150" t="str">
            <v>France</v>
          </cell>
          <cell r="C150">
            <v>2024</v>
          </cell>
          <cell r="D150" t="str">
            <v>100 / 100</v>
          </cell>
          <cell r="E150">
            <v>44968.28</v>
          </cell>
          <cell r="F150">
            <v>3747.3566666666666</v>
          </cell>
          <cell r="G150">
            <v>864.78126754821176</v>
          </cell>
          <cell r="H150">
            <v>172.95625350964235</v>
          </cell>
          <cell r="I150">
            <v>44968.28</v>
          </cell>
          <cell r="J150">
            <v>3747.3566666666666</v>
          </cell>
          <cell r="K150">
            <v>864.78126754821176</v>
          </cell>
          <cell r="L150">
            <v>172.95625350964235</v>
          </cell>
          <cell r="M150">
            <v>39882.370000000003</v>
          </cell>
          <cell r="N150">
            <v>3323.5308333333337</v>
          </cell>
          <cell r="O150">
            <v>766.97455365041276</v>
          </cell>
          <cell r="P150">
            <v>109.5677933786304</v>
          </cell>
          <cell r="Q150">
            <v>39882.370000000003</v>
          </cell>
          <cell r="R150">
            <v>3323.5308333333337</v>
          </cell>
          <cell r="S150">
            <v>766.97455365041276</v>
          </cell>
          <cell r="T150">
            <v>109.5677933786304</v>
          </cell>
          <cell r="U150" t="str">
            <v>..</v>
          </cell>
          <cell r="V150">
            <v>151.83000000000001</v>
          </cell>
          <cell r="W150">
            <v>26</v>
          </cell>
          <cell r="X150">
            <v>125.83000000000001</v>
          </cell>
          <cell r="Y150" t="str">
            <v>-</v>
          </cell>
          <cell r="Z150" t="str">
            <v>Twenty six weeks father-specific parental leave, paid for twenty six weeks through a flat-rate payment of €428.71. per month. Unpaid parental leave until age 3</v>
          </cell>
          <cell r="AA150" t="str">
            <v>Net</v>
          </cell>
          <cell r="AB150" t="str">
            <v>N</v>
          </cell>
          <cell r="AC150">
            <v>26</v>
          </cell>
          <cell r="AD150" t="str">
            <v>-</v>
          </cell>
          <cell r="AE150" t="str">
            <v>-</v>
          </cell>
          <cell r="AF150" t="str">
            <v>-</v>
          </cell>
          <cell r="AG150" t="str">
            <v>-</v>
          </cell>
          <cell r="AH150" t="str">
            <v>-</v>
          </cell>
          <cell r="AI150">
            <v>428.71</v>
          </cell>
          <cell r="AJ150" t="str">
            <v>month</v>
          </cell>
          <cell r="AK150" t="str">
            <v>-</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cell r="BD150" t="str">
            <v>-</v>
          </cell>
          <cell r="BE150" t="str">
            <v>-</v>
          </cell>
          <cell r="BF150" t="str">
            <v>-</v>
          </cell>
          <cell r="BG150" t="str">
            <v>-</v>
          </cell>
          <cell r="BH150" t="str">
            <v>-</v>
          </cell>
          <cell r="BI150" t="str">
            <v>-</v>
          </cell>
          <cell r="BJ150" t="str">
            <v>-</v>
          </cell>
          <cell r="BK150" t="str">
            <v>-</v>
          </cell>
          <cell r="BL150" t="str">
            <v>-</v>
          </cell>
          <cell r="BM150">
            <v>0.11440330828753068</v>
          </cell>
          <cell r="BN150">
            <v>1.9590897816477621E-2</v>
          </cell>
          <cell r="BO150">
            <v>0.12899233420681869</v>
          </cell>
          <cell r="BP150">
            <v>2.208918322714408E-2</v>
          </cell>
          <cell r="BQ150">
            <v>5144.5199999999995</v>
          </cell>
          <cell r="BR150">
            <v>428.71</v>
          </cell>
          <cell r="BS150">
            <v>98.933837952599617</v>
          </cell>
          <cell r="BT150">
            <v>19.786767590519922</v>
          </cell>
        </row>
        <row r="151">
          <cell r="A151" t="str">
            <v>France2025100 / 100</v>
          </cell>
          <cell r="B151" t="str">
            <v>France</v>
          </cell>
          <cell r="C151">
            <v>2025</v>
          </cell>
          <cell r="D151" t="str">
            <v>100 / 100</v>
          </cell>
          <cell r="E151">
            <v>44968.28</v>
          </cell>
          <cell r="F151">
            <v>3747.3566666666666</v>
          </cell>
          <cell r="G151">
            <v>864.78126754821176</v>
          </cell>
          <cell r="H151">
            <v>172.95625350964235</v>
          </cell>
          <cell r="I151">
            <v>44968.28</v>
          </cell>
          <cell r="J151">
            <v>3747.3566666666666</v>
          </cell>
          <cell r="K151">
            <v>864.78126754821176</v>
          </cell>
          <cell r="L151">
            <v>172.95625350964235</v>
          </cell>
          <cell r="M151">
            <v>39882.370000000003</v>
          </cell>
          <cell r="N151">
            <v>3323.5308333333337</v>
          </cell>
          <cell r="O151">
            <v>766.97455365041276</v>
          </cell>
          <cell r="P151">
            <v>109.5677933786304</v>
          </cell>
          <cell r="Q151">
            <v>39882.370000000003</v>
          </cell>
          <cell r="R151">
            <v>3323.5308333333337</v>
          </cell>
          <cell r="S151">
            <v>766.97455365041276</v>
          </cell>
          <cell r="T151">
            <v>109.5677933786304</v>
          </cell>
          <cell r="U151" t="str">
            <v>..</v>
          </cell>
          <cell r="V151">
            <v>151.83000000000001</v>
          </cell>
          <cell r="W151">
            <v>26</v>
          </cell>
          <cell r="X151">
            <v>125.83000000000001</v>
          </cell>
          <cell r="Y151" t="str">
            <v>-</v>
          </cell>
          <cell r="Z151" t="str">
            <v>Twenty six weeks father-specific parental leave, paid for twenty six weeks through a flat-rate payment of €456.06. per month. Unpaid parental leave until age 3</v>
          </cell>
          <cell r="AA151" t="str">
            <v>Net</v>
          </cell>
          <cell r="AB151" t="str">
            <v>N</v>
          </cell>
          <cell r="AC151">
            <v>26</v>
          </cell>
          <cell r="AD151" t="str">
            <v>-</v>
          </cell>
          <cell r="AE151" t="str">
            <v>-</v>
          </cell>
          <cell r="AF151" t="str">
            <v>-</v>
          </cell>
          <cell r="AG151" t="str">
            <v>-</v>
          </cell>
          <cell r="AH151" t="str">
            <v>-</v>
          </cell>
          <cell r="AI151">
            <v>456.06</v>
          </cell>
          <cell r="AJ151" t="str">
            <v>month</v>
          </cell>
          <cell r="AK151" t="str">
            <v>-</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cell r="BD151" t="str">
            <v>-</v>
          </cell>
          <cell r="BE151" t="str">
            <v>-</v>
          </cell>
          <cell r="BF151" t="str">
            <v>-</v>
          </cell>
          <cell r="BG151" t="str">
            <v>-</v>
          </cell>
          <cell r="BH151" t="str">
            <v>-</v>
          </cell>
          <cell r="BI151" t="str">
            <v>-</v>
          </cell>
          <cell r="BJ151" t="str">
            <v>-</v>
          </cell>
          <cell r="BK151" t="str">
            <v>-</v>
          </cell>
          <cell r="BL151" t="str">
            <v>-</v>
          </cell>
          <cell r="BM151">
            <v>0.1217017862368763</v>
          </cell>
          <cell r="BN151">
            <v>2.0840719503120487E-2</v>
          </cell>
          <cell r="BO151">
            <v>0.13722153422677738</v>
          </cell>
          <cell r="BP151">
            <v>2.3498385627980053E-2</v>
          </cell>
          <cell r="BQ151">
            <v>5472.7199999999993</v>
          </cell>
          <cell r="BR151">
            <v>456.06</v>
          </cell>
          <cell r="BS151">
            <v>105.2454249648074</v>
          </cell>
          <cell r="BT151">
            <v>21.049084992961479</v>
          </cell>
        </row>
        <row r="152">
          <cell r="A152" t="str">
            <v>Germany2014100 / 100</v>
          </cell>
          <cell r="B152" t="str">
            <v>Germany</v>
          </cell>
          <cell r="C152">
            <v>2014</v>
          </cell>
          <cell r="D152" t="str">
            <v>100 / 100</v>
          </cell>
          <cell r="E152">
            <v>45970</v>
          </cell>
          <cell r="F152">
            <v>3830.8333333333335</v>
          </cell>
          <cell r="G152">
            <v>884.04526188662987</v>
          </cell>
          <cell r="H152">
            <v>176.80905237732597</v>
          </cell>
          <cell r="I152">
            <v>45970</v>
          </cell>
          <cell r="J152">
            <v>3830.8333333333335</v>
          </cell>
          <cell r="K152">
            <v>884.04526188662987</v>
          </cell>
          <cell r="L152">
            <v>176.80905237732597</v>
          </cell>
          <cell r="M152">
            <v>27791.422500000001</v>
          </cell>
          <cell r="N152">
            <v>2315.9518750000002</v>
          </cell>
          <cell r="O152">
            <v>534.45454388110682</v>
          </cell>
          <cell r="P152">
            <v>106.89090877622137</v>
          </cell>
          <cell r="Q152">
            <v>27791.422500000001</v>
          </cell>
          <cell r="R152">
            <v>2315.9518750000002</v>
          </cell>
          <cell r="S152">
            <v>534.45454388110682</v>
          </cell>
          <cell r="T152">
            <v>106.89090877622137</v>
          </cell>
          <cell r="U152" t="str">
            <v>..</v>
          </cell>
          <cell r="V152">
            <v>156</v>
          </cell>
          <cell r="W152">
            <v>8.6666000000000007</v>
          </cell>
          <cell r="X152">
            <v>147.33340000000001</v>
          </cell>
          <cell r="Y152" t="str">
            <v>-</v>
          </cell>
          <cell r="Z152" t="str">
            <v>Two months of parental leave are effectively reserved for the father (period needed to qualify for the two bonus months). Paid at a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€1,200,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2" t="str">
            <v>Net</v>
          </cell>
          <cell r="AB152" t="str">
            <v>N</v>
          </cell>
          <cell r="AC152">
            <v>8.6999999999999993</v>
          </cell>
          <cell r="AD152">
            <v>0.67</v>
          </cell>
          <cell r="AE152">
            <v>1800</v>
          </cell>
          <cell r="AF152" t="str">
            <v>month</v>
          </cell>
          <cell r="AG152">
            <v>300</v>
          </cell>
          <cell r="AH152" t="str">
            <v>month</v>
          </cell>
          <cell r="AI152" t="str">
            <v>-</v>
          </cell>
          <cell r="AJ152" t="str">
            <v>-</v>
          </cell>
          <cell r="AK152">
            <v>1200</v>
          </cell>
          <cell r="AL152" t="str">
            <v>Threshold</v>
          </cell>
          <cell r="AM152">
            <v>0.65</v>
          </cell>
          <cell r="AN152" t="str">
            <v>Minimum Rate</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cell r="BD152" t="str">
            <v>-</v>
          </cell>
          <cell r="BE152" t="str">
            <v>-</v>
          </cell>
          <cell r="BF152" t="str">
            <v>-</v>
          </cell>
          <cell r="BG152" t="str">
            <v>-</v>
          </cell>
          <cell r="BH152" t="str">
            <v>-</v>
          </cell>
          <cell r="BI152" t="str">
            <v>-</v>
          </cell>
          <cell r="BJ152" t="str">
            <v>-</v>
          </cell>
          <cell r="BK152" t="str">
            <v>-</v>
          </cell>
          <cell r="BL152" t="str">
            <v>-</v>
          </cell>
          <cell r="BM152">
            <v>0.39447558568383623</v>
          </cell>
          <cell r="BN152">
            <v>2.191514173645856E-2</v>
          </cell>
          <cell r="BO152">
            <v>0.65250501926937887</v>
          </cell>
          <cell r="BP152">
            <v>3.6249999999999998E-2</v>
          </cell>
          <cell r="BQ152">
            <v>18134.04267388595</v>
          </cell>
          <cell r="BR152">
            <v>1511.1702228238294</v>
          </cell>
          <cell r="BS152">
            <v>348.7342724537487</v>
          </cell>
          <cell r="BT152">
            <v>69.74685449074974</v>
          </cell>
        </row>
        <row r="153">
          <cell r="A153" t="str">
            <v>Germany2015100 / 100</v>
          </cell>
          <cell r="B153" t="str">
            <v>Germany</v>
          </cell>
          <cell r="C153">
            <v>2015</v>
          </cell>
          <cell r="D153" t="str">
            <v>100 / 100</v>
          </cell>
          <cell r="E153">
            <v>47100</v>
          </cell>
          <cell r="F153">
            <v>3925</v>
          </cell>
          <cell r="G153">
            <v>905.77619827844819</v>
          </cell>
          <cell r="H153">
            <v>181.15523965568963</v>
          </cell>
          <cell r="I153">
            <v>47100</v>
          </cell>
          <cell r="J153">
            <v>3925</v>
          </cell>
          <cell r="K153">
            <v>905.77619827844819</v>
          </cell>
          <cell r="L153">
            <v>181.15523965568963</v>
          </cell>
          <cell r="M153">
            <v>28410.705000000002</v>
          </cell>
          <cell r="N153">
            <v>2367.5587500000001</v>
          </cell>
          <cell r="O153">
            <v>546.36391433780261</v>
          </cell>
          <cell r="P153">
            <v>109.27278286756052</v>
          </cell>
          <cell r="Q153">
            <v>28410.705000000002</v>
          </cell>
          <cell r="R153">
            <v>2367.5587500000001</v>
          </cell>
          <cell r="S153">
            <v>546.36391433780261</v>
          </cell>
          <cell r="T153">
            <v>109.27278286756052</v>
          </cell>
          <cell r="U153" t="str">
            <v>..</v>
          </cell>
          <cell r="V153">
            <v>156</v>
          </cell>
          <cell r="W153">
            <v>8.6666000000000007</v>
          </cell>
          <cell r="X153">
            <v>147.33340000000001</v>
          </cell>
          <cell r="Y153" t="str">
            <v>-</v>
          </cell>
          <cell r="Z153" t="str">
            <v>Two months of parental leave are effectively reserved for the father (period needed to qualify for the two bonus months). Paid at a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€1,200,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3" t="str">
            <v>Net</v>
          </cell>
          <cell r="AB153" t="str">
            <v>N</v>
          </cell>
          <cell r="AC153">
            <v>8.6999999999999993</v>
          </cell>
          <cell r="AD153">
            <v>0.67</v>
          </cell>
          <cell r="AE153">
            <v>1800</v>
          </cell>
          <cell r="AF153" t="str">
            <v>month</v>
          </cell>
          <cell r="AG153">
            <v>300</v>
          </cell>
          <cell r="AH153" t="str">
            <v>month</v>
          </cell>
          <cell r="AI153" t="str">
            <v>-</v>
          </cell>
          <cell r="AJ153" t="str">
            <v>-</v>
          </cell>
          <cell r="AK153">
            <v>1200</v>
          </cell>
          <cell r="AL153" t="str">
            <v>Threshold</v>
          </cell>
          <cell r="AM153">
            <v>0.65</v>
          </cell>
          <cell r="AN153" t="str">
            <v>Minimum Rate</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cell r="BD153" t="str">
            <v>-</v>
          </cell>
          <cell r="BE153" t="str">
            <v>-</v>
          </cell>
          <cell r="BF153" t="str">
            <v>-</v>
          </cell>
          <cell r="BG153" t="str">
            <v>-</v>
          </cell>
          <cell r="BH153" t="str">
            <v>-</v>
          </cell>
          <cell r="BI153" t="str">
            <v>-</v>
          </cell>
          <cell r="BJ153" t="str">
            <v>-</v>
          </cell>
          <cell r="BK153" t="str">
            <v>-</v>
          </cell>
          <cell r="BL153" t="str">
            <v>-</v>
          </cell>
          <cell r="BM153">
            <v>0.39359081981914312</v>
          </cell>
          <cell r="BN153">
            <v>2.1865988455414011E-2</v>
          </cell>
          <cell r="BO153">
            <v>0.65250501926937887</v>
          </cell>
          <cell r="BP153">
            <v>3.6249999999999998E-2</v>
          </cell>
          <cell r="BQ153">
            <v>18538.12761348164</v>
          </cell>
          <cell r="BR153">
            <v>1544.8439677901367</v>
          </cell>
          <cell r="BS153">
            <v>356.50519645308117</v>
          </cell>
          <cell r="BT153">
            <v>71.301039290616231</v>
          </cell>
        </row>
        <row r="154">
          <cell r="A154" t="str">
            <v>Germany2016100 / 100</v>
          </cell>
          <cell r="B154" t="str">
            <v>Germany</v>
          </cell>
          <cell r="C154">
            <v>2016</v>
          </cell>
          <cell r="D154" t="str">
            <v>100 / 100</v>
          </cell>
          <cell r="E154">
            <v>48100</v>
          </cell>
          <cell r="F154">
            <v>4008.3333333333335</v>
          </cell>
          <cell r="G154">
            <v>925.00711543934949</v>
          </cell>
          <cell r="H154">
            <v>185.00142308786991</v>
          </cell>
          <cell r="I154">
            <v>48100</v>
          </cell>
          <cell r="J154">
            <v>4008.3333333333335</v>
          </cell>
          <cell r="K154">
            <v>925.00711543934949</v>
          </cell>
          <cell r="L154">
            <v>185.00142308786991</v>
          </cell>
          <cell r="M154">
            <v>28986.320000000003</v>
          </cell>
          <cell r="N154">
            <v>2415.5266666666671</v>
          </cell>
          <cell r="O154">
            <v>557.43351871937477</v>
          </cell>
          <cell r="P154">
            <v>111.48670374387495</v>
          </cell>
          <cell r="Q154">
            <v>28986.320000000003</v>
          </cell>
          <cell r="R154">
            <v>2415.5266666666671</v>
          </cell>
          <cell r="S154">
            <v>557.43351871937477</v>
          </cell>
          <cell r="T154">
            <v>111.48670374387495</v>
          </cell>
          <cell r="U154" t="str">
            <v>..</v>
          </cell>
          <cell r="V154">
            <v>156</v>
          </cell>
          <cell r="W154">
            <v>8.6666000000000007</v>
          </cell>
          <cell r="X154">
            <v>147.33340000000001</v>
          </cell>
          <cell r="Y154" t="str">
            <v>-</v>
          </cell>
          <cell r="Z154"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€1,200,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4" t="str">
            <v>Net</v>
          </cell>
          <cell r="AB154" t="str">
            <v>N</v>
          </cell>
          <cell r="AC154">
            <v>8.6999999999999993</v>
          </cell>
          <cell r="AD154">
            <v>0.67</v>
          </cell>
          <cell r="AE154">
            <v>1800</v>
          </cell>
          <cell r="AF154" t="str">
            <v>month</v>
          </cell>
          <cell r="AG154">
            <v>300</v>
          </cell>
          <cell r="AH154" t="str">
            <v>month</v>
          </cell>
          <cell r="AI154" t="str">
            <v>-</v>
          </cell>
          <cell r="AJ154" t="str">
            <v>-</v>
          </cell>
          <cell r="AK154">
            <v>1200</v>
          </cell>
          <cell r="AL154" t="str">
            <v>Threshold</v>
          </cell>
          <cell r="AM154">
            <v>0.65</v>
          </cell>
          <cell r="AN154" t="str">
            <v>Minimum Rate</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cell r="BD154" t="str">
            <v>-</v>
          </cell>
          <cell r="BE154" t="str">
            <v>-</v>
          </cell>
          <cell r="BF154" t="str">
            <v>-</v>
          </cell>
          <cell r="BG154" t="str">
            <v>-</v>
          </cell>
          <cell r="BH154" t="str">
            <v>-</v>
          </cell>
          <cell r="BI154" t="str">
            <v>-</v>
          </cell>
          <cell r="BJ154" t="str">
            <v>-</v>
          </cell>
          <cell r="BK154" t="str">
            <v>-</v>
          </cell>
          <cell r="BL154" t="str">
            <v>-</v>
          </cell>
          <cell r="BM154">
            <v>0.39321661725880219</v>
          </cell>
          <cell r="BN154">
            <v>2.1845199584199587E-2</v>
          </cell>
          <cell r="BO154">
            <v>0.65250501926937887</v>
          </cell>
          <cell r="BP154">
            <v>3.6249999999999998E-2</v>
          </cell>
          <cell r="BQ154">
            <v>18913.719290148387</v>
          </cell>
          <cell r="BR154">
            <v>1576.1432741790322</v>
          </cell>
          <cell r="BS154">
            <v>363.72816887338337</v>
          </cell>
          <cell r="BT154">
            <v>72.745633774676676</v>
          </cell>
        </row>
        <row r="155">
          <cell r="A155" t="str">
            <v>Germany2017100 / 100</v>
          </cell>
          <cell r="B155" t="str">
            <v>Germany</v>
          </cell>
          <cell r="C155">
            <v>2017</v>
          </cell>
          <cell r="D155" t="str">
            <v>100 / 100</v>
          </cell>
          <cell r="E155">
            <v>48900</v>
          </cell>
          <cell r="F155">
            <v>4075</v>
          </cell>
          <cell r="G155">
            <v>940.39184916807039</v>
          </cell>
          <cell r="H155">
            <v>188.07836983361409</v>
          </cell>
          <cell r="I155">
            <v>48900</v>
          </cell>
          <cell r="J155">
            <v>4075</v>
          </cell>
          <cell r="K155">
            <v>940.39184916807039</v>
          </cell>
          <cell r="L155">
            <v>188.07836983361409</v>
          </cell>
          <cell r="M155">
            <v>29468.629999999997</v>
          </cell>
          <cell r="N155">
            <v>2455.7191666666663</v>
          </cell>
          <cell r="O155">
            <v>566.70878237524892</v>
          </cell>
          <cell r="P155">
            <v>113.34175647504978</v>
          </cell>
          <cell r="Q155">
            <v>29468.629999999997</v>
          </cell>
          <cell r="R155">
            <v>2455.7191666666663</v>
          </cell>
          <cell r="S155">
            <v>566.70878237524892</v>
          </cell>
          <cell r="T155">
            <v>113.34175647504978</v>
          </cell>
          <cell r="U155" t="str">
            <v>..</v>
          </cell>
          <cell r="V155">
            <v>156</v>
          </cell>
          <cell r="W155">
            <v>8.6666000000000007</v>
          </cell>
          <cell r="X155">
            <v>147.33340000000001</v>
          </cell>
          <cell r="Y155" t="str">
            <v>-</v>
          </cell>
          <cell r="Z155"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5" t="str">
            <v>Net</v>
          </cell>
          <cell r="AB155" t="str">
            <v>N</v>
          </cell>
          <cell r="AC155">
            <v>8.6999999999999993</v>
          </cell>
          <cell r="AD155">
            <v>0.67</v>
          </cell>
          <cell r="AE155">
            <v>1800</v>
          </cell>
          <cell r="AF155" t="str">
            <v>month</v>
          </cell>
          <cell r="AG155">
            <v>300</v>
          </cell>
          <cell r="AH155" t="str">
            <v>month</v>
          </cell>
          <cell r="AI155" t="str">
            <v>-</v>
          </cell>
          <cell r="AJ155" t="str">
            <v>-</v>
          </cell>
          <cell r="AK155">
            <v>1240</v>
          </cell>
          <cell r="AL155" t="str">
            <v>Threshold</v>
          </cell>
          <cell r="AM155">
            <v>0.65</v>
          </cell>
          <cell r="AN155" t="str">
            <v>Minimum Rate</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cell r="BD155" t="str">
            <v>-</v>
          </cell>
          <cell r="BE155" t="str">
            <v>-</v>
          </cell>
          <cell r="BF155" t="str">
            <v>-</v>
          </cell>
          <cell r="BG155" t="str">
            <v>-</v>
          </cell>
          <cell r="BH155" t="str">
            <v>-</v>
          </cell>
          <cell r="BI155" t="str">
            <v>-</v>
          </cell>
          <cell r="BJ155" t="str">
            <v>-</v>
          </cell>
          <cell r="BK155" t="str">
            <v>-</v>
          </cell>
          <cell r="BL155" t="str">
            <v>-</v>
          </cell>
          <cell r="BM155">
            <v>0.39321940666650701</v>
          </cell>
          <cell r="BN155">
            <v>2.1845354550102242E-2</v>
          </cell>
          <cell r="BO155">
            <v>0.65250501926937887</v>
          </cell>
          <cell r="BP155">
            <v>3.6249999999999998E-2</v>
          </cell>
          <cell r="BQ155">
            <v>19228.428985992192</v>
          </cell>
          <cell r="BR155">
            <v>1602.3690821660161</v>
          </cell>
          <cell r="BS155">
            <v>369.78032496388801</v>
          </cell>
          <cell r="BT155">
            <v>73.956064992777598</v>
          </cell>
        </row>
        <row r="156">
          <cell r="A156" t="str">
            <v>Germany2018100 / 100</v>
          </cell>
          <cell r="B156" t="str">
            <v>Germany</v>
          </cell>
          <cell r="C156">
            <v>2018</v>
          </cell>
          <cell r="D156" t="str">
            <v>100 / 100</v>
          </cell>
          <cell r="E156">
            <v>50430</v>
          </cell>
          <cell r="F156">
            <v>4202.5</v>
          </cell>
          <cell r="G156">
            <v>969.81515242424928</v>
          </cell>
          <cell r="H156">
            <v>193.96303048484987</v>
          </cell>
          <cell r="I156">
            <v>50430</v>
          </cell>
          <cell r="J156">
            <v>4202.5</v>
          </cell>
          <cell r="K156">
            <v>969.81515242424928</v>
          </cell>
          <cell r="L156">
            <v>193.96303048484987</v>
          </cell>
          <cell r="M156">
            <v>30419.872499999998</v>
          </cell>
          <cell r="N156">
            <v>2534.9893749999997</v>
          </cell>
          <cell r="O156">
            <v>585.00204809267746</v>
          </cell>
          <cell r="P156">
            <v>117.00040961853549</v>
          </cell>
          <cell r="Q156">
            <v>30419.872499999998</v>
          </cell>
          <cell r="R156">
            <v>2534.9893749999997</v>
          </cell>
          <cell r="S156">
            <v>585.00204809267746</v>
          </cell>
          <cell r="T156">
            <v>117.00040961853549</v>
          </cell>
          <cell r="U156" t="str">
            <v>..</v>
          </cell>
          <cell r="V156">
            <v>156</v>
          </cell>
          <cell r="W156">
            <v>8.6666000000000007</v>
          </cell>
          <cell r="X156">
            <v>147.33340000000001</v>
          </cell>
          <cell r="Y156" t="str">
            <v>-</v>
          </cell>
          <cell r="Z156"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6" t="str">
            <v>Net</v>
          </cell>
          <cell r="AB156" t="str">
            <v>N</v>
          </cell>
          <cell r="AC156">
            <v>8.6999999999999993</v>
          </cell>
          <cell r="AD156">
            <v>0.67</v>
          </cell>
          <cell r="AE156">
            <v>1800</v>
          </cell>
          <cell r="AF156" t="str">
            <v>month</v>
          </cell>
          <cell r="AG156">
            <v>300</v>
          </cell>
          <cell r="AH156" t="str">
            <v>month</v>
          </cell>
          <cell r="AI156" t="str">
            <v>-</v>
          </cell>
          <cell r="AJ156" t="str">
            <v>-</v>
          </cell>
          <cell r="AK156">
            <v>1240</v>
          </cell>
          <cell r="AL156" t="str">
            <v>Threshold</v>
          </cell>
          <cell r="AM156">
            <v>0.65</v>
          </cell>
          <cell r="AN156" t="str">
            <v>Minimum Rate</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cell r="BD156" t="str">
            <v>-</v>
          </cell>
          <cell r="BE156" t="str">
            <v>-</v>
          </cell>
          <cell r="BF156" t="str">
            <v>-</v>
          </cell>
          <cell r="BG156" t="str">
            <v>-</v>
          </cell>
          <cell r="BH156" t="str">
            <v>-</v>
          </cell>
          <cell r="BI156" t="str">
            <v>-</v>
          </cell>
          <cell r="BJ156" t="str">
            <v>-</v>
          </cell>
          <cell r="BK156" t="str">
            <v>-</v>
          </cell>
          <cell r="BL156" t="str">
            <v>-</v>
          </cell>
          <cell r="BM156">
            <v>0.39359745175063549</v>
          </cell>
          <cell r="BN156">
            <v>2.1866356893218319E-2</v>
          </cell>
          <cell r="BO156">
            <v>0.65250501926937887</v>
          </cell>
          <cell r="BP156">
            <v>3.6249999999999998E-2</v>
          </cell>
          <cell r="BQ156">
            <v>19849.119491784546</v>
          </cell>
          <cell r="BR156">
            <v>1654.0932909820456</v>
          </cell>
          <cell r="BS156">
            <v>381.71677266333865</v>
          </cell>
          <cell r="BT156">
            <v>76.343354532667732</v>
          </cell>
        </row>
        <row r="157">
          <cell r="A157" t="str">
            <v>Germany2019100 / 100</v>
          </cell>
          <cell r="B157" t="str">
            <v>Germany</v>
          </cell>
          <cell r="C157">
            <v>2019</v>
          </cell>
          <cell r="D157" t="str">
            <v>100 / 100</v>
          </cell>
          <cell r="E157">
            <v>51800</v>
          </cell>
          <cell r="F157">
            <v>4316.666666666667</v>
          </cell>
          <cell r="G157">
            <v>996.16150893468409</v>
          </cell>
          <cell r="H157">
            <v>199.23230178693683</v>
          </cell>
          <cell r="I157">
            <v>51800</v>
          </cell>
          <cell r="J157">
            <v>4316.666666666667</v>
          </cell>
          <cell r="K157">
            <v>996.16150893468409</v>
          </cell>
          <cell r="L157">
            <v>199.23230178693683</v>
          </cell>
          <cell r="M157">
            <v>31486.260000000002</v>
          </cell>
          <cell r="N157">
            <v>2623.855</v>
          </cell>
          <cell r="O157">
            <v>605.50965776659814</v>
          </cell>
          <cell r="P157">
            <v>121.10193155331963</v>
          </cell>
          <cell r="Q157">
            <v>31486.260000000002</v>
          </cell>
          <cell r="R157">
            <v>2623.855</v>
          </cell>
          <cell r="S157">
            <v>605.50965776659814</v>
          </cell>
          <cell r="T157">
            <v>121.10193155331963</v>
          </cell>
          <cell r="U157" t="str">
            <v>..</v>
          </cell>
          <cell r="V157">
            <v>156</v>
          </cell>
          <cell r="W157">
            <v>8.6666000000000007</v>
          </cell>
          <cell r="X157">
            <v>147.33340000000001</v>
          </cell>
          <cell r="Y157" t="str">
            <v>-</v>
          </cell>
          <cell r="Z157"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7" t="str">
            <v>Net</v>
          </cell>
          <cell r="AB157" t="str">
            <v>N</v>
          </cell>
          <cell r="AC157">
            <v>8.6999999999999993</v>
          </cell>
          <cell r="AD157">
            <v>0.67</v>
          </cell>
          <cell r="AE157">
            <v>1800</v>
          </cell>
          <cell r="AF157" t="str">
            <v>month</v>
          </cell>
          <cell r="AG157">
            <v>300</v>
          </cell>
          <cell r="AH157" t="str">
            <v>month</v>
          </cell>
          <cell r="AI157" t="str">
            <v>-</v>
          </cell>
          <cell r="AJ157" t="str">
            <v>-</v>
          </cell>
          <cell r="AK157">
            <v>1240</v>
          </cell>
          <cell r="AL157" t="str">
            <v>Threshold</v>
          </cell>
          <cell r="AM157">
            <v>0.65</v>
          </cell>
          <cell r="AN157" t="str">
            <v>Minimum Rate</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cell r="BD157" t="str">
            <v>-</v>
          </cell>
          <cell r="BE157" t="str">
            <v>-</v>
          </cell>
          <cell r="BF157" t="str">
            <v>-</v>
          </cell>
          <cell r="BG157" t="str">
            <v>-</v>
          </cell>
          <cell r="BH157" t="str">
            <v>-</v>
          </cell>
          <cell r="BI157" t="str">
            <v>-</v>
          </cell>
          <cell r="BJ157" t="str">
            <v>-</v>
          </cell>
          <cell r="BK157" t="str">
            <v>-</v>
          </cell>
          <cell r="BL157" t="str">
            <v>-</v>
          </cell>
          <cell r="BM157">
            <v>0.39662051521275427</v>
          </cell>
          <cell r="BN157">
            <v>2.2034303571428566E-2</v>
          </cell>
          <cell r="BO157">
            <v>0.65250501926937887</v>
          </cell>
          <cell r="BP157">
            <v>3.6249999999999998E-2</v>
          </cell>
          <cell r="BQ157">
            <v>20544.94268802067</v>
          </cell>
          <cell r="BR157">
            <v>1712.0785573350561</v>
          </cell>
          <cell r="BS157">
            <v>395.09809090878912</v>
          </cell>
          <cell r="BT157">
            <v>79.019618181757835</v>
          </cell>
        </row>
        <row r="158">
          <cell r="A158" t="str">
            <v>Germany2020100 / 100</v>
          </cell>
          <cell r="B158" t="str">
            <v>Germany</v>
          </cell>
          <cell r="C158">
            <v>2020</v>
          </cell>
          <cell r="D158" t="str">
            <v>100 / 100</v>
          </cell>
          <cell r="E158">
            <v>51000</v>
          </cell>
          <cell r="F158">
            <v>4250</v>
          </cell>
          <cell r="G158">
            <v>980.77677520596308</v>
          </cell>
          <cell r="H158">
            <v>196.15535504119262</v>
          </cell>
          <cell r="I158">
            <v>51000</v>
          </cell>
          <cell r="J158">
            <v>4250</v>
          </cell>
          <cell r="K158">
            <v>980.77677520596308</v>
          </cell>
          <cell r="L158">
            <v>196.15535504119262</v>
          </cell>
          <cell r="M158">
            <v>31294</v>
          </cell>
          <cell r="N158">
            <v>2607.8333333333335</v>
          </cell>
          <cell r="O158">
            <v>601.8123216332433</v>
          </cell>
          <cell r="P158">
            <v>120.36246432664866</v>
          </cell>
          <cell r="Q158">
            <v>31294</v>
          </cell>
          <cell r="R158">
            <v>2607.8333333333335</v>
          </cell>
          <cell r="S158">
            <v>601.8123216332433</v>
          </cell>
          <cell r="T158">
            <v>120.36246432664866</v>
          </cell>
          <cell r="U158" t="str">
            <v>..</v>
          </cell>
          <cell r="V158">
            <v>156</v>
          </cell>
          <cell r="W158">
            <v>8.6666000000000007</v>
          </cell>
          <cell r="X158">
            <v>147.33340000000001</v>
          </cell>
          <cell r="Y158" t="str">
            <v>-</v>
          </cell>
          <cell r="Z158"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8" t="str">
            <v>Net</v>
          </cell>
          <cell r="AB158" t="str">
            <v>N</v>
          </cell>
          <cell r="AC158">
            <v>8.6999999999999993</v>
          </cell>
          <cell r="AD158">
            <v>0.67</v>
          </cell>
          <cell r="AE158">
            <v>1800</v>
          </cell>
          <cell r="AF158" t="str">
            <v>month</v>
          </cell>
          <cell r="AG158">
            <v>300</v>
          </cell>
          <cell r="AH158" t="str">
            <v>month</v>
          </cell>
          <cell r="AI158" t="str">
            <v>-</v>
          </cell>
          <cell r="AJ158" t="str">
            <v>-</v>
          </cell>
          <cell r="AK158">
            <v>1240</v>
          </cell>
          <cell r="AL158" t="str">
            <v>Threshold</v>
          </cell>
          <cell r="AM158">
            <v>0.65</v>
          </cell>
          <cell r="AN158" t="str">
            <v>Minimum Rate</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cell r="BD158" t="str">
            <v>-</v>
          </cell>
          <cell r="BE158" t="str">
            <v>-</v>
          </cell>
          <cell r="BF158" t="str">
            <v>-</v>
          </cell>
          <cell r="BG158" t="str">
            <v>-</v>
          </cell>
          <cell r="BH158" t="str">
            <v>-</v>
          </cell>
          <cell r="BI158" t="str">
            <v>-</v>
          </cell>
          <cell r="BJ158" t="str">
            <v>-</v>
          </cell>
          <cell r="BK158" t="str">
            <v>-</v>
          </cell>
          <cell r="BL158" t="str">
            <v>-</v>
          </cell>
          <cell r="BM158">
            <v>0.40038219751011656</v>
          </cell>
          <cell r="BN158">
            <v>2.2243284313725489E-2</v>
          </cell>
          <cell r="BO158">
            <v>0.65250501926937887</v>
          </cell>
          <cell r="BP158">
            <v>3.6249999999999998E-2</v>
          </cell>
          <cell r="BQ158">
            <v>20419.492073015943</v>
          </cell>
          <cell r="BR158">
            <v>1701.6243394179953</v>
          </cell>
          <cell r="BS158">
            <v>392.68556052384912</v>
          </cell>
          <cell r="BT158">
            <v>78.537112104769818</v>
          </cell>
        </row>
        <row r="159">
          <cell r="A159" t="str">
            <v>Germany2021100 / 100</v>
          </cell>
          <cell r="B159" t="str">
            <v>Germany</v>
          </cell>
          <cell r="C159">
            <v>2021</v>
          </cell>
          <cell r="D159" t="str">
            <v>100 / 100</v>
          </cell>
          <cell r="E159">
            <v>52800</v>
          </cell>
          <cell r="F159">
            <v>4400</v>
          </cell>
          <cell r="G159">
            <v>1015.3924260955853</v>
          </cell>
          <cell r="H159">
            <v>203.07848521911706</v>
          </cell>
          <cell r="I159">
            <v>52800</v>
          </cell>
          <cell r="J159">
            <v>4400</v>
          </cell>
          <cell r="K159">
            <v>1015.3924260955853</v>
          </cell>
          <cell r="L159">
            <v>203.07848521911706</v>
          </cell>
          <cell r="M159">
            <v>32727.245500000005</v>
          </cell>
          <cell r="N159">
            <v>2727.2704583333339</v>
          </cell>
          <cell r="O159">
            <v>629.37494711497789</v>
          </cell>
          <cell r="P159">
            <v>125.87498942299558</v>
          </cell>
          <cell r="Q159">
            <v>32727.245500000005</v>
          </cell>
          <cell r="R159">
            <v>2727.2704583333339</v>
          </cell>
          <cell r="S159">
            <v>629.37494711497789</v>
          </cell>
          <cell r="T159">
            <v>125.87498942299558</v>
          </cell>
          <cell r="U159" t="str">
            <v>..</v>
          </cell>
          <cell r="V159">
            <v>156</v>
          </cell>
          <cell r="W159">
            <v>8.6666000000000007</v>
          </cell>
          <cell r="X159">
            <v>147.33340000000001</v>
          </cell>
          <cell r="Y159" t="str">
            <v>-</v>
          </cell>
          <cell r="Z159"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59" t="str">
            <v>Net</v>
          </cell>
          <cell r="AB159" t="str">
            <v>N</v>
          </cell>
          <cell r="AC159">
            <v>8.6999999999999993</v>
          </cell>
          <cell r="AD159">
            <v>0.67</v>
          </cell>
          <cell r="AE159">
            <v>1800</v>
          </cell>
          <cell r="AF159" t="str">
            <v>month</v>
          </cell>
          <cell r="AG159">
            <v>300</v>
          </cell>
          <cell r="AH159" t="str">
            <v>month</v>
          </cell>
          <cell r="AI159" t="str">
            <v>-</v>
          </cell>
          <cell r="AJ159" t="str">
            <v>-</v>
          </cell>
          <cell r="AK159">
            <v>1240</v>
          </cell>
          <cell r="AL159" t="str">
            <v>Threshold</v>
          </cell>
          <cell r="AM159">
            <v>0.65</v>
          </cell>
          <cell r="AN159" t="str">
            <v>Minimum Rate</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cell r="BD159" t="str">
            <v>-</v>
          </cell>
          <cell r="BE159" t="str">
            <v>-</v>
          </cell>
          <cell r="BF159" t="str">
            <v>-</v>
          </cell>
          <cell r="BG159" t="str">
            <v>-</v>
          </cell>
          <cell r="BH159" t="str">
            <v>-</v>
          </cell>
          <cell r="BI159" t="str">
            <v>-</v>
          </cell>
          <cell r="BJ159" t="str">
            <v>-</v>
          </cell>
          <cell r="BK159" t="str">
            <v>-</v>
          </cell>
          <cell r="BL159" t="str">
            <v>-</v>
          </cell>
          <cell r="BM159">
            <v>0.40444492340172722</v>
          </cell>
          <cell r="BN159">
            <v>2.2468989571496213E-2</v>
          </cell>
          <cell r="BO159">
            <v>0.65250501926937887</v>
          </cell>
          <cell r="BP159">
            <v>3.6249999999999998E-2</v>
          </cell>
          <cell r="BQ159">
            <v>21354.691955611197</v>
          </cell>
          <cell r="BR159">
            <v>1779.5576629675998</v>
          </cell>
          <cell r="BS159">
            <v>410.67031199492294</v>
          </cell>
          <cell r="BT159">
            <v>82.134062398984597</v>
          </cell>
        </row>
        <row r="160">
          <cell r="A160" t="str">
            <v>Germany2022100 / 100</v>
          </cell>
          <cell r="B160" t="str">
            <v>Germany</v>
          </cell>
          <cell r="C160">
            <v>2022</v>
          </cell>
          <cell r="D160" t="str">
            <v>100 / 100</v>
          </cell>
          <cell r="E160">
            <v>57667</v>
          </cell>
          <cell r="F160">
            <v>4805.583333333333</v>
          </cell>
          <cell r="G160">
            <v>1108.9892999176916</v>
          </cell>
          <cell r="H160">
            <v>221.79785998353833</v>
          </cell>
          <cell r="I160">
            <v>57667</v>
          </cell>
          <cell r="J160">
            <v>4805.583333333333</v>
          </cell>
          <cell r="K160">
            <v>1108.9892999176916</v>
          </cell>
          <cell r="L160">
            <v>221.79785998353833</v>
          </cell>
          <cell r="M160">
            <v>35407.730000000003</v>
          </cell>
          <cell r="N160">
            <v>2950.6441666666669</v>
          </cell>
          <cell r="O160">
            <v>680.92312248555754</v>
          </cell>
          <cell r="P160">
            <v>136.18462449711151</v>
          </cell>
          <cell r="Q160">
            <v>35407.730000000003</v>
          </cell>
          <cell r="R160">
            <v>2950.6441666666669</v>
          </cell>
          <cell r="S160">
            <v>680.92312248555754</v>
          </cell>
          <cell r="T160">
            <v>136.18462449711151</v>
          </cell>
          <cell r="U160" t="str">
            <v>..</v>
          </cell>
          <cell r="V160">
            <v>156</v>
          </cell>
          <cell r="W160">
            <v>8.6666000000000007</v>
          </cell>
          <cell r="X160">
            <v>147.33340000000001</v>
          </cell>
          <cell r="Z160"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60" t="str">
            <v>Net</v>
          </cell>
          <cell r="AB160" t="str">
            <v>N</v>
          </cell>
          <cell r="AC160">
            <v>8.6999999999999993</v>
          </cell>
          <cell r="AD160">
            <v>0.67</v>
          </cell>
          <cell r="AE160">
            <v>1800</v>
          </cell>
          <cell r="AF160" t="str">
            <v>month</v>
          </cell>
          <cell r="AG160">
            <v>300</v>
          </cell>
          <cell r="AH160" t="str">
            <v>month</v>
          </cell>
          <cell r="AI160" t="str">
            <v>-</v>
          </cell>
          <cell r="AJ160" t="str">
            <v>-</v>
          </cell>
          <cell r="AK160">
            <v>1240</v>
          </cell>
          <cell r="AL160" t="str">
            <v>Threshold</v>
          </cell>
          <cell r="AM160">
            <v>0.65</v>
          </cell>
          <cell r="AN160" t="str">
            <v>Minimum Rate</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cell r="BD160" t="str">
            <v>-</v>
          </cell>
          <cell r="BE160" t="str">
            <v>-</v>
          </cell>
          <cell r="BF160" t="str">
            <v>-</v>
          </cell>
          <cell r="BG160" t="str">
            <v>-</v>
          </cell>
          <cell r="BH160" t="str">
            <v>-</v>
          </cell>
          <cell r="BI160" t="str">
            <v>-</v>
          </cell>
          <cell r="BJ160" t="str">
            <v>-</v>
          </cell>
          <cell r="BK160" t="str">
            <v>-</v>
          </cell>
          <cell r="BL160" t="str">
            <v>-</v>
          </cell>
          <cell r="BM160">
            <v>0.3760078332019936</v>
          </cell>
          <cell r="BN160">
            <v>2.0889163379669218E-2</v>
          </cell>
          <cell r="BO160">
            <v>0.61238728710536827</v>
          </cell>
          <cell r="BP160">
            <v>3.4021254246329388E-2</v>
          </cell>
          <cell r="BQ160">
            <v>21683.243717259364</v>
          </cell>
          <cell r="BR160">
            <v>1806.9369764382802</v>
          </cell>
          <cell r="BS160">
            <v>416.98866370624705</v>
          </cell>
          <cell r="BT160">
            <v>83.397732741249413</v>
          </cell>
        </row>
        <row r="161">
          <cell r="A161" t="str">
            <v>Germany2023100 / 100</v>
          </cell>
          <cell r="B161" t="str">
            <v>Germany</v>
          </cell>
          <cell r="C161">
            <v>2023</v>
          </cell>
          <cell r="D161" t="str">
            <v>100 / 100</v>
          </cell>
          <cell r="E161">
            <v>61487.516000000003</v>
          </cell>
          <cell r="F161">
            <v>5123.9596666666666</v>
          </cell>
          <cell r="G161">
            <v>1182.4613266255892</v>
          </cell>
          <cell r="H161">
            <v>236.49226532511784</v>
          </cell>
          <cell r="I161">
            <v>61487.516000000003</v>
          </cell>
          <cell r="J161">
            <v>5123.9596666666666</v>
          </cell>
          <cell r="K161">
            <v>1182.4613266255892</v>
          </cell>
          <cell r="L161">
            <v>236.49226532511784</v>
          </cell>
          <cell r="M161">
            <v>37517.589999999997</v>
          </cell>
          <cell r="N161">
            <v>3126.4658333333332</v>
          </cell>
          <cell r="O161">
            <v>721.49766536665652</v>
          </cell>
          <cell r="P161">
            <v>144.2995330733313</v>
          </cell>
          <cell r="Q161">
            <v>37517.589999999997</v>
          </cell>
          <cell r="R161">
            <v>3126.4658333333332</v>
          </cell>
          <cell r="S161">
            <v>721.49766536665652</v>
          </cell>
          <cell r="T161">
            <v>144.2995330733313</v>
          </cell>
          <cell r="U161" t="str">
            <v>..</v>
          </cell>
          <cell r="V161">
            <v>156</v>
          </cell>
          <cell r="W161">
            <v>8.6666000000000007</v>
          </cell>
          <cell r="X161">
            <v>147.33340000000001</v>
          </cell>
          <cell r="Z161"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61" t="str">
            <v>Net</v>
          </cell>
          <cell r="AB161" t="str">
            <v>N</v>
          </cell>
          <cell r="AC161">
            <v>8.6999999999999993</v>
          </cell>
          <cell r="AD161">
            <v>0.67</v>
          </cell>
          <cell r="AE161">
            <v>1800</v>
          </cell>
          <cell r="AF161" t="str">
            <v>month</v>
          </cell>
          <cell r="AG161">
            <v>300</v>
          </cell>
          <cell r="AH161" t="str">
            <v>month</v>
          </cell>
          <cell r="AI161" t="str">
            <v>-</v>
          </cell>
          <cell r="AJ161" t="str">
            <v>-</v>
          </cell>
          <cell r="AK161">
            <v>1241</v>
          </cell>
          <cell r="AL161" t="str">
            <v>Threshold</v>
          </cell>
          <cell r="AM161">
            <v>0.65</v>
          </cell>
          <cell r="AN161" t="str">
            <v>Minimum Rate</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cell r="BD161" t="str">
            <v>-</v>
          </cell>
          <cell r="BE161" t="str">
            <v>-</v>
          </cell>
          <cell r="BF161" t="str">
            <v>-</v>
          </cell>
          <cell r="BG161" t="str">
            <v>-</v>
          </cell>
          <cell r="BH161" t="str">
            <v>-</v>
          </cell>
          <cell r="BI161" t="str">
            <v>-</v>
          </cell>
          <cell r="BJ161" t="str">
            <v>-</v>
          </cell>
          <cell r="BK161" t="str">
            <v>-</v>
          </cell>
          <cell r="BL161" t="str">
            <v>-</v>
          </cell>
          <cell r="BM161">
            <v>0.35264465257076505</v>
          </cell>
          <cell r="BN161">
            <v>1.9591218884421748E-2</v>
          </cell>
          <cell r="BO161">
            <v>0.57794873597316243</v>
          </cell>
          <cell r="BP161">
            <v>3.210801612298083E-2</v>
          </cell>
          <cell r="BQ161">
            <v>21683.24371725936</v>
          </cell>
          <cell r="BR161">
            <v>1806.9369764382798</v>
          </cell>
          <cell r="BS161">
            <v>416.98866370624683</v>
          </cell>
          <cell r="BT161">
            <v>83.397732741249371</v>
          </cell>
        </row>
        <row r="162">
          <cell r="A162" t="str">
            <v>Germany2024100 / 100</v>
          </cell>
          <cell r="B162" t="str">
            <v>Germany</v>
          </cell>
          <cell r="C162">
            <v>2024</v>
          </cell>
          <cell r="D162" t="str">
            <v>100 / 100</v>
          </cell>
          <cell r="E162">
            <v>63287.57</v>
          </cell>
          <cell r="F162">
            <v>5273.9641666666666</v>
          </cell>
          <cell r="G162">
            <v>1217.0780159847382</v>
          </cell>
          <cell r="H162">
            <v>243.41560319694764</v>
          </cell>
          <cell r="I162">
            <v>63287.57</v>
          </cell>
          <cell r="J162">
            <v>5273.9641666666666</v>
          </cell>
          <cell r="K162">
            <v>1217.0780159847382</v>
          </cell>
          <cell r="L162">
            <v>243.41560319694764</v>
          </cell>
          <cell r="M162">
            <v>39237.64</v>
          </cell>
          <cell r="N162">
            <v>3269.8033333333333</v>
          </cell>
          <cell r="O162">
            <v>754.57580442926474</v>
          </cell>
          <cell r="P162">
            <v>150.91516088585294</v>
          </cell>
          <cell r="Q162">
            <v>39237.64</v>
          </cell>
          <cell r="R162">
            <v>3269.8033333333333</v>
          </cell>
          <cell r="S162">
            <v>754.57580442926474</v>
          </cell>
          <cell r="T162">
            <v>150.91516088585294</v>
          </cell>
          <cell r="U162" t="str">
            <v>..</v>
          </cell>
          <cell r="V162">
            <v>156</v>
          </cell>
          <cell r="W162">
            <v>8.6666000000000007</v>
          </cell>
          <cell r="X162">
            <v>147.33340000000001</v>
          </cell>
          <cell r="Z162"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62" t="str">
            <v>Net</v>
          </cell>
          <cell r="AB162" t="str">
            <v>N</v>
          </cell>
          <cell r="AC162">
            <v>8.6999999999999993</v>
          </cell>
          <cell r="AD162">
            <v>0.67</v>
          </cell>
          <cell r="AE162">
            <v>1800</v>
          </cell>
          <cell r="AF162" t="str">
            <v>month</v>
          </cell>
          <cell r="AG162">
            <v>300</v>
          </cell>
          <cell r="AH162" t="str">
            <v>month</v>
          </cell>
          <cell r="AI162" t="str">
            <v>-</v>
          </cell>
          <cell r="AJ162" t="str">
            <v>-</v>
          </cell>
          <cell r="AK162">
            <v>1241</v>
          </cell>
          <cell r="AL162" t="str">
            <v>Threshold</v>
          </cell>
          <cell r="AM162">
            <v>0.65</v>
          </cell>
          <cell r="AN162" t="str">
            <v>Minimum Rate</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cell r="BE162" t="str">
            <v>-</v>
          </cell>
          <cell r="BF162" t="str">
            <v>-</v>
          </cell>
          <cell r="BG162" t="str">
            <v>-</v>
          </cell>
          <cell r="BH162" t="str">
            <v>-</v>
          </cell>
          <cell r="BI162" t="str">
            <v>-</v>
          </cell>
          <cell r="BJ162" t="str">
            <v>-</v>
          </cell>
          <cell r="BK162" t="str">
            <v>-</v>
          </cell>
          <cell r="BL162" t="str">
            <v>-</v>
          </cell>
          <cell r="BM162">
            <v>0.34261457213887903</v>
          </cell>
          <cell r="BN162">
            <v>1.9033996480120573E-2</v>
          </cell>
          <cell r="BO162">
            <v>0.55261335078407769</v>
          </cell>
          <cell r="BP162">
            <v>3.0700505550674925E-2</v>
          </cell>
          <cell r="BQ162">
            <v>21683.243717259356</v>
          </cell>
          <cell r="BR162">
            <v>1806.9369764382798</v>
          </cell>
          <cell r="BS162">
            <v>416.98866370624683</v>
          </cell>
          <cell r="BT162">
            <v>83.397732741249371</v>
          </cell>
        </row>
        <row r="163">
          <cell r="A163" t="str">
            <v>Germany2025100 / 100</v>
          </cell>
          <cell r="B163" t="str">
            <v>Germany</v>
          </cell>
          <cell r="C163">
            <v>2025</v>
          </cell>
          <cell r="D163" t="str">
            <v>100 / 100</v>
          </cell>
          <cell r="E163">
            <v>63287.57</v>
          </cell>
          <cell r="F163">
            <v>5273.9641666666666</v>
          </cell>
          <cell r="G163">
            <v>1217.0780159847382</v>
          </cell>
          <cell r="H163">
            <v>243.41560319694764</v>
          </cell>
          <cell r="I163">
            <v>63287.57</v>
          </cell>
          <cell r="J163">
            <v>5273.9641666666666</v>
          </cell>
          <cell r="K163">
            <v>1217.0780159847382</v>
          </cell>
          <cell r="L163">
            <v>243.41560319694764</v>
          </cell>
          <cell r="M163">
            <v>39237.64</v>
          </cell>
          <cell r="N163">
            <v>3269.8033333333333</v>
          </cell>
          <cell r="O163">
            <v>754.57580442926474</v>
          </cell>
          <cell r="P163">
            <v>150.91516088585294</v>
          </cell>
          <cell r="Q163">
            <v>39237.64</v>
          </cell>
          <cell r="R163">
            <v>3269.8033333333333</v>
          </cell>
          <cell r="S163">
            <v>754.57580442926474</v>
          </cell>
          <cell r="T163">
            <v>150.91516088585294</v>
          </cell>
          <cell r="U163" t="str">
            <v>..</v>
          </cell>
          <cell r="V163">
            <v>156</v>
          </cell>
          <cell r="W163">
            <v>8.6666000000000007</v>
          </cell>
          <cell r="X163">
            <v>147.33340000000001</v>
          </cell>
          <cell r="Z163" t="str">
            <v>Two months of parental leave are effectively reserved for the father (period needed to qualify for the two bonus months). Paid at a basic replacement rate of 67 per cent of a parent’s average net earnings during the 12 months preceding childbirth. There is a ceiling of €1,800 per month on the benefit payment and the minimum payment, which is also available for parents without prior income, is €300. Parents with low average earnings of less than €1,000 per month receive an increased benefit: for every €2 their monthly earnings are below €1,000, their parental benefit increases by 0.1 per cent. For parents with high incomes, on the other hand, the income replacement rate is reduced: for every €2 their monthly earnings exceed €1,240, their parental benefit decreases by 0.1 per cent to a minimum rate of 65 per cent. Moreover, there is a supplementary payment for parents with several small children (Geschwisterbonus): If there are two children under the age of three, or three or more children under the age of six in the household, the parental benefit is increased by 10 percent (or a minimum of €75).</v>
          </cell>
          <cell r="AA163" t="str">
            <v>Net</v>
          </cell>
          <cell r="AB163" t="str">
            <v>N</v>
          </cell>
          <cell r="AC163">
            <v>8.6999999999999993</v>
          </cell>
          <cell r="AD163">
            <v>0.67</v>
          </cell>
          <cell r="AE163">
            <v>1800</v>
          </cell>
          <cell r="AF163" t="str">
            <v>month</v>
          </cell>
          <cell r="AG163">
            <v>300</v>
          </cell>
          <cell r="AH163" t="str">
            <v>month</v>
          </cell>
          <cell r="AI163" t="str">
            <v>-</v>
          </cell>
          <cell r="AJ163" t="str">
            <v>-</v>
          </cell>
          <cell r="AK163">
            <v>1241</v>
          </cell>
          <cell r="AL163" t="str">
            <v>Threshold</v>
          </cell>
          <cell r="AM163">
            <v>0.65</v>
          </cell>
          <cell r="AN163" t="str">
            <v>Minimum Rate</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cell r="BD163" t="str">
            <v>-</v>
          </cell>
          <cell r="BE163" t="str">
            <v>-</v>
          </cell>
          <cell r="BF163" t="str">
            <v>-</v>
          </cell>
          <cell r="BG163" t="str">
            <v>-</v>
          </cell>
          <cell r="BH163" t="str">
            <v>-</v>
          </cell>
          <cell r="BI163" t="str">
            <v>-</v>
          </cell>
          <cell r="BJ163" t="str">
            <v>-</v>
          </cell>
          <cell r="BK163" t="str">
            <v>-</v>
          </cell>
          <cell r="BL163" t="str">
            <v>-</v>
          </cell>
          <cell r="BM163">
            <v>0.34261457213887903</v>
          </cell>
          <cell r="BN163">
            <v>1.9033996480120573E-2</v>
          </cell>
          <cell r="BO163">
            <v>0.55261335078407769</v>
          </cell>
          <cell r="BP163">
            <v>3.0700505550674925E-2</v>
          </cell>
          <cell r="BQ163">
            <v>21683.243717259356</v>
          </cell>
          <cell r="BR163">
            <v>1806.9369764382798</v>
          </cell>
          <cell r="BS163">
            <v>416.98866370624683</v>
          </cell>
          <cell r="BT163">
            <v>83.397732741249371</v>
          </cell>
        </row>
        <row r="164">
          <cell r="A164" t="str">
            <v>Greece2014100 / 100</v>
          </cell>
          <cell r="B164" t="str">
            <v>Greece</v>
          </cell>
          <cell r="C164">
            <v>2014</v>
          </cell>
          <cell r="D164" t="str">
            <v>100 / 100</v>
          </cell>
          <cell r="E164">
            <v>21321.5</v>
          </cell>
          <cell r="F164">
            <v>1776.7916666666667</v>
          </cell>
          <cell r="G164">
            <v>410.03200024615575</v>
          </cell>
          <cell r="H164">
            <v>82.006400049231146</v>
          </cell>
          <cell r="I164">
            <v>21321.5</v>
          </cell>
          <cell r="J164">
            <v>1776.7916666666667</v>
          </cell>
          <cell r="K164">
            <v>410.03200024615575</v>
          </cell>
          <cell r="L164">
            <v>82.006400049231146</v>
          </cell>
          <cell r="M164" t="str">
            <v>..</v>
          </cell>
          <cell r="N164" t="str">
            <v>..</v>
          </cell>
          <cell r="O164" t="str">
            <v>..</v>
          </cell>
          <cell r="P164" t="str">
            <v>..</v>
          </cell>
          <cell r="Q164" t="str">
            <v>..</v>
          </cell>
          <cell r="R164" t="str">
            <v>..</v>
          </cell>
          <cell r="S164" t="str">
            <v>..</v>
          </cell>
          <cell r="T164" t="str">
            <v>..</v>
          </cell>
          <cell r="U164" t="str">
            <v>..</v>
          </cell>
          <cell r="V164">
            <v>17.333300000000001</v>
          </cell>
          <cell r="W164">
            <v>0</v>
          </cell>
          <cell r="X164">
            <v>17.333300000000001</v>
          </cell>
          <cell r="Y164" t="str">
            <v>-</v>
          </cell>
          <cell r="Z164" t="str">
            <v>Parental leave is unpaid</v>
          </cell>
          <cell r="AA164" t="str">
            <v>-</v>
          </cell>
          <cell r="AB164" t="str">
            <v>-</v>
          </cell>
          <cell r="AC164" t="str">
            <v>-</v>
          </cell>
          <cell r="AD164" t="str">
            <v>-</v>
          </cell>
          <cell r="AE164" t="str">
            <v>-</v>
          </cell>
          <cell r="AF164" t="str">
            <v>-</v>
          </cell>
          <cell r="AG164" t="str">
            <v>-</v>
          </cell>
          <cell r="AH164" t="str">
            <v>-</v>
          </cell>
          <cell r="AI164" t="str">
            <v>-</v>
          </cell>
          <cell r="AJ164" t="str">
            <v>-</v>
          </cell>
          <cell r="AK164" t="str">
            <v>-</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cell r="BE164" t="str">
            <v>-</v>
          </cell>
          <cell r="BF164" t="str">
            <v>-</v>
          </cell>
          <cell r="BG164" t="str">
            <v>-</v>
          </cell>
          <cell r="BH164" t="str">
            <v>-</v>
          </cell>
          <cell r="BI164" t="str">
            <v>-</v>
          </cell>
          <cell r="BJ164" t="str">
            <v>-</v>
          </cell>
          <cell r="BK164" t="str">
            <v>-</v>
          </cell>
          <cell r="BL164" t="str">
            <v>-</v>
          </cell>
          <cell r="BM164">
            <v>0</v>
          </cell>
          <cell r="BN164">
            <v>0</v>
          </cell>
          <cell r="BO164" t="str">
            <v>-</v>
          </cell>
          <cell r="BP164" t="str">
            <v>-</v>
          </cell>
          <cell r="BQ164">
            <v>0</v>
          </cell>
          <cell r="BR164">
            <v>0</v>
          </cell>
          <cell r="BS164">
            <v>0</v>
          </cell>
          <cell r="BT164">
            <v>0</v>
          </cell>
        </row>
        <row r="165">
          <cell r="A165" t="str">
            <v>Greece2015100 / 100</v>
          </cell>
          <cell r="B165" t="str">
            <v>Greece</v>
          </cell>
          <cell r="C165">
            <v>2015</v>
          </cell>
          <cell r="D165" t="str">
            <v>100 / 100</v>
          </cell>
          <cell r="E165">
            <v>20494</v>
          </cell>
          <cell r="F165">
            <v>1707.8333333333333</v>
          </cell>
          <cell r="G165">
            <v>394.11841629550992</v>
          </cell>
          <cell r="H165">
            <v>78.823683259101983</v>
          </cell>
          <cell r="I165">
            <v>20494</v>
          </cell>
          <cell r="J165">
            <v>1707.8333333333333</v>
          </cell>
          <cell r="K165">
            <v>394.11841629550992</v>
          </cell>
          <cell r="L165">
            <v>78.823683259101983</v>
          </cell>
          <cell r="M165" t="str">
            <v>..</v>
          </cell>
          <cell r="N165" t="str">
            <v>..</v>
          </cell>
          <cell r="O165" t="str">
            <v>..</v>
          </cell>
          <cell r="P165" t="str">
            <v>..</v>
          </cell>
          <cell r="Q165" t="str">
            <v>..</v>
          </cell>
          <cell r="R165" t="str">
            <v>..</v>
          </cell>
          <cell r="S165" t="str">
            <v>..</v>
          </cell>
          <cell r="T165" t="str">
            <v>..</v>
          </cell>
          <cell r="U165" t="str">
            <v>..</v>
          </cell>
          <cell r="V165">
            <v>17.333300000000001</v>
          </cell>
          <cell r="W165">
            <v>0</v>
          </cell>
          <cell r="X165">
            <v>17.333300000000001</v>
          </cell>
          <cell r="Y165" t="str">
            <v>-</v>
          </cell>
          <cell r="Z165" t="str">
            <v>Parental leave is unpaid</v>
          </cell>
          <cell r="AA165" t="str">
            <v>-</v>
          </cell>
          <cell r="AB165" t="str">
            <v>-</v>
          </cell>
          <cell r="AC165" t="str">
            <v>-</v>
          </cell>
          <cell r="AD165" t="str">
            <v>-</v>
          </cell>
          <cell r="AE165" t="str">
            <v>-</v>
          </cell>
          <cell r="AF165" t="str">
            <v>-</v>
          </cell>
          <cell r="AG165" t="str">
            <v>-</v>
          </cell>
          <cell r="AH165" t="str">
            <v>-</v>
          </cell>
          <cell r="AI165" t="str">
            <v>-</v>
          </cell>
          <cell r="AJ165" t="str">
            <v>-</v>
          </cell>
          <cell r="AK165" t="str">
            <v>-</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cell r="BD165" t="str">
            <v>-</v>
          </cell>
          <cell r="BE165" t="str">
            <v>-</v>
          </cell>
          <cell r="BF165" t="str">
            <v>-</v>
          </cell>
          <cell r="BG165" t="str">
            <v>-</v>
          </cell>
          <cell r="BH165" t="str">
            <v>-</v>
          </cell>
          <cell r="BI165" t="str">
            <v>-</v>
          </cell>
          <cell r="BJ165" t="str">
            <v>-</v>
          </cell>
          <cell r="BK165" t="str">
            <v>-</v>
          </cell>
          <cell r="BL165" t="str">
            <v>-</v>
          </cell>
          <cell r="BM165">
            <v>0</v>
          </cell>
          <cell r="BN165">
            <v>0</v>
          </cell>
          <cell r="BO165" t="str">
            <v>-</v>
          </cell>
          <cell r="BP165" t="str">
            <v>-</v>
          </cell>
          <cell r="BQ165">
            <v>0</v>
          </cell>
          <cell r="BR165">
            <v>0</v>
          </cell>
          <cell r="BS165">
            <v>0</v>
          </cell>
          <cell r="BT165">
            <v>0</v>
          </cell>
        </row>
        <row r="166">
          <cell r="A166" t="str">
            <v>Greece2016100 / 100</v>
          </cell>
          <cell r="B166" t="str">
            <v>Greece</v>
          </cell>
          <cell r="C166">
            <v>2016</v>
          </cell>
          <cell r="D166" t="str">
            <v>100 / 100</v>
          </cell>
          <cell r="E166">
            <v>20033</v>
          </cell>
          <cell r="F166">
            <v>1669.4166666666667</v>
          </cell>
          <cell r="G166">
            <v>385.25296348433449</v>
          </cell>
          <cell r="H166">
            <v>77.0505926968669</v>
          </cell>
          <cell r="I166">
            <v>20033</v>
          </cell>
          <cell r="J166">
            <v>1669.4166666666667</v>
          </cell>
          <cell r="K166">
            <v>385.25296348433449</v>
          </cell>
          <cell r="L166">
            <v>77.0505926968669</v>
          </cell>
          <cell r="M166" t="str">
            <v>..</v>
          </cell>
          <cell r="N166" t="str">
            <v>..</v>
          </cell>
          <cell r="O166" t="str">
            <v>..</v>
          </cell>
          <cell r="P166" t="str">
            <v>..</v>
          </cell>
          <cell r="Q166" t="str">
            <v>..</v>
          </cell>
          <cell r="R166" t="str">
            <v>..</v>
          </cell>
          <cell r="S166" t="str">
            <v>..</v>
          </cell>
          <cell r="T166" t="str">
            <v>..</v>
          </cell>
          <cell r="U166" t="str">
            <v>..</v>
          </cell>
          <cell r="V166">
            <v>17.333300000000001</v>
          </cell>
          <cell r="W166">
            <v>0</v>
          </cell>
          <cell r="X166">
            <v>17.333300000000001</v>
          </cell>
          <cell r="Y166" t="str">
            <v>-</v>
          </cell>
          <cell r="Z166" t="str">
            <v>Parental leave is unpaid</v>
          </cell>
          <cell r="AA166" t="str">
            <v>-</v>
          </cell>
          <cell r="AB166" t="str">
            <v>-</v>
          </cell>
          <cell r="AC166" t="str">
            <v>-</v>
          </cell>
          <cell r="AD166" t="str">
            <v>-</v>
          </cell>
          <cell r="AE166" t="str">
            <v>-</v>
          </cell>
          <cell r="AF166" t="str">
            <v>-</v>
          </cell>
          <cell r="AG166" t="str">
            <v>-</v>
          </cell>
          <cell r="AH166" t="str">
            <v>-</v>
          </cell>
          <cell r="AI166" t="str">
            <v>-</v>
          </cell>
          <cell r="AJ166" t="str">
            <v>-</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cell r="BD166" t="str">
            <v>-</v>
          </cell>
          <cell r="BE166" t="str">
            <v>-</v>
          </cell>
          <cell r="BF166" t="str">
            <v>-</v>
          </cell>
          <cell r="BG166" t="str">
            <v>-</v>
          </cell>
          <cell r="BH166" t="str">
            <v>-</v>
          </cell>
          <cell r="BI166" t="str">
            <v>-</v>
          </cell>
          <cell r="BJ166" t="str">
            <v>-</v>
          </cell>
          <cell r="BK166" t="str">
            <v>-</v>
          </cell>
          <cell r="BL166" t="str">
            <v>-</v>
          </cell>
          <cell r="BM166">
            <v>0</v>
          </cell>
          <cell r="BN166">
            <v>0</v>
          </cell>
          <cell r="BO166" t="str">
            <v>-</v>
          </cell>
          <cell r="BP166" t="str">
            <v>-</v>
          </cell>
          <cell r="BQ166">
            <v>0</v>
          </cell>
          <cell r="BR166">
            <v>0</v>
          </cell>
          <cell r="BS166">
            <v>0</v>
          </cell>
          <cell r="BT166">
            <v>0</v>
          </cell>
        </row>
        <row r="167">
          <cell r="A167" t="str">
            <v>Greece2017100 / 100</v>
          </cell>
          <cell r="B167" t="str">
            <v>Greece</v>
          </cell>
          <cell r="C167">
            <v>2017</v>
          </cell>
          <cell r="D167" t="str">
            <v>100 / 100</v>
          </cell>
          <cell r="E167">
            <v>19913</v>
          </cell>
          <cell r="F167">
            <v>1659.4166666666667</v>
          </cell>
          <cell r="G167">
            <v>382.94525342502635</v>
          </cell>
          <cell r="H167">
            <v>76.589050685005276</v>
          </cell>
          <cell r="I167">
            <v>19913</v>
          </cell>
          <cell r="J167">
            <v>1659.4166666666667</v>
          </cell>
          <cell r="K167">
            <v>382.94525342502635</v>
          </cell>
          <cell r="L167">
            <v>76.589050685005276</v>
          </cell>
          <cell r="M167" t="str">
            <v>..</v>
          </cell>
          <cell r="N167" t="str">
            <v>..</v>
          </cell>
          <cell r="O167" t="str">
            <v>..</v>
          </cell>
          <cell r="P167" t="str">
            <v>..</v>
          </cell>
          <cell r="Q167" t="str">
            <v>..</v>
          </cell>
          <cell r="R167" t="str">
            <v>..</v>
          </cell>
          <cell r="S167" t="str">
            <v>..</v>
          </cell>
          <cell r="T167" t="str">
            <v>..</v>
          </cell>
          <cell r="U167" t="str">
            <v>..</v>
          </cell>
          <cell r="V167">
            <v>17.333300000000001</v>
          </cell>
          <cell r="W167">
            <v>0</v>
          </cell>
          <cell r="X167">
            <v>17.333300000000001</v>
          </cell>
          <cell r="Y167" t="str">
            <v>-</v>
          </cell>
          <cell r="Z167" t="str">
            <v>Parental leave is unpaid</v>
          </cell>
          <cell r="AA167" t="str">
            <v>-</v>
          </cell>
          <cell r="AB167" t="str">
            <v>-</v>
          </cell>
          <cell r="AC167" t="str">
            <v>-</v>
          </cell>
          <cell r="AD167" t="str">
            <v>-</v>
          </cell>
          <cell r="AE167" t="str">
            <v>-</v>
          </cell>
          <cell r="AF167" t="str">
            <v>-</v>
          </cell>
          <cell r="AG167" t="str">
            <v>-</v>
          </cell>
          <cell r="AH167" t="str">
            <v>-</v>
          </cell>
          <cell r="AI167" t="str">
            <v>-</v>
          </cell>
          <cell r="AJ167" t="str">
            <v>-</v>
          </cell>
          <cell r="AK167" t="str">
            <v>-</v>
          </cell>
          <cell r="AL167" t="str">
            <v>-</v>
          </cell>
          <cell r="AM167" t="str">
            <v>-</v>
          </cell>
          <cell r="AN167" t="str">
            <v>-</v>
          </cell>
          <cell r="AO167" t="str">
            <v>-</v>
          </cell>
          <cell r="AP167" t="str">
            <v>-</v>
          </cell>
          <cell r="AQ167" t="str">
            <v>-</v>
          </cell>
          <cell r="AR167" t="str">
            <v>-</v>
          </cell>
          <cell r="AS167" t="str">
            <v>-</v>
          </cell>
          <cell r="AT167" t="str">
            <v>-</v>
          </cell>
          <cell r="AU167" t="str">
            <v>-</v>
          </cell>
          <cell r="AV167" t="str">
            <v>-</v>
          </cell>
          <cell r="AW167" t="str">
            <v>-</v>
          </cell>
          <cell r="AX167" t="str">
            <v>-</v>
          </cell>
          <cell r="AY167" t="str">
            <v>-</v>
          </cell>
          <cell r="AZ167" t="str">
            <v>-</v>
          </cell>
          <cell r="BA167" t="str">
            <v>-</v>
          </cell>
          <cell r="BB167" t="str">
            <v>-</v>
          </cell>
          <cell r="BC167" t="str">
            <v>-</v>
          </cell>
          <cell r="BD167" t="str">
            <v>-</v>
          </cell>
          <cell r="BE167" t="str">
            <v>-</v>
          </cell>
          <cell r="BF167" t="str">
            <v>-</v>
          </cell>
          <cell r="BG167" t="str">
            <v>-</v>
          </cell>
          <cell r="BH167" t="str">
            <v>-</v>
          </cell>
          <cell r="BI167" t="str">
            <v>-</v>
          </cell>
          <cell r="BJ167" t="str">
            <v>-</v>
          </cell>
          <cell r="BK167" t="str">
            <v>-</v>
          </cell>
          <cell r="BL167" t="str">
            <v>-</v>
          </cell>
          <cell r="BM167">
            <v>0</v>
          </cell>
          <cell r="BN167">
            <v>0</v>
          </cell>
          <cell r="BO167" t="str">
            <v>-</v>
          </cell>
          <cell r="BP167" t="str">
            <v>-</v>
          </cell>
          <cell r="BQ167">
            <v>0</v>
          </cell>
          <cell r="BR167">
            <v>0</v>
          </cell>
          <cell r="BS167">
            <v>0</v>
          </cell>
          <cell r="BT167">
            <v>0</v>
          </cell>
        </row>
        <row r="168">
          <cell r="A168" t="str">
            <v>Greece2018100 / 100</v>
          </cell>
          <cell r="B168" t="str">
            <v>Greece</v>
          </cell>
          <cell r="C168">
            <v>2018</v>
          </cell>
          <cell r="D168" t="str">
            <v>100 / 100</v>
          </cell>
          <cell r="E168">
            <v>19924</v>
          </cell>
          <cell r="F168">
            <v>1660.3333333333333</v>
          </cell>
          <cell r="G168">
            <v>383.15679351379623</v>
          </cell>
          <cell r="H168">
            <v>76.631358702759243</v>
          </cell>
          <cell r="I168">
            <v>19924</v>
          </cell>
          <cell r="J168">
            <v>1660.3333333333333</v>
          </cell>
          <cell r="K168">
            <v>383.15679351379623</v>
          </cell>
          <cell r="L168">
            <v>76.631358702759243</v>
          </cell>
          <cell r="M168" t="str">
            <v>..</v>
          </cell>
          <cell r="N168" t="str">
            <v>..</v>
          </cell>
          <cell r="O168" t="str">
            <v>..</v>
          </cell>
          <cell r="P168" t="str">
            <v>..</v>
          </cell>
          <cell r="Q168" t="str">
            <v>..</v>
          </cell>
          <cell r="R168" t="str">
            <v>..</v>
          </cell>
          <cell r="S168" t="str">
            <v>..</v>
          </cell>
          <cell r="T168" t="str">
            <v>..</v>
          </cell>
          <cell r="U168" t="str">
            <v>..</v>
          </cell>
          <cell r="V168">
            <v>17.333300000000001</v>
          </cell>
          <cell r="W168">
            <v>0</v>
          </cell>
          <cell r="X168">
            <v>17.333300000000001</v>
          </cell>
          <cell r="Y168" t="str">
            <v>-</v>
          </cell>
          <cell r="Z168" t="str">
            <v>Parental leave is unpaid</v>
          </cell>
          <cell r="AA168" t="str">
            <v>-</v>
          </cell>
          <cell r="AB168" t="str">
            <v>-</v>
          </cell>
          <cell r="AC168" t="str">
            <v>-</v>
          </cell>
          <cell r="AD168" t="str">
            <v>-</v>
          </cell>
          <cell r="AE168" t="str">
            <v>-</v>
          </cell>
          <cell r="AF168" t="str">
            <v>-</v>
          </cell>
          <cell r="AG168" t="str">
            <v>-</v>
          </cell>
          <cell r="AH168" t="str">
            <v>-</v>
          </cell>
          <cell r="AI168" t="str">
            <v>-</v>
          </cell>
          <cell r="AJ168" t="str">
            <v>-</v>
          </cell>
          <cell r="AK168" t="str">
            <v>-</v>
          </cell>
          <cell r="AL168" t="str">
            <v>-</v>
          </cell>
          <cell r="AM168" t="str">
            <v>-</v>
          </cell>
          <cell r="AN168" t="str">
            <v>-</v>
          </cell>
          <cell r="AO168" t="str">
            <v>-</v>
          </cell>
          <cell r="AP168" t="str">
            <v>-</v>
          </cell>
          <cell r="AQ168" t="str">
            <v>-</v>
          </cell>
          <cell r="AR168" t="str">
            <v>-</v>
          </cell>
          <cell r="AS168" t="str">
            <v>-</v>
          </cell>
          <cell r="AT168" t="str">
            <v>-</v>
          </cell>
          <cell r="AU168" t="str">
            <v>-</v>
          </cell>
          <cell r="AV168" t="str">
            <v>-</v>
          </cell>
          <cell r="AW168" t="str">
            <v>-</v>
          </cell>
          <cell r="AX168" t="str">
            <v>-</v>
          </cell>
          <cell r="AY168" t="str">
            <v>-</v>
          </cell>
          <cell r="AZ168" t="str">
            <v>-</v>
          </cell>
          <cell r="BA168" t="str">
            <v>-</v>
          </cell>
          <cell r="BB168" t="str">
            <v>-</v>
          </cell>
          <cell r="BC168" t="str">
            <v>-</v>
          </cell>
          <cell r="BD168" t="str">
            <v>-</v>
          </cell>
          <cell r="BE168" t="str">
            <v>-</v>
          </cell>
          <cell r="BF168" t="str">
            <v>-</v>
          </cell>
          <cell r="BG168" t="str">
            <v>-</v>
          </cell>
          <cell r="BH168" t="str">
            <v>-</v>
          </cell>
          <cell r="BI168" t="str">
            <v>-</v>
          </cell>
          <cell r="BJ168" t="str">
            <v>-</v>
          </cell>
          <cell r="BK168" t="str">
            <v>-</v>
          </cell>
          <cell r="BL168" t="str">
            <v>-</v>
          </cell>
          <cell r="BM168">
            <v>0</v>
          </cell>
          <cell r="BN168">
            <v>0</v>
          </cell>
          <cell r="BO168" t="str">
            <v>-</v>
          </cell>
          <cell r="BP168" t="str">
            <v>-</v>
          </cell>
          <cell r="BQ168">
            <v>0</v>
          </cell>
          <cell r="BR168">
            <v>0</v>
          </cell>
          <cell r="BS168">
            <v>0</v>
          </cell>
          <cell r="BT168">
            <v>0</v>
          </cell>
        </row>
        <row r="169">
          <cell r="A169" t="str">
            <v>Greece2019100 / 100</v>
          </cell>
          <cell r="B169" t="str">
            <v>Greece</v>
          </cell>
          <cell r="C169">
            <v>2019</v>
          </cell>
          <cell r="D169" t="str">
            <v>100 / 100</v>
          </cell>
          <cell r="E169">
            <v>20243</v>
          </cell>
          <cell r="F169">
            <v>1686.9166666666667</v>
          </cell>
          <cell r="G169">
            <v>389.29145608812377</v>
          </cell>
          <cell r="H169">
            <v>77.858291217624753</v>
          </cell>
          <cell r="I169">
            <v>20243</v>
          </cell>
          <cell r="J169">
            <v>1686.9166666666667</v>
          </cell>
          <cell r="K169">
            <v>389.29145608812377</v>
          </cell>
          <cell r="L169">
            <v>77.858291217624753</v>
          </cell>
          <cell r="M169" t="str">
            <v>..</v>
          </cell>
          <cell r="N169" t="str">
            <v>..</v>
          </cell>
          <cell r="O169" t="str">
            <v>..</v>
          </cell>
          <cell r="P169" t="str">
            <v>..</v>
          </cell>
          <cell r="Q169" t="str">
            <v>..</v>
          </cell>
          <cell r="R169" t="str">
            <v>..</v>
          </cell>
          <cell r="S169" t="str">
            <v>..</v>
          </cell>
          <cell r="T169" t="str">
            <v>..</v>
          </cell>
          <cell r="U169" t="str">
            <v>..</v>
          </cell>
          <cell r="V169">
            <v>17.333300000000001</v>
          </cell>
          <cell r="W169">
            <v>0</v>
          </cell>
          <cell r="X169">
            <v>17.333300000000001</v>
          </cell>
          <cell r="Y169" t="str">
            <v>-</v>
          </cell>
          <cell r="Z169" t="str">
            <v>Parental leave is unpaid</v>
          </cell>
          <cell r="AA169" t="str">
            <v>-</v>
          </cell>
          <cell r="AB169" t="str">
            <v>-</v>
          </cell>
          <cell r="AC169" t="str">
            <v>-</v>
          </cell>
          <cell r="AD169" t="str">
            <v>-</v>
          </cell>
          <cell r="AE169" t="str">
            <v>-</v>
          </cell>
          <cell r="AF169" t="str">
            <v>-</v>
          </cell>
          <cell r="AG169" t="str">
            <v>-</v>
          </cell>
          <cell r="AH169" t="str">
            <v>-</v>
          </cell>
          <cell r="AI169" t="str">
            <v>-</v>
          </cell>
          <cell r="AJ169" t="str">
            <v>-</v>
          </cell>
          <cell r="AK169" t="str">
            <v>-</v>
          </cell>
          <cell r="AL169" t="str">
            <v>-</v>
          </cell>
          <cell r="AM169" t="str">
            <v>-</v>
          </cell>
          <cell r="AN169" t="str">
            <v>-</v>
          </cell>
          <cell r="AO169" t="str">
            <v>-</v>
          </cell>
          <cell r="AP169" t="str">
            <v>-</v>
          </cell>
          <cell r="AQ169" t="str">
            <v>-</v>
          </cell>
          <cell r="AR169" t="str">
            <v>-</v>
          </cell>
          <cell r="AS169" t="str">
            <v>-</v>
          </cell>
          <cell r="AT169" t="str">
            <v>-</v>
          </cell>
          <cell r="AU169" t="str">
            <v>-</v>
          </cell>
          <cell r="AV169" t="str">
            <v>-</v>
          </cell>
          <cell r="AW169" t="str">
            <v>-</v>
          </cell>
          <cell r="AX169" t="str">
            <v>-</v>
          </cell>
          <cell r="AY169" t="str">
            <v>-</v>
          </cell>
          <cell r="AZ169" t="str">
            <v>-</v>
          </cell>
          <cell r="BA169" t="str">
            <v>-</v>
          </cell>
          <cell r="BB169" t="str">
            <v>-</v>
          </cell>
          <cell r="BC169" t="str">
            <v>-</v>
          </cell>
          <cell r="BD169" t="str">
            <v>-</v>
          </cell>
          <cell r="BE169" t="str">
            <v>-</v>
          </cell>
          <cell r="BF169" t="str">
            <v>-</v>
          </cell>
          <cell r="BG169" t="str">
            <v>-</v>
          </cell>
          <cell r="BH169" t="str">
            <v>-</v>
          </cell>
          <cell r="BI169" t="str">
            <v>-</v>
          </cell>
          <cell r="BJ169" t="str">
            <v>-</v>
          </cell>
          <cell r="BK169" t="str">
            <v>-</v>
          </cell>
          <cell r="BL169" t="str">
            <v>-</v>
          </cell>
          <cell r="BM169">
            <v>0</v>
          </cell>
          <cell r="BN169">
            <v>0</v>
          </cell>
          <cell r="BO169" t="str">
            <v>-</v>
          </cell>
          <cell r="BP169" t="str">
            <v>-</v>
          </cell>
          <cell r="BQ169">
            <v>0</v>
          </cell>
          <cell r="BR169">
            <v>0</v>
          </cell>
          <cell r="BS169">
            <v>0</v>
          </cell>
          <cell r="BT169">
            <v>0</v>
          </cell>
        </row>
        <row r="170">
          <cell r="A170" t="str">
            <v>Greece2020100 / 100</v>
          </cell>
          <cell r="B170" t="str">
            <v>Greece</v>
          </cell>
          <cell r="C170">
            <v>2020</v>
          </cell>
          <cell r="D170" t="str">
            <v>100 / 100</v>
          </cell>
          <cell r="E170">
            <v>18834</v>
          </cell>
          <cell r="F170">
            <v>1569.5</v>
          </cell>
          <cell r="G170">
            <v>362.1950938084139</v>
          </cell>
          <cell r="H170">
            <v>72.439018761682775</v>
          </cell>
          <cell r="I170">
            <v>18834</v>
          </cell>
          <cell r="J170">
            <v>1569.5</v>
          </cell>
          <cell r="K170">
            <v>362.1950938084139</v>
          </cell>
          <cell r="L170">
            <v>72.439018761682775</v>
          </cell>
          <cell r="M170" t="str">
            <v>..</v>
          </cell>
          <cell r="N170" t="str">
            <v>..</v>
          </cell>
          <cell r="O170" t="str">
            <v>..</v>
          </cell>
          <cell r="P170" t="str">
            <v>..</v>
          </cell>
          <cell r="Q170" t="str">
            <v>..</v>
          </cell>
          <cell r="R170" t="str">
            <v>..</v>
          </cell>
          <cell r="S170" t="str">
            <v>..</v>
          </cell>
          <cell r="T170" t="str">
            <v>..</v>
          </cell>
          <cell r="U170" t="str">
            <v>..</v>
          </cell>
          <cell r="V170">
            <v>17.333300000000001</v>
          </cell>
          <cell r="W170">
            <v>0</v>
          </cell>
          <cell r="X170">
            <v>17.333300000000001</v>
          </cell>
          <cell r="Y170" t="str">
            <v>-</v>
          </cell>
          <cell r="Z170" t="str">
            <v>Parental leave is unpaid</v>
          </cell>
          <cell r="AA170" t="str">
            <v>-</v>
          </cell>
          <cell r="AB170" t="str">
            <v>-</v>
          </cell>
          <cell r="AC170" t="str">
            <v>-</v>
          </cell>
          <cell r="AD170" t="str">
            <v>-</v>
          </cell>
          <cell r="AE170" t="str">
            <v>-</v>
          </cell>
          <cell r="AF170" t="str">
            <v>-</v>
          </cell>
          <cell r="AG170" t="str">
            <v>-</v>
          </cell>
          <cell r="AH170" t="str">
            <v>-</v>
          </cell>
          <cell r="AI170" t="str">
            <v>-</v>
          </cell>
          <cell r="AJ170" t="str">
            <v>-</v>
          </cell>
          <cell r="AK170" t="str">
            <v>-</v>
          </cell>
          <cell r="AL170" t="str">
            <v>-</v>
          </cell>
          <cell r="AM170" t="str">
            <v>-</v>
          </cell>
          <cell r="AN170" t="str">
            <v>-</v>
          </cell>
          <cell r="AO170" t="str">
            <v>-</v>
          </cell>
          <cell r="AP170" t="str">
            <v>-</v>
          </cell>
          <cell r="AQ170" t="str">
            <v>-</v>
          </cell>
          <cell r="AR170" t="str">
            <v>-</v>
          </cell>
          <cell r="AS170" t="str">
            <v>-</v>
          </cell>
          <cell r="AT170" t="str">
            <v>-</v>
          </cell>
          <cell r="AU170" t="str">
            <v>-</v>
          </cell>
          <cell r="AV170" t="str">
            <v>-</v>
          </cell>
          <cell r="AW170" t="str">
            <v>-</v>
          </cell>
          <cell r="AX170" t="str">
            <v>-</v>
          </cell>
          <cell r="AY170" t="str">
            <v>-</v>
          </cell>
          <cell r="AZ170" t="str">
            <v>-</v>
          </cell>
          <cell r="BA170" t="str">
            <v>-</v>
          </cell>
          <cell r="BB170" t="str">
            <v>-</v>
          </cell>
          <cell r="BC170" t="str">
            <v>-</v>
          </cell>
          <cell r="BD170" t="str">
            <v>-</v>
          </cell>
          <cell r="BE170" t="str">
            <v>-</v>
          </cell>
          <cell r="BF170" t="str">
            <v>-</v>
          </cell>
          <cell r="BG170" t="str">
            <v>-</v>
          </cell>
          <cell r="BH170" t="str">
            <v>-</v>
          </cell>
          <cell r="BI170" t="str">
            <v>-</v>
          </cell>
          <cell r="BJ170" t="str">
            <v>-</v>
          </cell>
          <cell r="BK170" t="str">
            <v>-</v>
          </cell>
          <cell r="BL170" t="str">
            <v>-</v>
          </cell>
          <cell r="BM170">
            <v>0</v>
          </cell>
          <cell r="BN170">
            <v>0</v>
          </cell>
          <cell r="BO170" t="str">
            <v>-</v>
          </cell>
          <cell r="BP170" t="str">
            <v>-</v>
          </cell>
          <cell r="BQ170">
            <v>0</v>
          </cell>
          <cell r="BR170">
            <v>0</v>
          </cell>
          <cell r="BS170">
            <v>0</v>
          </cell>
          <cell r="BT170">
            <v>0</v>
          </cell>
        </row>
        <row r="171">
          <cell r="A171" t="str">
            <v>Greece2021100 / 100</v>
          </cell>
          <cell r="B171" t="str">
            <v>Greece</v>
          </cell>
          <cell r="C171">
            <v>2021</v>
          </cell>
          <cell r="D171" t="str">
            <v>100 / 100</v>
          </cell>
          <cell r="E171">
            <v>20302</v>
          </cell>
          <cell r="F171">
            <v>1691.8333333333333</v>
          </cell>
          <cell r="G171">
            <v>390.42608020061687</v>
          </cell>
          <cell r="H171">
            <v>78.08521604012337</v>
          </cell>
          <cell r="I171">
            <v>20302</v>
          </cell>
          <cell r="J171">
            <v>1691.8333333333333</v>
          </cell>
          <cell r="K171">
            <v>390.42608020061687</v>
          </cell>
          <cell r="L171">
            <v>78.08521604012337</v>
          </cell>
          <cell r="M171" t="str">
            <v>..</v>
          </cell>
          <cell r="N171" t="str">
            <v>..</v>
          </cell>
          <cell r="O171" t="str">
            <v>..</v>
          </cell>
          <cell r="P171" t="str">
            <v>..</v>
          </cell>
          <cell r="Q171" t="str">
            <v>..</v>
          </cell>
          <cell r="R171" t="str">
            <v>..</v>
          </cell>
          <cell r="S171" t="str">
            <v>..</v>
          </cell>
          <cell r="T171" t="str">
            <v>..</v>
          </cell>
          <cell r="U171" t="str">
            <v>..</v>
          </cell>
          <cell r="V171">
            <v>17.333300000000001</v>
          </cell>
          <cell r="W171">
            <v>0</v>
          </cell>
          <cell r="X171">
            <v>17.333300000000001</v>
          </cell>
          <cell r="Y171" t="str">
            <v>-</v>
          </cell>
          <cell r="Z171" t="str">
            <v>Parental leave is unpaid</v>
          </cell>
          <cell r="AA171" t="str">
            <v>-</v>
          </cell>
          <cell r="AB171" t="str">
            <v>-</v>
          </cell>
          <cell r="AC171" t="str">
            <v>-</v>
          </cell>
          <cell r="AD171" t="str">
            <v>-</v>
          </cell>
          <cell r="AE171" t="str">
            <v>-</v>
          </cell>
          <cell r="AF171" t="str">
            <v>-</v>
          </cell>
          <cell r="AG171" t="str">
            <v>-</v>
          </cell>
          <cell r="AH171" t="str">
            <v>-</v>
          </cell>
          <cell r="AI171" t="str">
            <v>-</v>
          </cell>
          <cell r="AJ171" t="str">
            <v>-</v>
          </cell>
          <cell r="AK171" t="str">
            <v>-</v>
          </cell>
          <cell r="AL171" t="str">
            <v>-</v>
          </cell>
          <cell r="AM171" t="str">
            <v>-</v>
          </cell>
          <cell r="AN171" t="str">
            <v>-</v>
          </cell>
          <cell r="AO171" t="str">
            <v>-</v>
          </cell>
          <cell r="AP171" t="str">
            <v>-</v>
          </cell>
          <cell r="AQ171" t="str">
            <v>-</v>
          </cell>
          <cell r="AR171" t="str">
            <v>-</v>
          </cell>
          <cell r="AS171" t="str">
            <v>-</v>
          </cell>
          <cell r="AT171" t="str">
            <v>-</v>
          </cell>
          <cell r="AU171" t="str">
            <v>-</v>
          </cell>
          <cell r="AV171" t="str">
            <v>-</v>
          </cell>
          <cell r="AW171" t="str">
            <v>-</v>
          </cell>
          <cell r="AX171" t="str">
            <v>-</v>
          </cell>
          <cell r="AY171" t="str">
            <v>-</v>
          </cell>
          <cell r="AZ171" t="str">
            <v>-</v>
          </cell>
          <cell r="BA171" t="str">
            <v>-</v>
          </cell>
          <cell r="BB171" t="str">
            <v>-</v>
          </cell>
          <cell r="BC171" t="str">
            <v>-</v>
          </cell>
          <cell r="BD171" t="str">
            <v>-</v>
          </cell>
          <cell r="BE171" t="str">
            <v>-</v>
          </cell>
          <cell r="BF171" t="str">
            <v>-</v>
          </cell>
          <cell r="BG171" t="str">
            <v>-</v>
          </cell>
          <cell r="BH171" t="str">
            <v>-</v>
          </cell>
          <cell r="BI171" t="str">
            <v>-</v>
          </cell>
          <cell r="BJ171" t="str">
            <v>-</v>
          </cell>
          <cell r="BK171" t="str">
            <v>-</v>
          </cell>
          <cell r="BL171" t="str">
            <v>-</v>
          </cell>
          <cell r="BM171">
            <v>0</v>
          </cell>
          <cell r="BN171">
            <v>0</v>
          </cell>
          <cell r="BO171" t="str">
            <v>-</v>
          </cell>
          <cell r="BP171" t="str">
            <v>-</v>
          </cell>
          <cell r="BQ171">
            <v>0</v>
          </cell>
          <cell r="BR171">
            <v>0</v>
          </cell>
          <cell r="BS171">
            <v>0</v>
          </cell>
          <cell r="BT171">
            <v>0</v>
          </cell>
        </row>
        <row r="172">
          <cell r="A172" t="str">
            <v>Greece2022100 / 100</v>
          </cell>
          <cell r="B172" t="str">
            <v>Greece</v>
          </cell>
          <cell r="C172">
            <v>2022</v>
          </cell>
          <cell r="D172" t="str">
            <v>100 / 100</v>
          </cell>
          <cell r="E172">
            <v>22170</v>
          </cell>
          <cell r="F172">
            <v>1847.5</v>
          </cell>
          <cell r="G172">
            <v>426.3494334571804</v>
          </cell>
          <cell r="H172">
            <v>85.269886691436085</v>
          </cell>
          <cell r="I172">
            <v>22170</v>
          </cell>
          <cell r="J172">
            <v>1847.5</v>
          </cell>
          <cell r="K172">
            <v>426.3494334571804</v>
          </cell>
          <cell r="L172">
            <v>85.269886691436085</v>
          </cell>
          <cell r="M172" t="str">
            <v>..</v>
          </cell>
          <cell r="N172" t="str">
            <v>..</v>
          </cell>
          <cell r="O172" t="str">
            <v>..</v>
          </cell>
          <cell r="P172" t="str">
            <v>..</v>
          </cell>
          <cell r="Q172" t="str">
            <v>..</v>
          </cell>
          <cell r="R172" t="str">
            <v>..</v>
          </cell>
          <cell r="S172" t="str">
            <v>..</v>
          </cell>
          <cell r="T172" t="str">
            <v>..</v>
          </cell>
          <cell r="U172" t="str">
            <v>..</v>
          </cell>
          <cell r="V172">
            <v>17.333300000000001</v>
          </cell>
          <cell r="W172">
            <v>8.6666659999999993</v>
          </cell>
          <cell r="X172">
            <v>8.6666340000000019</v>
          </cell>
          <cell r="Y172" t="str">
            <v>-</v>
          </cell>
          <cell r="Z172" t="str">
            <v xml:space="preserve">Individual entitlement. For employees with one or two children, the employer, for each child, pays the parental leave benefit for the first two months. In the case of three or more children, three months of the leave are fully paid. Flat rate of €663/child per month in 2022. </v>
          </cell>
          <cell r="AA172" t="str">
            <v>Gross</v>
          </cell>
          <cell r="AB172" t="str">
            <v>N</v>
          </cell>
          <cell r="AC172">
            <v>8.6666659999999993</v>
          </cell>
          <cell r="AD172" t="str">
            <v>-</v>
          </cell>
          <cell r="AE172" t="str">
            <v>-</v>
          </cell>
          <cell r="AF172" t="str">
            <v>-</v>
          </cell>
          <cell r="AG172" t="str">
            <v>-</v>
          </cell>
          <cell r="AH172" t="str">
            <v>-</v>
          </cell>
          <cell r="AI172">
            <v>663</v>
          </cell>
          <cell r="AJ172" t="str">
            <v>month</v>
          </cell>
          <cell r="AK172" t="str">
            <v>-</v>
          </cell>
          <cell r="AL172" t="str">
            <v>-</v>
          </cell>
          <cell r="AM172" t="str">
            <v>-</v>
          </cell>
          <cell r="AN172" t="str">
            <v>-</v>
          </cell>
          <cell r="AO172" t="str">
            <v>-</v>
          </cell>
          <cell r="AP172" t="str">
            <v>-</v>
          </cell>
          <cell r="AQ172" t="str">
            <v>-</v>
          </cell>
          <cell r="AR172" t="str">
            <v>-</v>
          </cell>
          <cell r="AS172" t="str">
            <v>-</v>
          </cell>
          <cell r="AT172" t="str">
            <v>-</v>
          </cell>
          <cell r="AU172" t="str">
            <v>-</v>
          </cell>
          <cell r="AV172" t="str">
            <v>-</v>
          </cell>
          <cell r="AW172" t="str">
            <v>-</v>
          </cell>
          <cell r="AX172" t="str">
            <v>-</v>
          </cell>
          <cell r="AY172" t="str">
            <v>-</v>
          </cell>
          <cell r="AZ172" t="str">
            <v>-</v>
          </cell>
          <cell r="BA172" t="str">
            <v>-</v>
          </cell>
          <cell r="BB172" t="str">
            <v>-</v>
          </cell>
          <cell r="BC172" t="str">
            <v>-</v>
          </cell>
          <cell r="BD172" t="str">
            <v>-</v>
          </cell>
          <cell r="BE172" t="str">
            <v>-</v>
          </cell>
          <cell r="BF172" t="str">
            <v>-</v>
          </cell>
          <cell r="BG172" t="str">
            <v>-</v>
          </cell>
          <cell r="BH172" t="str">
            <v>-</v>
          </cell>
          <cell r="BI172" t="str">
            <v>-</v>
          </cell>
          <cell r="BJ172" t="str">
            <v>-</v>
          </cell>
          <cell r="BK172" t="str">
            <v>-</v>
          </cell>
          <cell r="BL172" t="str">
            <v>-</v>
          </cell>
          <cell r="BM172">
            <v>0.35886332882273342</v>
          </cell>
          <cell r="BN172">
            <v>0.17943199567046109</v>
          </cell>
          <cell r="BO172" t="str">
            <v>-</v>
          </cell>
          <cell r="BP172" t="str">
            <v>-</v>
          </cell>
          <cell r="BQ172">
            <v>7956</v>
          </cell>
          <cell r="BR172">
            <v>663</v>
          </cell>
          <cell r="BS172">
            <v>153.00117693213022</v>
          </cell>
          <cell r="BT172">
            <v>30.600235386426046</v>
          </cell>
        </row>
        <row r="173">
          <cell r="A173" t="str">
            <v>Greece2023100 / 100</v>
          </cell>
          <cell r="B173" t="str">
            <v>Greece</v>
          </cell>
          <cell r="C173">
            <v>2023</v>
          </cell>
          <cell r="D173" t="str">
            <v>100 / 100</v>
          </cell>
          <cell r="E173">
            <v>23155.937999999998</v>
          </cell>
          <cell r="F173">
            <v>1929.6614999999999</v>
          </cell>
          <cell r="G173">
            <v>445.30992546096502</v>
          </cell>
          <cell r="H173">
            <v>89.061985092192998</v>
          </cell>
          <cell r="I173">
            <v>23155.937999999998</v>
          </cell>
          <cell r="J173">
            <v>1929.6614999999999</v>
          </cell>
          <cell r="K173">
            <v>445.30992546096502</v>
          </cell>
          <cell r="L173">
            <v>89.061985092192998</v>
          </cell>
          <cell r="M173" t="str">
            <v>..</v>
          </cell>
          <cell r="N173" t="str">
            <v>..</v>
          </cell>
          <cell r="O173" t="str">
            <v>..</v>
          </cell>
          <cell r="P173" t="str">
            <v>..</v>
          </cell>
          <cell r="Q173" t="str">
            <v>..</v>
          </cell>
          <cell r="R173" t="str">
            <v>..</v>
          </cell>
          <cell r="S173" t="str">
            <v>..</v>
          </cell>
          <cell r="T173" t="str">
            <v>..</v>
          </cell>
          <cell r="U173" t="str">
            <v>..</v>
          </cell>
          <cell r="V173">
            <v>17.333300000000001</v>
          </cell>
          <cell r="W173">
            <v>8.6666659999999993</v>
          </cell>
          <cell r="X173">
            <v>8.6666340000000019</v>
          </cell>
          <cell r="Y173" t="str">
            <v>-</v>
          </cell>
          <cell r="Z173" t="str">
            <v xml:space="preserve">Individual entitlement. For employees with one or two children, the employer, for each child, pays the parental leave benefit for the first two months. In the case of three or more children, three months of the leave are fully paid. Flat rate of €780/child per month in 2023. </v>
          </cell>
          <cell r="AA173" t="str">
            <v>Gross</v>
          </cell>
          <cell r="AB173" t="str">
            <v>N</v>
          </cell>
          <cell r="AC173">
            <v>8.6666659999999993</v>
          </cell>
          <cell r="AD173" t="str">
            <v>-</v>
          </cell>
          <cell r="AE173" t="str">
            <v>-</v>
          </cell>
          <cell r="AF173" t="str">
            <v>-</v>
          </cell>
          <cell r="AG173" t="str">
            <v>-</v>
          </cell>
          <cell r="AH173" t="str">
            <v>-</v>
          </cell>
          <cell r="AI173">
            <v>780</v>
          </cell>
          <cell r="AJ173" t="str">
            <v>month</v>
          </cell>
          <cell r="AK173" t="str">
            <v>-</v>
          </cell>
          <cell r="AL173" t="str">
            <v>-</v>
          </cell>
          <cell r="AM173" t="str">
            <v>-</v>
          </cell>
          <cell r="AN173" t="str">
            <v>-</v>
          </cell>
          <cell r="AO173" t="str">
            <v>-</v>
          </cell>
          <cell r="AP173" t="str">
            <v>-</v>
          </cell>
          <cell r="AQ173" t="str">
            <v>-</v>
          </cell>
          <cell r="AR173" t="str">
            <v>-</v>
          </cell>
          <cell r="AS173" t="str">
            <v>-</v>
          </cell>
          <cell r="AT173" t="str">
            <v>-</v>
          </cell>
          <cell r="AU173" t="str">
            <v>-</v>
          </cell>
          <cell r="AV173" t="str">
            <v>-</v>
          </cell>
          <cell r="AW173" t="str">
            <v>-</v>
          </cell>
          <cell r="AX173" t="str">
            <v>-</v>
          </cell>
          <cell r="AY173" t="str">
            <v>-</v>
          </cell>
          <cell r="AZ173" t="str">
            <v>-</v>
          </cell>
          <cell r="BA173" t="str">
            <v>-</v>
          </cell>
          <cell r="BB173" t="str">
            <v>-</v>
          </cell>
          <cell r="BC173" t="str">
            <v>-</v>
          </cell>
          <cell r="BD173" t="str">
            <v>-</v>
          </cell>
          <cell r="BE173" t="str">
            <v>-</v>
          </cell>
          <cell r="BF173" t="str">
            <v>-</v>
          </cell>
          <cell r="BG173" t="str">
            <v>-</v>
          </cell>
          <cell r="BH173" t="str">
            <v>-</v>
          </cell>
          <cell r="BI173" t="str">
            <v>-</v>
          </cell>
          <cell r="BJ173" t="str">
            <v>-</v>
          </cell>
          <cell r="BK173" t="str">
            <v>-</v>
          </cell>
          <cell r="BL173" t="str">
            <v>-</v>
          </cell>
          <cell r="BM173">
            <v>0.40421597259415709</v>
          </cell>
          <cell r="BN173">
            <v>0.20210835942023231</v>
          </cell>
          <cell r="BO173" t="str">
            <v>-</v>
          </cell>
          <cell r="BP173" t="str">
            <v>-</v>
          </cell>
          <cell r="BQ173">
            <v>9360</v>
          </cell>
          <cell r="BR173">
            <v>780</v>
          </cell>
          <cell r="BS173">
            <v>180.00138462603556</v>
          </cell>
          <cell r="BT173">
            <v>36.00027692520711</v>
          </cell>
        </row>
        <row r="174">
          <cell r="A174" t="str">
            <v>Greece2024100 / 100</v>
          </cell>
          <cell r="B174" t="str">
            <v>Greece</v>
          </cell>
          <cell r="C174">
            <v>2024</v>
          </cell>
          <cell r="D174" t="str">
            <v>100 / 100</v>
          </cell>
          <cell r="E174">
            <v>25197.82</v>
          </cell>
          <cell r="F174">
            <v>2099.8183333333332</v>
          </cell>
          <cell r="G174">
            <v>484.57718905530032</v>
          </cell>
          <cell r="H174">
            <v>96.915437811060059</v>
          </cell>
          <cell r="I174">
            <v>25197.82</v>
          </cell>
          <cell r="J174">
            <v>2099.8183333333332</v>
          </cell>
          <cell r="K174">
            <v>484.57718905530032</v>
          </cell>
          <cell r="L174">
            <v>96.915437811060059</v>
          </cell>
          <cell r="M174" t="str">
            <v>..</v>
          </cell>
          <cell r="N174" t="str">
            <v>..</v>
          </cell>
          <cell r="O174" t="str">
            <v>..</v>
          </cell>
          <cell r="P174" t="str">
            <v>..</v>
          </cell>
          <cell r="Q174" t="str">
            <v>..</v>
          </cell>
          <cell r="R174" t="str">
            <v>..</v>
          </cell>
          <cell r="S174" t="str">
            <v>..</v>
          </cell>
          <cell r="T174" t="str">
            <v>..</v>
          </cell>
          <cell r="U174" t="str">
            <v>..</v>
          </cell>
          <cell r="V174">
            <v>17.333300000000001</v>
          </cell>
          <cell r="W174">
            <v>8.6666659999999993</v>
          </cell>
          <cell r="X174">
            <v>8.6666340000000019</v>
          </cell>
          <cell r="Y174" t="str">
            <v>-</v>
          </cell>
          <cell r="Z174" t="str">
            <v xml:space="preserve">Individual entitlement. For employees with one or two children, the employer, for each child, pays the parental leave benefit for the first two months. In the case of three or more children, three months of the leave are fully paid. Flat rate of €830/child per month in 2024. </v>
          </cell>
          <cell r="AA174" t="str">
            <v>Gross</v>
          </cell>
          <cell r="AB174" t="str">
            <v>N</v>
          </cell>
          <cell r="AC174">
            <v>8.6666659999999993</v>
          </cell>
          <cell r="AD174" t="str">
            <v>-</v>
          </cell>
          <cell r="AE174" t="str">
            <v>-</v>
          </cell>
          <cell r="AF174" t="str">
            <v>-</v>
          </cell>
          <cell r="AG174" t="str">
            <v>-</v>
          </cell>
          <cell r="AH174" t="str">
            <v>-</v>
          </cell>
          <cell r="AI174">
            <v>830</v>
          </cell>
          <cell r="AJ174" t="str">
            <v>month</v>
          </cell>
          <cell r="AK174" t="str">
            <v>-</v>
          </cell>
          <cell r="AL174" t="str">
            <v>-</v>
          </cell>
          <cell r="AM174" t="str">
            <v>-</v>
          </cell>
          <cell r="AN174" t="str">
            <v>-</v>
          </cell>
          <cell r="AO174" t="str">
            <v>-</v>
          </cell>
          <cell r="AP174" t="str">
            <v>-</v>
          </cell>
          <cell r="AQ174" t="str">
            <v>-</v>
          </cell>
          <cell r="AR174" t="str">
            <v>-</v>
          </cell>
          <cell r="AS174" t="str">
            <v>-</v>
          </cell>
          <cell r="AT174" t="str">
            <v>-</v>
          </cell>
          <cell r="AU174" t="str">
            <v>-</v>
          </cell>
          <cell r="AV174" t="str">
            <v>-</v>
          </cell>
          <cell r="AW174" t="str">
            <v>-</v>
          </cell>
          <cell r="AX174" t="str">
            <v>-</v>
          </cell>
          <cell r="AY174" t="str">
            <v>-</v>
          </cell>
          <cell r="AZ174" t="str">
            <v>-</v>
          </cell>
          <cell r="BA174" t="str">
            <v>-</v>
          </cell>
          <cell r="BB174" t="str">
            <v>-</v>
          </cell>
          <cell r="BC174" t="str">
            <v>-</v>
          </cell>
          <cell r="BD174" t="str">
            <v>-</v>
          </cell>
          <cell r="BE174" t="str">
            <v>-</v>
          </cell>
          <cell r="BF174" t="str">
            <v>-</v>
          </cell>
          <cell r="BG174" t="str">
            <v>-</v>
          </cell>
          <cell r="BH174" t="str">
            <v>-</v>
          </cell>
          <cell r="BI174" t="str">
            <v>-</v>
          </cell>
          <cell r="BJ174" t="str">
            <v>-</v>
          </cell>
          <cell r="BK174" t="str">
            <v>-</v>
          </cell>
          <cell r="BL174" t="str">
            <v>-</v>
          </cell>
          <cell r="BM174">
            <v>0.39527228942821246</v>
          </cell>
          <cell r="BN174">
            <v>0.19763650958153656</v>
          </cell>
          <cell r="BO174" t="str">
            <v>-</v>
          </cell>
          <cell r="BP174" t="str">
            <v>-</v>
          </cell>
          <cell r="BQ174">
            <v>9960</v>
          </cell>
          <cell r="BR174">
            <v>830</v>
          </cell>
          <cell r="BS174">
            <v>191.53993492257629</v>
          </cell>
          <cell r="BT174">
            <v>38.30798698451526</v>
          </cell>
        </row>
        <row r="175">
          <cell r="A175" t="str">
            <v>Greece2025100 / 100</v>
          </cell>
          <cell r="B175" t="str">
            <v>Greece</v>
          </cell>
          <cell r="C175">
            <v>2025</v>
          </cell>
          <cell r="D175" t="str">
            <v>100 / 100</v>
          </cell>
          <cell r="E175">
            <v>25197.82</v>
          </cell>
          <cell r="F175">
            <v>2099.8183333333332</v>
          </cell>
          <cell r="G175">
            <v>484.57718905530032</v>
          </cell>
          <cell r="H175">
            <v>96.915437811060059</v>
          </cell>
          <cell r="I175">
            <v>25197.82</v>
          </cell>
          <cell r="J175">
            <v>2099.8183333333332</v>
          </cell>
          <cell r="K175">
            <v>484.57718905530032</v>
          </cell>
          <cell r="L175">
            <v>96.915437811060059</v>
          </cell>
          <cell r="M175" t="str">
            <v>..</v>
          </cell>
          <cell r="N175" t="str">
            <v>..</v>
          </cell>
          <cell r="O175" t="str">
            <v>..</v>
          </cell>
          <cell r="P175" t="str">
            <v>..</v>
          </cell>
          <cell r="Q175" t="str">
            <v>..</v>
          </cell>
          <cell r="R175" t="str">
            <v>..</v>
          </cell>
          <cell r="S175" t="str">
            <v>..</v>
          </cell>
          <cell r="T175" t="str">
            <v>..</v>
          </cell>
          <cell r="U175" t="str">
            <v>..</v>
          </cell>
          <cell r="V175">
            <v>17.333300000000001</v>
          </cell>
          <cell r="W175">
            <v>8.6666659999999993</v>
          </cell>
          <cell r="X175">
            <v>8.6666340000000019</v>
          </cell>
          <cell r="Y175" t="str">
            <v>-</v>
          </cell>
          <cell r="Z175" t="str">
            <v xml:space="preserve">Individual entitlement. For employees with one or two children, the employer, for each child, pays the parental leave benefit for the first two months. In the case of three or more children, three months of the leave are fully paid. Flat rate of €880/child per month in 2025 April  (minimum wage). </v>
          </cell>
          <cell r="AA175" t="str">
            <v>Gross</v>
          </cell>
          <cell r="AB175" t="str">
            <v>N</v>
          </cell>
          <cell r="AC175">
            <v>8.6666659999999993</v>
          </cell>
          <cell r="AD175" t="str">
            <v>-</v>
          </cell>
          <cell r="AE175" t="str">
            <v>-</v>
          </cell>
          <cell r="AF175" t="str">
            <v>-</v>
          </cell>
          <cell r="AG175" t="str">
            <v>-</v>
          </cell>
          <cell r="AH175" t="str">
            <v>-</v>
          </cell>
          <cell r="AI175">
            <v>880</v>
          </cell>
          <cell r="AJ175" t="str">
            <v>month</v>
          </cell>
          <cell r="AK175" t="str">
            <v>-</v>
          </cell>
          <cell r="AL175" t="str">
            <v>-</v>
          </cell>
          <cell r="AM175" t="str">
            <v>-</v>
          </cell>
          <cell r="AN175" t="str">
            <v>-</v>
          </cell>
          <cell r="AO175" t="str">
            <v>-</v>
          </cell>
          <cell r="AP175" t="str">
            <v>-</v>
          </cell>
          <cell r="AQ175" t="str">
            <v>-</v>
          </cell>
          <cell r="AR175" t="str">
            <v>-</v>
          </cell>
          <cell r="AS175" t="str">
            <v>-</v>
          </cell>
          <cell r="AT175" t="str">
            <v>-</v>
          </cell>
          <cell r="AU175" t="str">
            <v>-</v>
          </cell>
          <cell r="AV175" t="str">
            <v>-</v>
          </cell>
          <cell r="AW175" t="str">
            <v>-</v>
          </cell>
          <cell r="AX175" t="str">
            <v>-</v>
          </cell>
          <cell r="AY175" t="str">
            <v>-</v>
          </cell>
          <cell r="AZ175" t="str">
            <v>-</v>
          </cell>
          <cell r="BA175" t="str">
            <v>-</v>
          </cell>
          <cell r="BB175" t="str">
            <v>-</v>
          </cell>
          <cell r="BC175" t="str">
            <v>-</v>
          </cell>
          <cell r="BD175" t="str">
            <v>-</v>
          </cell>
          <cell r="BE175" t="str">
            <v>-</v>
          </cell>
          <cell r="BF175" t="str">
            <v>-</v>
          </cell>
          <cell r="BG175" t="str">
            <v>-</v>
          </cell>
          <cell r="BH175" t="str">
            <v>-</v>
          </cell>
          <cell r="BI175" t="str">
            <v>-</v>
          </cell>
          <cell r="BJ175" t="str">
            <v>-</v>
          </cell>
          <cell r="BK175" t="str">
            <v>-</v>
          </cell>
          <cell r="BL175" t="str">
            <v>-</v>
          </cell>
          <cell r="BM175">
            <v>0.41908387312870721</v>
          </cell>
          <cell r="BN175">
            <v>0.20954232341174964</v>
          </cell>
          <cell r="BO175" t="str">
            <v>-</v>
          </cell>
          <cell r="BP175" t="str">
            <v>-</v>
          </cell>
          <cell r="BQ175">
            <v>10560.000000000002</v>
          </cell>
          <cell r="BR175">
            <v>880</v>
          </cell>
          <cell r="BS175">
            <v>203.07848521911706</v>
          </cell>
          <cell r="BT175">
            <v>40.61569704382341</v>
          </cell>
        </row>
        <row r="176">
          <cell r="A176" t="str">
            <v>Hungary2014100 / 100</v>
          </cell>
          <cell r="B176" t="str">
            <v>Hungary</v>
          </cell>
          <cell r="C176">
            <v>2014</v>
          </cell>
          <cell r="D176" t="str">
            <v>100 / 100</v>
          </cell>
          <cell r="E176">
            <v>3053364</v>
          </cell>
          <cell r="F176">
            <v>254447</v>
          </cell>
          <cell r="G176">
            <v>58718.990146078038</v>
          </cell>
          <cell r="H176">
            <v>11743.798029215608</v>
          </cell>
          <cell r="I176">
            <v>3053364</v>
          </cell>
          <cell r="J176">
            <v>254447</v>
          </cell>
          <cell r="K176">
            <v>58718.990146078038</v>
          </cell>
          <cell r="L176">
            <v>11743.798029215608</v>
          </cell>
          <cell r="M176" t="str">
            <v>..</v>
          </cell>
          <cell r="N176" t="str">
            <v>..</v>
          </cell>
          <cell r="O176" t="str">
            <v>..</v>
          </cell>
          <cell r="P176" t="str">
            <v>..</v>
          </cell>
          <cell r="Q176" t="str">
            <v>..</v>
          </cell>
          <cell r="R176" t="str">
            <v>..</v>
          </cell>
          <cell r="S176" t="str">
            <v>..</v>
          </cell>
          <cell r="T176" t="str">
            <v>..</v>
          </cell>
          <cell r="U176" t="str">
            <v>..</v>
          </cell>
          <cell r="V176">
            <v>0</v>
          </cell>
          <cell r="W176">
            <v>0</v>
          </cell>
          <cell r="X176">
            <v>0</v>
          </cell>
          <cell r="Y176" t="str">
            <v>-</v>
          </cell>
          <cell r="Z176" t="str">
            <v>No statutory entitlement</v>
          </cell>
          <cell r="AA176" t="str">
            <v>-</v>
          </cell>
          <cell r="AB176" t="str">
            <v>-</v>
          </cell>
          <cell r="AC176" t="str">
            <v>-</v>
          </cell>
          <cell r="AD176" t="str">
            <v>-</v>
          </cell>
          <cell r="AE176" t="str">
            <v>-</v>
          </cell>
          <cell r="AF176" t="str">
            <v>-</v>
          </cell>
          <cell r="AG176" t="str">
            <v>-</v>
          </cell>
          <cell r="AH176" t="str">
            <v>-</v>
          </cell>
          <cell r="AI176" t="str">
            <v>-</v>
          </cell>
          <cell r="AJ176" t="str">
            <v>-</v>
          </cell>
          <cell r="AK176" t="str">
            <v>-</v>
          </cell>
          <cell r="AL176" t="str">
            <v>-</v>
          </cell>
          <cell r="AM176" t="str">
            <v>-</v>
          </cell>
          <cell r="AN176" t="str">
            <v>-</v>
          </cell>
          <cell r="AO176" t="str">
            <v>-</v>
          </cell>
          <cell r="AP176" t="str">
            <v>-</v>
          </cell>
          <cell r="AQ176" t="str">
            <v>-</v>
          </cell>
          <cell r="AR176" t="str">
            <v>-</v>
          </cell>
          <cell r="AS176" t="str">
            <v>-</v>
          </cell>
          <cell r="AT176" t="str">
            <v>-</v>
          </cell>
          <cell r="AU176" t="str">
            <v>-</v>
          </cell>
          <cell r="AV176" t="str">
            <v>-</v>
          </cell>
          <cell r="AW176" t="str">
            <v>-</v>
          </cell>
          <cell r="AX176" t="str">
            <v>-</v>
          </cell>
          <cell r="AY176" t="str">
            <v>-</v>
          </cell>
          <cell r="AZ176" t="str">
            <v>-</v>
          </cell>
          <cell r="BA176" t="str">
            <v>-</v>
          </cell>
          <cell r="BB176" t="str">
            <v>-</v>
          </cell>
          <cell r="BC176" t="str">
            <v>-</v>
          </cell>
          <cell r="BD176" t="str">
            <v>-</v>
          </cell>
          <cell r="BE176" t="str">
            <v>-</v>
          </cell>
          <cell r="BF176" t="str">
            <v>-</v>
          </cell>
          <cell r="BG176" t="str">
            <v>-</v>
          </cell>
          <cell r="BH176" t="str">
            <v>-</v>
          </cell>
          <cell r="BI176" t="str">
            <v>-</v>
          </cell>
          <cell r="BJ176" t="str">
            <v>-</v>
          </cell>
          <cell r="BK176" t="str">
            <v>-</v>
          </cell>
          <cell r="BL176" t="str">
            <v>-</v>
          </cell>
          <cell r="BM176">
            <v>0</v>
          </cell>
          <cell r="BN176">
            <v>0</v>
          </cell>
          <cell r="BO176" t="str">
            <v>-</v>
          </cell>
          <cell r="BP176" t="str">
            <v>-</v>
          </cell>
          <cell r="BQ176">
            <v>0</v>
          </cell>
          <cell r="BR176">
            <v>0</v>
          </cell>
          <cell r="BS176">
            <v>0</v>
          </cell>
          <cell r="BT176">
            <v>0</v>
          </cell>
        </row>
        <row r="177">
          <cell r="A177" t="str">
            <v>Hungary2015100 / 100</v>
          </cell>
          <cell r="B177" t="str">
            <v>Hungary</v>
          </cell>
          <cell r="C177">
            <v>2015</v>
          </cell>
          <cell r="D177" t="str">
            <v>100 / 100</v>
          </cell>
          <cell r="E177">
            <v>3172680</v>
          </cell>
          <cell r="F177">
            <v>264390</v>
          </cell>
          <cell r="G177">
            <v>61013.546258048133</v>
          </cell>
          <cell r="H177">
            <v>12202.709251609627</v>
          </cell>
          <cell r="I177">
            <v>3172680</v>
          </cell>
          <cell r="J177">
            <v>264390</v>
          </cell>
          <cell r="K177">
            <v>61013.546258048133</v>
          </cell>
          <cell r="L177">
            <v>12202.709251609627</v>
          </cell>
          <cell r="M177" t="str">
            <v>..</v>
          </cell>
          <cell r="N177" t="str">
            <v>..</v>
          </cell>
          <cell r="O177" t="str">
            <v>..</v>
          </cell>
          <cell r="P177" t="str">
            <v>..</v>
          </cell>
          <cell r="Q177" t="str">
            <v>..</v>
          </cell>
          <cell r="R177" t="str">
            <v>..</v>
          </cell>
          <cell r="S177" t="str">
            <v>..</v>
          </cell>
          <cell r="T177" t="str">
            <v>..</v>
          </cell>
          <cell r="U177" t="str">
            <v>..</v>
          </cell>
          <cell r="V177">
            <v>0</v>
          </cell>
          <cell r="W177">
            <v>0</v>
          </cell>
          <cell r="X177">
            <v>0</v>
          </cell>
          <cell r="Y177" t="str">
            <v>-</v>
          </cell>
          <cell r="Z177" t="str">
            <v>No statutory entitlement</v>
          </cell>
          <cell r="AA177" t="str">
            <v>-</v>
          </cell>
          <cell r="AB177" t="str">
            <v>-</v>
          </cell>
          <cell r="AC177" t="str">
            <v>-</v>
          </cell>
          <cell r="AD177" t="str">
            <v>-</v>
          </cell>
          <cell r="AE177" t="str">
            <v>-</v>
          </cell>
          <cell r="AF177" t="str">
            <v>-</v>
          </cell>
          <cell r="AG177" t="str">
            <v>-</v>
          </cell>
          <cell r="AH177" t="str">
            <v>-</v>
          </cell>
          <cell r="AI177" t="str">
            <v>-</v>
          </cell>
          <cell r="AJ177" t="str">
            <v>-</v>
          </cell>
          <cell r="AK177" t="str">
            <v>-</v>
          </cell>
          <cell r="AL177" t="str">
            <v>-</v>
          </cell>
          <cell r="AM177" t="str">
            <v>-</v>
          </cell>
          <cell r="AN177" t="str">
            <v>-</v>
          </cell>
          <cell r="AO177" t="str">
            <v>-</v>
          </cell>
          <cell r="AP177" t="str">
            <v>-</v>
          </cell>
          <cell r="AQ177" t="str">
            <v>-</v>
          </cell>
          <cell r="AR177" t="str">
            <v>-</v>
          </cell>
          <cell r="AS177" t="str">
            <v>-</v>
          </cell>
          <cell r="AT177" t="str">
            <v>-</v>
          </cell>
          <cell r="AU177" t="str">
            <v>-</v>
          </cell>
          <cell r="AV177" t="str">
            <v>-</v>
          </cell>
          <cell r="AW177" t="str">
            <v>-</v>
          </cell>
          <cell r="AX177" t="str">
            <v>-</v>
          </cell>
          <cell r="AY177" t="str">
            <v>-</v>
          </cell>
          <cell r="AZ177" t="str">
            <v>-</v>
          </cell>
          <cell r="BA177" t="str">
            <v>-</v>
          </cell>
          <cell r="BB177" t="str">
            <v>-</v>
          </cell>
          <cell r="BC177" t="str">
            <v>-</v>
          </cell>
          <cell r="BD177" t="str">
            <v>-</v>
          </cell>
          <cell r="BE177" t="str">
            <v>-</v>
          </cell>
          <cell r="BF177" t="str">
            <v>-</v>
          </cell>
          <cell r="BG177" t="str">
            <v>-</v>
          </cell>
          <cell r="BH177" t="str">
            <v>-</v>
          </cell>
          <cell r="BI177" t="str">
            <v>-</v>
          </cell>
          <cell r="BJ177" t="str">
            <v>-</v>
          </cell>
          <cell r="BK177" t="str">
            <v>-</v>
          </cell>
          <cell r="BL177" t="str">
            <v>-</v>
          </cell>
          <cell r="BM177">
            <v>0</v>
          </cell>
          <cell r="BN177">
            <v>0</v>
          </cell>
          <cell r="BO177" t="str">
            <v>-</v>
          </cell>
          <cell r="BP177" t="str">
            <v>-</v>
          </cell>
          <cell r="BQ177">
            <v>0</v>
          </cell>
          <cell r="BR177">
            <v>0</v>
          </cell>
          <cell r="BS177">
            <v>0</v>
          </cell>
          <cell r="BT177">
            <v>0</v>
          </cell>
        </row>
        <row r="178">
          <cell r="A178" t="str">
            <v>Hungary2016100 / 100</v>
          </cell>
          <cell r="B178" t="str">
            <v>Hungary</v>
          </cell>
          <cell r="C178">
            <v>2016</v>
          </cell>
          <cell r="D178" t="str">
            <v>100 / 100</v>
          </cell>
          <cell r="E178">
            <v>3343284</v>
          </cell>
          <cell r="F178">
            <v>278607</v>
          </cell>
          <cell r="G178">
            <v>64294.417649366529</v>
          </cell>
          <cell r="H178">
            <v>12858.883529873307</v>
          </cell>
          <cell r="I178">
            <v>3343284</v>
          </cell>
          <cell r="J178">
            <v>278607</v>
          </cell>
          <cell r="K178">
            <v>64294.417649366529</v>
          </cell>
          <cell r="L178">
            <v>12858.883529873307</v>
          </cell>
          <cell r="M178" t="str">
            <v>..</v>
          </cell>
          <cell r="N178" t="str">
            <v>..</v>
          </cell>
          <cell r="O178" t="str">
            <v>..</v>
          </cell>
          <cell r="P178" t="str">
            <v>..</v>
          </cell>
          <cell r="Q178" t="str">
            <v>..</v>
          </cell>
          <cell r="R178" t="str">
            <v>..</v>
          </cell>
          <cell r="S178" t="str">
            <v>..</v>
          </cell>
          <cell r="T178" t="str">
            <v>..</v>
          </cell>
          <cell r="U178" t="str">
            <v>..</v>
          </cell>
          <cell r="V178">
            <v>0</v>
          </cell>
          <cell r="W178">
            <v>0</v>
          </cell>
          <cell r="X178">
            <v>0</v>
          </cell>
          <cell r="Y178" t="str">
            <v>-</v>
          </cell>
          <cell r="Z178" t="str">
            <v>No statutory entitlement</v>
          </cell>
          <cell r="AA178" t="str">
            <v>-</v>
          </cell>
          <cell r="AB178" t="str">
            <v>-</v>
          </cell>
          <cell r="AC178" t="str">
            <v>-</v>
          </cell>
          <cell r="AD178" t="str">
            <v>-</v>
          </cell>
          <cell r="AE178" t="str">
            <v>-</v>
          </cell>
          <cell r="AF178" t="str">
            <v>-</v>
          </cell>
          <cell r="AG178" t="str">
            <v>-</v>
          </cell>
          <cell r="AH178" t="str">
            <v>-</v>
          </cell>
          <cell r="AI178" t="str">
            <v>-</v>
          </cell>
          <cell r="AJ178" t="str">
            <v>-</v>
          </cell>
          <cell r="AK178" t="str">
            <v>-</v>
          </cell>
          <cell r="AL178" t="str">
            <v>-</v>
          </cell>
          <cell r="AM178" t="str">
            <v>-</v>
          </cell>
          <cell r="AN178" t="str">
            <v>-</v>
          </cell>
          <cell r="AO178" t="str">
            <v>-</v>
          </cell>
          <cell r="AP178" t="str">
            <v>-</v>
          </cell>
          <cell r="AQ178" t="str">
            <v>-</v>
          </cell>
          <cell r="AR178" t="str">
            <v>-</v>
          </cell>
          <cell r="AS178" t="str">
            <v>-</v>
          </cell>
          <cell r="AT178" t="str">
            <v>-</v>
          </cell>
          <cell r="AU178" t="str">
            <v>-</v>
          </cell>
          <cell r="AV178" t="str">
            <v>-</v>
          </cell>
          <cell r="AW178" t="str">
            <v>-</v>
          </cell>
          <cell r="AX178" t="str">
            <v>-</v>
          </cell>
          <cell r="AY178" t="str">
            <v>-</v>
          </cell>
          <cell r="AZ178" t="str">
            <v>-</v>
          </cell>
          <cell r="BA178" t="str">
            <v>-</v>
          </cell>
          <cell r="BB178" t="str">
            <v>-</v>
          </cell>
          <cell r="BC178" t="str">
            <v>-</v>
          </cell>
          <cell r="BD178" t="str">
            <v>-</v>
          </cell>
          <cell r="BE178" t="str">
            <v>-</v>
          </cell>
          <cell r="BF178" t="str">
            <v>-</v>
          </cell>
          <cell r="BG178" t="str">
            <v>-</v>
          </cell>
          <cell r="BH178" t="str">
            <v>-</v>
          </cell>
          <cell r="BI178" t="str">
            <v>-</v>
          </cell>
          <cell r="BJ178" t="str">
            <v>-</v>
          </cell>
          <cell r="BK178" t="str">
            <v>-</v>
          </cell>
          <cell r="BL178" t="str">
            <v>-</v>
          </cell>
          <cell r="BM178">
            <v>0</v>
          </cell>
          <cell r="BN178">
            <v>0</v>
          </cell>
          <cell r="BO178" t="str">
            <v>-</v>
          </cell>
          <cell r="BP178" t="str">
            <v>-</v>
          </cell>
          <cell r="BQ178">
            <v>0</v>
          </cell>
          <cell r="BR178">
            <v>0</v>
          </cell>
          <cell r="BS178">
            <v>0</v>
          </cell>
          <cell r="BT178">
            <v>0</v>
          </cell>
        </row>
        <row r="179">
          <cell r="A179" t="str">
            <v>Hungary2017100 / 100</v>
          </cell>
          <cell r="B179" t="str">
            <v>Hungary</v>
          </cell>
          <cell r="C179">
            <v>2017</v>
          </cell>
          <cell r="D179" t="str">
            <v>100 / 100</v>
          </cell>
          <cell r="E179">
            <v>3730608</v>
          </cell>
          <cell r="F179">
            <v>310884</v>
          </cell>
          <cell r="G179">
            <v>71743.013407795443</v>
          </cell>
          <cell r="H179">
            <v>14348.602681559089</v>
          </cell>
          <cell r="I179">
            <v>3730608</v>
          </cell>
          <cell r="J179">
            <v>310884</v>
          </cell>
          <cell r="K179">
            <v>71743.013407795443</v>
          </cell>
          <cell r="L179">
            <v>14348.602681559089</v>
          </cell>
          <cell r="M179" t="str">
            <v>..</v>
          </cell>
          <cell r="N179" t="str">
            <v>..</v>
          </cell>
          <cell r="O179" t="str">
            <v>..</v>
          </cell>
          <cell r="P179" t="str">
            <v>..</v>
          </cell>
          <cell r="Q179" t="str">
            <v>..</v>
          </cell>
          <cell r="R179" t="str">
            <v>..</v>
          </cell>
          <cell r="S179" t="str">
            <v>..</v>
          </cell>
          <cell r="T179" t="str">
            <v>..</v>
          </cell>
          <cell r="U179" t="str">
            <v>..</v>
          </cell>
          <cell r="V179">
            <v>0</v>
          </cell>
          <cell r="W179">
            <v>0</v>
          </cell>
          <cell r="X179">
            <v>0</v>
          </cell>
          <cell r="Y179" t="str">
            <v>-</v>
          </cell>
          <cell r="Z179" t="str">
            <v>No statutory entitlement</v>
          </cell>
          <cell r="AA179" t="str">
            <v>-</v>
          </cell>
          <cell r="AB179" t="str">
            <v>-</v>
          </cell>
          <cell r="AC179" t="str">
            <v>-</v>
          </cell>
          <cell r="AD179" t="str">
            <v>-</v>
          </cell>
          <cell r="AE179" t="str">
            <v>-</v>
          </cell>
          <cell r="AF179" t="str">
            <v>-</v>
          </cell>
          <cell r="AG179" t="str">
            <v>-</v>
          </cell>
          <cell r="AH179" t="str">
            <v>-</v>
          </cell>
          <cell r="AI179" t="str">
            <v>-</v>
          </cell>
          <cell r="AJ179" t="str">
            <v>-</v>
          </cell>
          <cell r="AK179" t="str">
            <v>-</v>
          </cell>
          <cell r="AL179" t="str">
            <v>-</v>
          </cell>
          <cell r="AM179" t="str">
            <v>-</v>
          </cell>
          <cell r="AN179" t="str">
            <v>-</v>
          </cell>
          <cell r="AO179" t="str">
            <v>-</v>
          </cell>
          <cell r="AP179" t="str">
            <v>-</v>
          </cell>
          <cell r="AQ179" t="str">
            <v>-</v>
          </cell>
          <cell r="AR179" t="str">
            <v>-</v>
          </cell>
          <cell r="AS179" t="str">
            <v>-</v>
          </cell>
          <cell r="AT179" t="str">
            <v>-</v>
          </cell>
          <cell r="AU179" t="str">
            <v>-</v>
          </cell>
          <cell r="AV179" t="str">
            <v>-</v>
          </cell>
          <cell r="AW179" t="str">
            <v>-</v>
          </cell>
          <cell r="AX179" t="str">
            <v>-</v>
          </cell>
          <cell r="AY179" t="str">
            <v>-</v>
          </cell>
          <cell r="AZ179" t="str">
            <v>-</v>
          </cell>
          <cell r="BA179" t="str">
            <v>-</v>
          </cell>
          <cell r="BB179" t="str">
            <v>-</v>
          </cell>
          <cell r="BC179" t="str">
            <v>-</v>
          </cell>
          <cell r="BD179" t="str">
            <v>-</v>
          </cell>
          <cell r="BE179" t="str">
            <v>-</v>
          </cell>
          <cell r="BF179" t="str">
            <v>-</v>
          </cell>
          <cell r="BG179" t="str">
            <v>-</v>
          </cell>
          <cell r="BH179" t="str">
            <v>-</v>
          </cell>
          <cell r="BI179" t="str">
            <v>-</v>
          </cell>
          <cell r="BJ179" t="str">
            <v>-</v>
          </cell>
          <cell r="BK179" t="str">
            <v>-</v>
          </cell>
          <cell r="BL179" t="str">
            <v>-</v>
          </cell>
          <cell r="BM179">
            <v>0</v>
          </cell>
          <cell r="BN179">
            <v>0</v>
          </cell>
          <cell r="BO179" t="str">
            <v>-</v>
          </cell>
          <cell r="BP179" t="str">
            <v>-</v>
          </cell>
          <cell r="BQ179">
            <v>0</v>
          </cell>
          <cell r="BR179">
            <v>0</v>
          </cell>
          <cell r="BS179">
            <v>0</v>
          </cell>
          <cell r="BT179">
            <v>0</v>
          </cell>
        </row>
        <row r="180">
          <cell r="A180" t="str">
            <v>Hungary2018100 / 100</v>
          </cell>
          <cell r="B180" t="str">
            <v>Hungary</v>
          </cell>
          <cell r="C180">
            <v>2018</v>
          </cell>
          <cell r="D180" t="str">
            <v>100 / 100</v>
          </cell>
          <cell r="E180">
            <v>4117728</v>
          </cell>
          <cell r="F180">
            <v>343144</v>
          </cell>
          <cell r="G180">
            <v>79187.686059123531</v>
          </cell>
          <cell r="H180">
            <v>15837.537211824707</v>
          </cell>
          <cell r="I180">
            <v>4117728</v>
          </cell>
          <cell r="J180">
            <v>343144</v>
          </cell>
          <cell r="K180">
            <v>79187.686059123531</v>
          </cell>
          <cell r="L180">
            <v>15837.537211824707</v>
          </cell>
          <cell r="M180" t="str">
            <v>..</v>
          </cell>
          <cell r="N180" t="str">
            <v>..</v>
          </cell>
          <cell r="O180" t="str">
            <v>..</v>
          </cell>
          <cell r="P180" t="str">
            <v>..</v>
          </cell>
          <cell r="Q180" t="str">
            <v>..</v>
          </cell>
          <cell r="R180" t="str">
            <v>..</v>
          </cell>
          <cell r="S180" t="str">
            <v>..</v>
          </cell>
          <cell r="T180" t="str">
            <v>..</v>
          </cell>
          <cell r="U180" t="str">
            <v>..</v>
          </cell>
          <cell r="V180">
            <v>0</v>
          </cell>
          <cell r="W180">
            <v>0</v>
          </cell>
          <cell r="X180">
            <v>0</v>
          </cell>
          <cell r="Y180" t="str">
            <v>-</v>
          </cell>
          <cell r="Z180" t="str">
            <v>No statutory entitlement</v>
          </cell>
          <cell r="AA180" t="str">
            <v>-</v>
          </cell>
          <cell r="AB180" t="str">
            <v>-</v>
          </cell>
          <cell r="AC180" t="str">
            <v>-</v>
          </cell>
          <cell r="AD180" t="str">
            <v>-</v>
          </cell>
          <cell r="AE180" t="str">
            <v>-</v>
          </cell>
          <cell r="AF180" t="str">
            <v>-</v>
          </cell>
          <cell r="AG180" t="str">
            <v>-</v>
          </cell>
          <cell r="AH180" t="str">
            <v>-</v>
          </cell>
          <cell r="AI180" t="str">
            <v>-</v>
          </cell>
          <cell r="AJ180" t="str">
            <v>-</v>
          </cell>
          <cell r="AK180" t="str">
            <v>-</v>
          </cell>
          <cell r="AL180" t="str">
            <v>-</v>
          </cell>
          <cell r="AM180" t="str">
            <v>-</v>
          </cell>
          <cell r="AN180" t="str">
            <v>-</v>
          </cell>
          <cell r="AO180" t="str">
            <v>-</v>
          </cell>
          <cell r="AP180" t="str">
            <v>-</v>
          </cell>
          <cell r="AQ180" t="str">
            <v>-</v>
          </cell>
          <cell r="AR180" t="str">
            <v>-</v>
          </cell>
          <cell r="AS180" t="str">
            <v>-</v>
          </cell>
          <cell r="AT180" t="str">
            <v>-</v>
          </cell>
          <cell r="AU180" t="str">
            <v>-</v>
          </cell>
          <cell r="AV180" t="str">
            <v>-</v>
          </cell>
          <cell r="AW180" t="str">
            <v>-</v>
          </cell>
          <cell r="AX180" t="str">
            <v>-</v>
          </cell>
          <cell r="AY180" t="str">
            <v>-</v>
          </cell>
          <cell r="AZ180" t="str">
            <v>-</v>
          </cell>
          <cell r="BA180" t="str">
            <v>-</v>
          </cell>
          <cell r="BB180" t="str">
            <v>-</v>
          </cell>
          <cell r="BC180" t="str">
            <v>-</v>
          </cell>
          <cell r="BD180" t="str">
            <v>-</v>
          </cell>
          <cell r="BE180" t="str">
            <v>-</v>
          </cell>
          <cell r="BF180" t="str">
            <v>-</v>
          </cell>
          <cell r="BG180" t="str">
            <v>-</v>
          </cell>
          <cell r="BH180" t="str">
            <v>-</v>
          </cell>
          <cell r="BI180" t="str">
            <v>-</v>
          </cell>
          <cell r="BJ180" t="str">
            <v>-</v>
          </cell>
          <cell r="BK180" t="str">
            <v>-</v>
          </cell>
          <cell r="BL180" t="str">
            <v>-</v>
          </cell>
          <cell r="BM180">
            <v>0</v>
          </cell>
          <cell r="BN180">
            <v>0</v>
          </cell>
          <cell r="BO180" t="str">
            <v>-</v>
          </cell>
          <cell r="BP180" t="str">
            <v>-</v>
          </cell>
          <cell r="BQ180">
            <v>0</v>
          </cell>
          <cell r="BR180">
            <v>0</v>
          </cell>
          <cell r="BS180">
            <v>0</v>
          </cell>
          <cell r="BT180">
            <v>0</v>
          </cell>
        </row>
        <row r="181">
          <cell r="A181" t="str">
            <v>Hungary2019100 / 100</v>
          </cell>
          <cell r="B181" t="str">
            <v>Hungary</v>
          </cell>
          <cell r="C181">
            <v>2019</v>
          </cell>
          <cell r="D181" t="str">
            <v>100 / 100</v>
          </cell>
          <cell r="E181">
            <v>4593599</v>
          </cell>
          <cell r="F181">
            <v>382799.91666666669</v>
          </cell>
          <cell r="G181">
            <v>88339.121839398766</v>
          </cell>
          <cell r="H181">
            <v>17667.824367879752</v>
          </cell>
          <cell r="I181">
            <v>4593599</v>
          </cell>
          <cell r="J181">
            <v>382799.91666666669</v>
          </cell>
          <cell r="K181">
            <v>88339.121839398766</v>
          </cell>
          <cell r="L181">
            <v>17667.824367879752</v>
          </cell>
          <cell r="M181" t="str">
            <v>..</v>
          </cell>
          <cell r="N181" t="str">
            <v>..</v>
          </cell>
          <cell r="O181" t="str">
            <v>..</v>
          </cell>
          <cell r="P181" t="str">
            <v>..</v>
          </cell>
          <cell r="Q181" t="str">
            <v>..</v>
          </cell>
          <cell r="R181" t="str">
            <v>..</v>
          </cell>
          <cell r="S181" t="str">
            <v>..</v>
          </cell>
          <cell r="T181" t="str">
            <v>..</v>
          </cell>
          <cell r="U181" t="str">
            <v>..</v>
          </cell>
          <cell r="V181">
            <v>0</v>
          </cell>
          <cell r="W181">
            <v>0</v>
          </cell>
          <cell r="X181">
            <v>0</v>
          </cell>
          <cell r="Y181" t="str">
            <v>-</v>
          </cell>
          <cell r="Z181" t="str">
            <v>No statutory entitlement</v>
          </cell>
          <cell r="AA181" t="str">
            <v>-</v>
          </cell>
          <cell r="AB181" t="str">
            <v>-</v>
          </cell>
          <cell r="AC181" t="str">
            <v>-</v>
          </cell>
          <cell r="AD181" t="str">
            <v>-</v>
          </cell>
          <cell r="AE181" t="str">
            <v>-</v>
          </cell>
          <cell r="AF181" t="str">
            <v>-</v>
          </cell>
          <cell r="AG181" t="str">
            <v>-</v>
          </cell>
          <cell r="AH181" t="str">
            <v>-</v>
          </cell>
          <cell r="AI181" t="str">
            <v>-</v>
          </cell>
          <cell r="AJ181" t="str">
            <v>-</v>
          </cell>
          <cell r="AK181" t="str">
            <v>-</v>
          </cell>
          <cell r="AL181" t="str">
            <v>-</v>
          </cell>
          <cell r="AM181" t="str">
            <v>-</v>
          </cell>
          <cell r="AN181" t="str">
            <v>-</v>
          </cell>
          <cell r="AO181" t="str">
            <v>-</v>
          </cell>
          <cell r="AP181" t="str">
            <v>-</v>
          </cell>
          <cell r="AQ181" t="str">
            <v>-</v>
          </cell>
          <cell r="AR181" t="str">
            <v>-</v>
          </cell>
          <cell r="AS181" t="str">
            <v>-</v>
          </cell>
          <cell r="AT181" t="str">
            <v>-</v>
          </cell>
          <cell r="AU181" t="str">
            <v>-</v>
          </cell>
          <cell r="AV181" t="str">
            <v>-</v>
          </cell>
          <cell r="AW181" t="str">
            <v>-</v>
          </cell>
          <cell r="AX181" t="str">
            <v>-</v>
          </cell>
          <cell r="AY181" t="str">
            <v>-</v>
          </cell>
          <cell r="AZ181" t="str">
            <v>-</v>
          </cell>
          <cell r="BA181" t="str">
            <v>-</v>
          </cell>
          <cell r="BB181" t="str">
            <v>-</v>
          </cell>
          <cell r="BC181" t="str">
            <v>-</v>
          </cell>
          <cell r="BD181" t="str">
            <v>-</v>
          </cell>
          <cell r="BE181" t="str">
            <v>-</v>
          </cell>
          <cell r="BF181" t="str">
            <v>-</v>
          </cell>
          <cell r="BG181" t="str">
            <v>-</v>
          </cell>
          <cell r="BH181" t="str">
            <v>-</v>
          </cell>
          <cell r="BI181" t="str">
            <v>-</v>
          </cell>
          <cell r="BJ181" t="str">
            <v>-</v>
          </cell>
          <cell r="BK181" t="str">
            <v>-</v>
          </cell>
          <cell r="BL181" t="str">
            <v>-</v>
          </cell>
          <cell r="BM181">
            <v>0</v>
          </cell>
          <cell r="BN181">
            <v>0</v>
          </cell>
          <cell r="BO181" t="str">
            <v>-</v>
          </cell>
          <cell r="BP181" t="str">
            <v>-</v>
          </cell>
          <cell r="BQ181">
            <v>0</v>
          </cell>
          <cell r="BR181">
            <v>0</v>
          </cell>
          <cell r="BS181">
            <v>0</v>
          </cell>
          <cell r="BT181">
            <v>0</v>
          </cell>
        </row>
        <row r="182">
          <cell r="A182" t="str">
            <v>Hungary2020100 / 100</v>
          </cell>
          <cell r="B182" t="str">
            <v>Hungary</v>
          </cell>
          <cell r="C182">
            <v>2020</v>
          </cell>
          <cell r="D182" t="str">
            <v>100 / 100</v>
          </cell>
          <cell r="E182">
            <v>5043851.3</v>
          </cell>
          <cell r="F182">
            <v>420320.94166666665</v>
          </cell>
          <cell r="G182">
            <v>96997.886522204004</v>
          </cell>
          <cell r="H182">
            <v>19399.577304440802</v>
          </cell>
          <cell r="I182">
            <v>5043851.3</v>
          </cell>
          <cell r="J182">
            <v>420320.94166666665</v>
          </cell>
          <cell r="K182">
            <v>96997.886522204004</v>
          </cell>
          <cell r="L182">
            <v>19399.577304440802</v>
          </cell>
          <cell r="M182" t="str">
            <v>..</v>
          </cell>
          <cell r="N182" t="str">
            <v>..</v>
          </cell>
          <cell r="O182" t="str">
            <v>..</v>
          </cell>
          <cell r="P182" t="str">
            <v>..</v>
          </cell>
          <cell r="Q182" t="str">
            <v>..</v>
          </cell>
          <cell r="R182" t="str">
            <v>..</v>
          </cell>
          <cell r="S182" t="str">
            <v>..</v>
          </cell>
          <cell r="T182" t="str">
            <v>..</v>
          </cell>
          <cell r="U182" t="str">
            <v>..</v>
          </cell>
          <cell r="V182">
            <v>0</v>
          </cell>
          <cell r="W182">
            <v>0</v>
          </cell>
          <cell r="X182">
            <v>0</v>
          </cell>
          <cell r="Y182" t="str">
            <v>-</v>
          </cell>
          <cell r="Z182" t="str">
            <v>No statutory entitlement</v>
          </cell>
          <cell r="AA182" t="str">
            <v>-</v>
          </cell>
          <cell r="AB182" t="str">
            <v>-</v>
          </cell>
          <cell r="AC182" t="str">
            <v>-</v>
          </cell>
          <cell r="AD182" t="str">
            <v>-</v>
          </cell>
          <cell r="AE182" t="str">
            <v>-</v>
          </cell>
          <cell r="AF182" t="str">
            <v>-</v>
          </cell>
          <cell r="AG182" t="str">
            <v>-</v>
          </cell>
          <cell r="AH182" t="str">
            <v>-</v>
          </cell>
          <cell r="AI182" t="str">
            <v>-</v>
          </cell>
          <cell r="AJ182" t="str">
            <v>-</v>
          </cell>
          <cell r="AK182" t="str">
            <v>-</v>
          </cell>
          <cell r="AL182" t="str">
            <v>-</v>
          </cell>
          <cell r="AM182" t="str">
            <v>-</v>
          </cell>
          <cell r="AN182" t="str">
            <v>-</v>
          </cell>
          <cell r="AO182" t="str">
            <v>-</v>
          </cell>
          <cell r="AP182" t="str">
            <v>-</v>
          </cell>
          <cell r="AQ182" t="str">
            <v>-</v>
          </cell>
          <cell r="AR182" t="str">
            <v>-</v>
          </cell>
          <cell r="AS182" t="str">
            <v>-</v>
          </cell>
          <cell r="AT182" t="str">
            <v>-</v>
          </cell>
          <cell r="AU182" t="str">
            <v>-</v>
          </cell>
          <cell r="AV182" t="str">
            <v>-</v>
          </cell>
          <cell r="AW182" t="str">
            <v>-</v>
          </cell>
          <cell r="AX182" t="str">
            <v>-</v>
          </cell>
          <cell r="AY182" t="str">
            <v>-</v>
          </cell>
          <cell r="AZ182" t="str">
            <v>-</v>
          </cell>
          <cell r="BA182" t="str">
            <v>-</v>
          </cell>
          <cell r="BB182" t="str">
            <v>-</v>
          </cell>
          <cell r="BC182" t="str">
            <v>-</v>
          </cell>
          <cell r="BD182" t="str">
            <v>-</v>
          </cell>
          <cell r="BE182" t="str">
            <v>-</v>
          </cell>
          <cell r="BF182" t="str">
            <v>-</v>
          </cell>
          <cell r="BG182" t="str">
            <v>-</v>
          </cell>
          <cell r="BH182" t="str">
            <v>-</v>
          </cell>
          <cell r="BI182" t="str">
            <v>-</v>
          </cell>
          <cell r="BJ182" t="str">
            <v>-</v>
          </cell>
          <cell r="BK182" t="str">
            <v>-</v>
          </cell>
          <cell r="BL182" t="str">
            <v>-</v>
          </cell>
          <cell r="BM182">
            <v>0</v>
          </cell>
          <cell r="BN182">
            <v>0</v>
          </cell>
          <cell r="BO182" t="str">
            <v>-</v>
          </cell>
          <cell r="BP182" t="str">
            <v>-</v>
          </cell>
          <cell r="BQ182">
            <v>0</v>
          </cell>
          <cell r="BR182">
            <v>0</v>
          </cell>
          <cell r="BS182">
            <v>0</v>
          </cell>
          <cell r="BT182">
            <v>0</v>
          </cell>
        </row>
        <row r="183">
          <cell r="A183" t="str">
            <v>Hungary2021100 / 100</v>
          </cell>
          <cell r="B183" t="str">
            <v>Hungary</v>
          </cell>
          <cell r="C183">
            <v>2021</v>
          </cell>
          <cell r="D183" t="str">
            <v>100 / 100</v>
          </cell>
          <cell r="E183">
            <v>5431692</v>
          </cell>
          <cell r="F183">
            <v>452641</v>
          </cell>
          <cell r="G183">
            <v>104456.41889552996</v>
          </cell>
          <cell r="H183">
            <v>20891.283779105994</v>
          </cell>
          <cell r="I183">
            <v>5431692</v>
          </cell>
          <cell r="J183">
            <v>452641</v>
          </cell>
          <cell r="K183">
            <v>104456.41889552996</v>
          </cell>
          <cell r="L183">
            <v>20891.283779105994</v>
          </cell>
          <cell r="M183" t="str">
            <v>..</v>
          </cell>
          <cell r="N183" t="str">
            <v>..</v>
          </cell>
          <cell r="O183" t="str">
            <v>..</v>
          </cell>
          <cell r="P183" t="str">
            <v>..</v>
          </cell>
          <cell r="Q183" t="str">
            <v>..</v>
          </cell>
          <cell r="R183" t="str">
            <v>..</v>
          </cell>
          <cell r="S183" t="str">
            <v>..</v>
          </cell>
          <cell r="T183" t="str">
            <v>..</v>
          </cell>
          <cell r="U183" t="str">
            <v>..</v>
          </cell>
          <cell r="V183">
            <v>0</v>
          </cell>
          <cell r="W183">
            <v>0</v>
          </cell>
          <cell r="X183">
            <v>0</v>
          </cell>
          <cell r="Y183" t="str">
            <v>-</v>
          </cell>
          <cell r="Z183" t="str">
            <v>No statutory entitlement</v>
          </cell>
          <cell r="AA183" t="str">
            <v>-</v>
          </cell>
          <cell r="AB183" t="str">
            <v>-</v>
          </cell>
          <cell r="AC183" t="str">
            <v>-</v>
          </cell>
          <cell r="AD183" t="str">
            <v>-</v>
          </cell>
          <cell r="AE183" t="str">
            <v>-</v>
          </cell>
          <cell r="AF183" t="str">
            <v>-</v>
          </cell>
          <cell r="AG183" t="str">
            <v>-</v>
          </cell>
          <cell r="AH183" t="str">
            <v>-</v>
          </cell>
          <cell r="AI183" t="str">
            <v>-</v>
          </cell>
          <cell r="AJ183" t="str">
            <v>-</v>
          </cell>
          <cell r="AK183" t="str">
            <v>-</v>
          </cell>
          <cell r="AL183" t="str">
            <v>-</v>
          </cell>
          <cell r="AM183" t="str">
            <v>-</v>
          </cell>
          <cell r="AN183" t="str">
            <v>-</v>
          </cell>
          <cell r="AO183" t="str">
            <v>-</v>
          </cell>
          <cell r="AP183" t="str">
            <v>-</v>
          </cell>
          <cell r="AQ183" t="str">
            <v>-</v>
          </cell>
          <cell r="AR183" t="str">
            <v>-</v>
          </cell>
          <cell r="AS183" t="str">
            <v>-</v>
          </cell>
          <cell r="AT183" t="str">
            <v>-</v>
          </cell>
          <cell r="AU183" t="str">
            <v>-</v>
          </cell>
          <cell r="AV183" t="str">
            <v>-</v>
          </cell>
          <cell r="AW183" t="str">
            <v>-</v>
          </cell>
          <cell r="AX183" t="str">
            <v>-</v>
          </cell>
          <cell r="AY183" t="str">
            <v>-</v>
          </cell>
          <cell r="AZ183" t="str">
            <v>-</v>
          </cell>
          <cell r="BA183" t="str">
            <v>-</v>
          </cell>
          <cell r="BB183" t="str">
            <v>-</v>
          </cell>
          <cell r="BC183" t="str">
            <v>-</v>
          </cell>
          <cell r="BD183" t="str">
            <v>-</v>
          </cell>
          <cell r="BE183" t="str">
            <v>-</v>
          </cell>
          <cell r="BF183" t="str">
            <v>-</v>
          </cell>
          <cell r="BG183" t="str">
            <v>-</v>
          </cell>
          <cell r="BH183" t="str">
            <v>-</v>
          </cell>
          <cell r="BI183" t="str">
            <v>-</v>
          </cell>
          <cell r="BJ183" t="str">
            <v>-</v>
          </cell>
          <cell r="BK183" t="str">
            <v>-</v>
          </cell>
          <cell r="BL183" t="str">
            <v>-</v>
          </cell>
          <cell r="BM183">
            <v>0</v>
          </cell>
          <cell r="BN183">
            <v>0</v>
          </cell>
          <cell r="BO183" t="str">
            <v>-</v>
          </cell>
          <cell r="BP183" t="str">
            <v>-</v>
          </cell>
          <cell r="BQ183">
            <v>0</v>
          </cell>
          <cell r="BR183">
            <v>0</v>
          </cell>
          <cell r="BS183">
            <v>0</v>
          </cell>
          <cell r="BT183">
            <v>0</v>
          </cell>
        </row>
        <row r="184">
          <cell r="A184" t="str">
            <v>Hungary2022100 / 100</v>
          </cell>
          <cell r="B184" t="str">
            <v>Hungary</v>
          </cell>
          <cell r="C184">
            <v>2022</v>
          </cell>
          <cell r="D184" t="str">
            <v>100 / 100</v>
          </cell>
          <cell r="E184">
            <v>6276792</v>
          </cell>
          <cell r="F184">
            <v>523066</v>
          </cell>
          <cell r="G184">
            <v>120708.4669882076</v>
          </cell>
          <cell r="H184">
            <v>24141.69339764152</v>
          </cell>
          <cell r="I184">
            <v>6276792</v>
          </cell>
          <cell r="J184">
            <v>523066</v>
          </cell>
          <cell r="K184">
            <v>120708.4669882076</v>
          </cell>
          <cell r="L184">
            <v>24141.69339764152</v>
          </cell>
          <cell r="M184" t="str">
            <v>..</v>
          </cell>
          <cell r="N184" t="str">
            <v>..</v>
          </cell>
          <cell r="O184" t="str">
            <v>..</v>
          </cell>
          <cell r="P184" t="str">
            <v>..</v>
          </cell>
          <cell r="Q184" t="str">
            <v>..</v>
          </cell>
          <cell r="R184" t="str">
            <v>..</v>
          </cell>
          <cell r="S184" t="str">
            <v>..</v>
          </cell>
          <cell r="T184" t="str">
            <v>..</v>
          </cell>
          <cell r="U184" t="str">
            <v>..</v>
          </cell>
          <cell r="V184">
            <v>0</v>
          </cell>
          <cell r="W184">
            <v>0</v>
          </cell>
          <cell r="X184">
            <v>0</v>
          </cell>
          <cell r="Y184" t="str">
            <v>-</v>
          </cell>
          <cell r="Z184" t="str">
            <v>No statutory entitlement</v>
          </cell>
          <cell r="AA184" t="str">
            <v>-</v>
          </cell>
          <cell r="AB184" t="str">
            <v>-</v>
          </cell>
          <cell r="AC184" t="str">
            <v>-</v>
          </cell>
          <cell r="AD184" t="str">
            <v>-</v>
          </cell>
          <cell r="AE184" t="str">
            <v>-</v>
          </cell>
          <cell r="AF184" t="str">
            <v>-</v>
          </cell>
          <cell r="AG184" t="str">
            <v>-</v>
          </cell>
          <cell r="AH184" t="str">
            <v>-</v>
          </cell>
          <cell r="AI184" t="str">
            <v>-</v>
          </cell>
          <cell r="AJ184" t="str">
            <v>-</v>
          </cell>
          <cell r="AK184" t="str">
            <v>-</v>
          </cell>
          <cell r="AL184" t="str">
            <v>-</v>
          </cell>
          <cell r="AM184" t="str">
            <v>-</v>
          </cell>
          <cell r="AN184" t="str">
            <v>-</v>
          </cell>
          <cell r="AO184" t="str">
            <v>-</v>
          </cell>
          <cell r="AP184" t="str">
            <v>-</v>
          </cell>
          <cell r="AQ184" t="str">
            <v>-</v>
          </cell>
          <cell r="AR184" t="str">
            <v>-</v>
          </cell>
          <cell r="AS184" t="str">
            <v>-</v>
          </cell>
          <cell r="AT184" t="str">
            <v>-</v>
          </cell>
          <cell r="AU184" t="str">
            <v>-</v>
          </cell>
          <cell r="AV184" t="str">
            <v>-</v>
          </cell>
          <cell r="AW184" t="str">
            <v>-</v>
          </cell>
          <cell r="AX184" t="str">
            <v>-</v>
          </cell>
          <cell r="AY184" t="str">
            <v>-</v>
          </cell>
          <cell r="AZ184" t="str">
            <v>-</v>
          </cell>
          <cell r="BA184" t="str">
            <v>-</v>
          </cell>
          <cell r="BB184" t="str">
            <v>-</v>
          </cell>
          <cell r="BC184" t="str">
            <v>-</v>
          </cell>
          <cell r="BD184" t="str">
            <v>-</v>
          </cell>
          <cell r="BE184" t="str">
            <v>-</v>
          </cell>
          <cell r="BF184" t="str">
            <v>-</v>
          </cell>
          <cell r="BG184" t="str">
            <v>-</v>
          </cell>
          <cell r="BH184" t="str">
            <v>-</v>
          </cell>
          <cell r="BI184" t="str">
            <v>-</v>
          </cell>
          <cell r="BJ184" t="str">
            <v>-</v>
          </cell>
          <cell r="BK184" t="str">
            <v>-</v>
          </cell>
          <cell r="BL184" t="str">
            <v>-</v>
          </cell>
          <cell r="BM184">
            <v>0</v>
          </cell>
          <cell r="BN184">
            <v>0</v>
          </cell>
          <cell r="BO184" t="str">
            <v>-</v>
          </cell>
          <cell r="BP184" t="str">
            <v>-</v>
          </cell>
          <cell r="BQ184">
            <v>0</v>
          </cell>
          <cell r="BR184">
            <v>0</v>
          </cell>
          <cell r="BS184">
            <v>0</v>
          </cell>
          <cell r="BT184">
            <v>0</v>
          </cell>
        </row>
        <row r="185">
          <cell r="A185" t="str">
            <v>Hungary2023100 / 100</v>
          </cell>
          <cell r="B185" t="str">
            <v>Hungary</v>
          </cell>
          <cell r="C185">
            <v>2023</v>
          </cell>
          <cell r="D185" t="str">
            <v>100 / 100</v>
          </cell>
          <cell r="E185">
            <v>7182924.5999999996</v>
          </cell>
          <cell r="F185">
            <v>598577.04999999993</v>
          </cell>
          <cell r="G185">
            <v>138134.22795559964</v>
          </cell>
          <cell r="H185">
            <v>27626.845591119927</v>
          </cell>
          <cell r="I185">
            <v>7182924.5999999996</v>
          </cell>
          <cell r="J185">
            <v>598577.04999999993</v>
          </cell>
          <cell r="K185">
            <v>138134.22795559964</v>
          </cell>
          <cell r="L185">
            <v>27626.845591119927</v>
          </cell>
          <cell r="M185" t="str">
            <v>..</v>
          </cell>
          <cell r="N185" t="str">
            <v>..</v>
          </cell>
          <cell r="O185" t="str">
            <v>..</v>
          </cell>
          <cell r="P185" t="str">
            <v>..</v>
          </cell>
          <cell r="Q185" t="str">
            <v>..</v>
          </cell>
          <cell r="R185" t="str">
            <v>..</v>
          </cell>
          <cell r="S185" t="str">
            <v>..</v>
          </cell>
          <cell r="T185" t="str">
            <v>..</v>
          </cell>
          <cell r="U185" t="str">
            <v>..</v>
          </cell>
          <cell r="V185">
            <v>8.8000000000000007</v>
          </cell>
          <cell r="W185">
            <v>8.8000000000000007</v>
          </cell>
          <cell r="X185">
            <v>0</v>
          </cell>
          <cell r="Y185" t="str">
            <v>-</v>
          </cell>
          <cell r="Z185" t="str">
            <v xml:space="preserve">Additional low paid leave (family entitlement). Assumed the father would take this leave, as the mother would be taking GYES/GYED parental leave for the entire duration of the eligibility period of this leave. Paid at 10% of average gross daily earnings. </v>
          </cell>
          <cell r="AA185" t="str">
            <v>Gross</v>
          </cell>
          <cell r="AB185" t="str">
            <v>Y</v>
          </cell>
          <cell r="AC185">
            <v>8.8000000000000007</v>
          </cell>
          <cell r="AD185">
            <v>0.1</v>
          </cell>
          <cell r="AE185" t="str">
            <v>-</v>
          </cell>
          <cell r="AF185" t="str">
            <v>-</v>
          </cell>
          <cell r="AG185" t="str">
            <v>-</v>
          </cell>
          <cell r="AH185" t="str">
            <v>-</v>
          </cell>
          <cell r="AI185" t="str">
            <v>-</v>
          </cell>
          <cell r="AJ185" t="str">
            <v>-</v>
          </cell>
          <cell r="AK185" t="str">
            <v>-</v>
          </cell>
          <cell r="AL185" t="str">
            <v>-</v>
          </cell>
          <cell r="AM185" t="str">
            <v>-</v>
          </cell>
          <cell r="AN185" t="str">
            <v>-</v>
          </cell>
          <cell r="AO185" t="str">
            <v>-</v>
          </cell>
          <cell r="AP185" t="str">
            <v>-</v>
          </cell>
          <cell r="AQ185" t="str">
            <v>-</v>
          </cell>
          <cell r="AR185" t="str">
            <v>-</v>
          </cell>
          <cell r="AS185" t="str">
            <v>-</v>
          </cell>
          <cell r="AT185" t="str">
            <v>-</v>
          </cell>
          <cell r="AU185" t="str">
            <v>-</v>
          </cell>
          <cell r="AV185" t="str">
            <v>-</v>
          </cell>
          <cell r="AW185" t="str">
            <v>-</v>
          </cell>
          <cell r="AX185" t="str">
            <v>-</v>
          </cell>
          <cell r="AY185" t="str">
            <v>-</v>
          </cell>
          <cell r="AZ185" t="str">
            <v>-</v>
          </cell>
          <cell r="BA185" t="str">
            <v>-</v>
          </cell>
          <cell r="BB185" t="str">
            <v>-</v>
          </cell>
          <cell r="BC185" t="str">
            <v>-</v>
          </cell>
          <cell r="BD185" t="str">
            <v>-</v>
          </cell>
          <cell r="BE185" t="str">
            <v>-</v>
          </cell>
          <cell r="BF185" t="str">
            <v>-</v>
          </cell>
          <cell r="BG185" t="str">
            <v>-</v>
          </cell>
          <cell r="BH185" t="str">
            <v>-</v>
          </cell>
          <cell r="BI185" t="str">
            <v>-</v>
          </cell>
          <cell r="BJ185" t="str">
            <v>-</v>
          </cell>
          <cell r="BK185" t="str">
            <v>-</v>
          </cell>
          <cell r="BL185" t="str">
            <v>-</v>
          </cell>
          <cell r="BM185">
            <v>0.1</v>
          </cell>
          <cell r="BN185">
            <v>0.1</v>
          </cell>
          <cell r="BO185" t="str">
            <v>-</v>
          </cell>
          <cell r="BP185" t="str">
            <v>-</v>
          </cell>
          <cell r="BQ185">
            <v>718292.46</v>
          </cell>
          <cell r="BR185">
            <v>59857.704999999994</v>
          </cell>
          <cell r="BS185">
            <v>13813.422795559964</v>
          </cell>
          <cell r="BT185">
            <v>2762.6845591119927</v>
          </cell>
        </row>
        <row r="186">
          <cell r="A186" t="str">
            <v>Hungary2024100 / 100</v>
          </cell>
          <cell r="B186" t="str">
            <v>Hungary</v>
          </cell>
          <cell r="C186">
            <v>2024</v>
          </cell>
          <cell r="D186" t="str">
            <v>100 / 100</v>
          </cell>
          <cell r="E186">
            <v>8252579.5</v>
          </cell>
          <cell r="F186">
            <v>687714.95833333337</v>
          </cell>
          <cell r="G186">
            <v>158704.67272825175</v>
          </cell>
          <cell r="H186">
            <v>31740.934545650351</v>
          </cell>
          <cell r="I186">
            <v>8252579.5</v>
          </cell>
          <cell r="J186">
            <v>687714.95833333337</v>
          </cell>
          <cell r="K186">
            <v>158704.67272825175</v>
          </cell>
          <cell r="L186">
            <v>31740.934545650351</v>
          </cell>
          <cell r="M186" t="str">
            <v>..</v>
          </cell>
          <cell r="N186" t="str">
            <v>..</v>
          </cell>
          <cell r="O186" t="str">
            <v>..</v>
          </cell>
          <cell r="P186" t="str">
            <v>..</v>
          </cell>
          <cell r="Q186" t="str">
            <v>..</v>
          </cell>
          <cell r="R186" t="str">
            <v>..</v>
          </cell>
          <cell r="S186" t="str">
            <v>..</v>
          </cell>
          <cell r="T186" t="str">
            <v>..</v>
          </cell>
          <cell r="U186" t="str">
            <v>..</v>
          </cell>
          <cell r="V186">
            <v>8.8000000000000007</v>
          </cell>
          <cell r="W186">
            <v>8.8000000000000007</v>
          </cell>
          <cell r="X186">
            <v>0</v>
          </cell>
          <cell r="Y186" t="str">
            <v>-</v>
          </cell>
          <cell r="Z186" t="str">
            <v xml:space="preserve">Additional low paid leave (family entitlement; 44 days of parents having at least 1 child below the age of 3 years and being employed for more than one year. ). Assumed the father would take this leave, as the mother would be taking GYES/GYED parental leave for the entire duration of the eligibility period of this leave. Paid at 10% of average gross daily earnings. </v>
          </cell>
          <cell r="AA186" t="str">
            <v>Gross</v>
          </cell>
          <cell r="AB186" t="str">
            <v>Y</v>
          </cell>
          <cell r="AC186">
            <v>8.8000000000000007</v>
          </cell>
          <cell r="AD186">
            <v>0.1</v>
          </cell>
          <cell r="AE186" t="str">
            <v>-</v>
          </cell>
          <cell r="AF186" t="str">
            <v>-</v>
          </cell>
          <cell r="AG186" t="str">
            <v>-</v>
          </cell>
          <cell r="AH186" t="str">
            <v>-</v>
          </cell>
          <cell r="AI186" t="str">
            <v>-</v>
          </cell>
          <cell r="AJ186" t="str">
            <v>-</v>
          </cell>
          <cell r="AK186" t="str">
            <v>-</v>
          </cell>
          <cell r="AL186" t="str">
            <v>-</v>
          </cell>
          <cell r="AM186" t="str">
            <v>-</v>
          </cell>
          <cell r="AN186" t="str">
            <v>-</v>
          </cell>
          <cell r="AO186" t="str">
            <v>-</v>
          </cell>
          <cell r="AP186" t="str">
            <v>-</v>
          </cell>
          <cell r="AQ186" t="str">
            <v>-</v>
          </cell>
          <cell r="AR186" t="str">
            <v>-</v>
          </cell>
          <cell r="AS186" t="str">
            <v>-</v>
          </cell>
          <cell r="AT186" t="str">
            <v>-</v>
          </cell>
          <cell r="AU186" t="str">
            <v>-</v>
          </cell>
          <cell r="AV186" t="str">
            <v>-</v>
          </cell>
          <cell r="AW186" t="str">
            <v>-</v>
          </cell>
          <cell r="AX186" t="str">
            <v>-</v>
          </cell>
          <cell r="AY186" t="str">
            <v>-</v>
          </cell>
          <cell r="AZ186" t="str">
            <v>-</v>
          </cell>
          <cell r="BA186" t="str">
            <v>-</v>
          </cell>
          <cell r="BB186" t="str">
            <v>-</v>
          </cell>
          <cell r="BC186" t="str">
            <v>-</v>
          </cell>
          <cell r="BD186" t="str">
            <v>-</v>
          </cell>
          <cell r="BE186" t="str">
            <v>-</v>
          </cell>
          <cell r="BF186" t="str">
            <v>-</v>
          </cell>
          <cell r="BG186" t="str">
            <v>-</v>
          </cell>
          <cell r="BH186" t="str">
            <v>-</v>
          </cell>
          <cell r="BI186" t="str">
            <v>-</v>
          </cell>
          <cell r="BJ186" t="str">
            <v>-</v>
          </cell>
          <cell r="BK186" t="str">
            <v>-</v>
          </cell>
          <cell r="BL186" t="str">
            <v>-</v>
          </cell>
          <cell r="BM186">
            <v>0.1</v>
          </cell>
          <cell r="BN186">
            <v>0.1</v>
          </cell>
          <cell r="BO186" t="str">
            <v>-</v>
          </cell>
          <cell r="BP186" t="str">
            <v>-</v>
          </cell>
          <cell r="BQ186">
            <v>825257.95000000007</v>
          </cell>
          <cell r="BR186">
            <v>68771.495833333334</v>
          </cell>
          <cell r="BS186">
            <v>15870.467272825175</v>
          </cell>
          <cell r="BT186">
            <v>3174.0934545650352</v>
          </cell>
        </row>
        <row r="187">
          <cell r="A187" t="str">
            <v>Hungary2025100 / 100</v>
          </cell>
          <cell r="B187" t="str">
            <v>Hungary</v>
          </cell>
          <cell r="C187">
            <v>2025</v>
          </cell>
          <cell r="D187" t="str">
            <v>100 / 100</v>
          </cell>
          <cell r="E187">
            <v>8252579.5</v>
          </cell>
          <cell r="F187">
            <v>687714.95833333337</v>
          </cell>
          <cell r="G187">
            <v>158704.67272825175</v>
          </cell>
          <cell r="H187">
            <v>31740.934545650351</v>
          </cell>
          <cell r="I187">
            <v>8252579.5</v>
          </cell>
          <cell r="J187">
            <v>687714.95833333337</v>
          </cell>
          <cell r="K187">
            <v>158704.67272825175</v>
          </cell>
          <cell r="L187">
            <v>31740.934545650351</v>
          </cell>
          <cell r="M187" t="str">
            <v>..</v>
          </cell>
          <cell r="N187" t="str">
            <v>..</v>
          </cell>
          <cell r="O187" t="str">
            <v>..</v>
          </cell>
          <cell r="P187" t="str">
            <v>..</v>
          </cell>
          <cell r="Q187" t="str">
            <v>..</v>
          </cell>
          <cell r="R187" t="str">
            <v>..</v>
          </cell>
          <cell r="S187" t="str">
            <v>..</v>
          </cell>
          <cell r="T187" t="str">
            <v>..</v>
          </cell>
          <cell r="U187" t="str">
            <v>..</v>
          </cell>
          <cell r="V187">
            <v>8.8000000000000007</v>
          </cell>
          <cell r="W187">
            <v>8.8000000000000007</v>
          </cell>
          <cell r="X187">
            <v>0</v>
          </cell>
          <cell r="Y187" t="str">
            <v>-</v>
          </cell>
          <cell r="Z187" t="str">
            <v xml:space="preserve">Additional low paid leave (family entitlement; 44 days of parents having at least 1 child below the age of 3 years and being employed for more than one year. ). Assumed the father would take this leave, as the mother would be taking GYES/GYED parental leave for the entire duration of the eligibility period of this leave. Paid at 10% of average gross daily earnings. </v>
          </cell>
          <cell r="AA187" t="str">
            <v>Gross</v>
          </cell>
          <cell r="AB187" t="str">
            <v>Y</v>
          </cell>
          <cell r="AC187">
            <v>8.8000000000000007</v>
          </cell>
          <cell r="AD187">
            <v>0.1</v>
          </cell>
          <cell r="AE187" t="str">
            <v>-</v>
          </cell>
          <cell r="AF187" t="str">
            <v>-</v>
          </cell>
          <cell r="AG187" t="str">
            <v>-</v>
          </cell>
          <cell r="AH187" t="str">
            <v>-</v>
          </cell>
          <cell r="AI187" t="str">
            <v>-</v>
          </cell>
          <cell r="AJ187" t="str">
            <v>-</v>
          </cell>
          <cell r="AK187" t="str">
            <v>-</v>
          </cell>
          <cell r="AL187" t="str">
            <v>-</v>
          </cell>
          <cell r="AM187" t="str">
            <v>-</v>
          </cell>
          <cell r="AN187" t="str">
            <v>-</v>
          </cell>
          <cell r="AO187" t="str">
            <v>-</v>
          </cell>
          <cell r="AP187" t="str">
            <v>-</v>
          </cell>
          <cell r="AQ187" t="str">
            <v>-</v>
          </cell>
          <cell r="AR187" t="str">
            <v>-</v>
          </cell>
          <cell r="AS187" t="str">
            <v>-</v>
          </cell>
          <cell r="AT187" t="str">
            <v>-</v>
          </cell>
          <cell r="AU187" t="str">
            <v>-</v>
          </cell>
          <cell r="AV187" t="str">
            <v>-</v>
          </cell>
          <cell r="AW187" t="str">
            <v>-</v>
          </cell>
          <cell r="AX187" t="str">
            <v>-</v>
          </cell>
          <cell r="AY187" t="str">
            <v>-</v>
          </cell>
          <cell r="AZ187" t="str">
            <v>-</v>
          </cell>
          <cell r="BA187" t="str">
            <v>-</v>
          </cell>
          <cell r="BB187" t="str">
            <v>-</v>
          </cell>
          <cell r="BC187" t="str">
            <v>-</v>
          </cell>
          <cell r="BD187" t="str">
            <v>-</v>
          </cell>
          <cell r="BE187" t="str">
            <v>-</v>
          </cell>
          <cell r="BF187" t="str">
            <v>-</v>
          </cell>
          <cell r="BG187" t="str">
            <v>-</v>
          </cell>
          <cell r="BH187" t="str">
            <v>-</v>
          </cell>
          <cell r="BI187" t="str">
            <v>-</v>
          </cell>
          <cell r="BJ187" t="str">
            <v>-</v>
          </cell>
          <cell r="BK187" t="str">
            <v>-</v>
          </cell>
          <cell r="BL187" t="str">
            <v>-</v>
          </cell>
          <cell r="BM187">
            <v>0.1</v>
          </cell>
          <cell r="BN187">
            <v>0.1</v>
          </cell>
          <cell r="BO187" t="str">
            <v>-</v>
          </cell>
          <cell r="BP187" t="str">
            <v>-</v>
          </cell>
          <cell r="BQ187">
            <v>825257.95000000007</v>
          </cell>
          <cell r="BR187">
            <v>68771.495833333334</v>
          </cell>
          <cell r="BS187">
            <v>15870.467272825175</v>
          </cell>
          <cell r="BT187">
            <v>3174.0934545650352</v>
          </cell>
        </row>
        <row r="188">
          <cell r="A188" t="str">
            <v>Iceland2014100 / 100</v>
          </cell>
          <cell r="B188" t="str">
            <v>Iceland</v>
          </cell>
          <cell r="C188">
            <v>2014</v>
          </cell>
          <cell r="D188" t="str">
            <v>100 / 100</v>
          </cell>
          <cell r="E188">
            <v>7176000</v>
          </cell>
          <cell r="F188">
            <v>598000</v>
          </cell>
          <cell r="G188">
            <v>138001.06154662726</v>
          </cell>
          <cell r="H188">
            <v>27600.212309325452</v>
          </cell>
          <cell r="I188">
            <v>7176000</v>
          </cell>
          <cell r="J188">
            <v>598000</v>
          </cell>
          <cell r="K188">
            <v>138001.06154662726</v>
          </cell>
          <cell r="L188">
            <v>27600.212309325452</v>
          </cell>
          <cell r="M188" t="str">
            <v>..</v>
          </cell>
          <cell r="N188" t="str">
            <v>..</v>
          </cell>
          <cell r="O188" t="str">
            <v>..</v>
          </cell>
          <cell r="P188" t="str">
            <v>..</v>
          </cell>
          <cell r="Q188" t="str">
            <v>..</v>
          </cell>
          <cell r="R188" t="str">
            <v>..</v>
          </cell>
          <cell r="S188" t="str">
            <v>..</v>
          </cell>
          <cell r="T188" t="str">
            <v>..</v>
          </cell>
          <cell r="U188" t="str">
            <v>..</v>
          </cell>
          <cell r="V188">
            <v>30.333300000000001</v>
          </cell>
          <cell r="W188">
            <v>13</v>
          </cell>
          <cell r="X188">
            <v>17.333300000000001</v>
          </cell>
          <cell r="Y188" t="str">
            <v>-</v>
          </cell>
          <cell r="Z188" t="str">
            <v>Three months. Eighty per cent of average total earnings for a twelve months long period ending six months before birth up to a ceiling of ISK 370.000 (€) per month</v>
          </cell>
          <cell r="AA188" t="str">
            <v>Gross</v>
          </cell>
          <cell r="AB188" t="str">
            <v>Y</v>
          </cell>
          <cell r="AC188">
            <v>13</v>
          </cell>
          <cell r="AD188">
            <v>0.8</v>
          </cell>
          <cell r="AE188">
            <v>370000</v>
          </cell>
          <cell r="AF188" t="str">
            <v>month</v>
          </cell>
          <cell r="AG188">
            <v>135525</v>
          </cell>
          <cell r="AH188" t="str">
            <v>month</v>
          </cell>
          <cell r="AI188" t="str">
            <v>-</v>
          </cell>
          <cell r="AJ188" t="str">
            <v>-</v>
          </cell>
          <cell r="AK188" t="str">
            <v>-</v>
          </cell>
          <cell r="AL188" t="str">
            <v>-</v>
          </cell>
          <cell r="AM188" t="str">
            <v>-</v>
          </cell>
          <cell r="AN188" t="str">
            <v>-</v>
          </cell>
          <cell r="AO188" t="str">
            <v>-</v>
          </cell>
          <cell r="AP188" t="str">
            <v>-</v>
          </cell>
          <cell r="AQ188" t="str">
            <v>-</v>
          </cell>
          <cell r="AR188" t="str">
            <v>-</v>
          </cell>
          <cell r="AS188" t="str">
            <v>-</v>
          </cell>
          <cell r="AT188" t="str">
            <v>-</v>
          </cell>
          <cell r="AU188" t="str">
            <v>-</v>
          </cell>
          <cell r="AV188" t="str">
            <v>-</v>
          </cell>
          <cell r="AW188" t="str">
            <v>-</v>
          </cell>
          <cell r="AX188" t="str">
            <v>-</v>
          </cell>
          <cell r="AY188" t="str">
            <v>-</v>
          </cell>
          <cell r="AZ188" t="str">
            <v>-</v>
          </cell>
          <cell r="BA188" t="str">
            <v>-</v>
          </cell>
          <cell r="BB188" t="str">
            <v>-</v>
          </cell>
          <cell r="BC188" t="str">
            <v>-</v>
          </cell>
          <cell r="BD188" t="str">
            <v>-</v>
          </cell>
          <cell r="BE188" t="str">
            <v>-</v>
          </cell>
          <cell r="BF188" t="str">
            <v>-</v>
          </cell>
          <cell r="BG188" t="str">
            <v>-</v>
          </cell>
          <cell r="BH188" t="str">
            <v>-</v>
          </cell>
          <cell r="BI188" t="str">
            <v>-</v>
          </cell>
          <cell r="BJ188" t="str">
            <v>-</v>
          </cell>
          <cell r="BK188" t="str">
            <v>-</v>
          </cell>
          <cell r="BL188" t="str">
            <v>-</v>
          </cell>
          <cell r="BM188">
            <v>0.61872909698996659</v>
          </cell>
          <cell r="BN188">
            <v>0.26516990439119931</v>
          </cell>
          <cell r="BO188" t="str">
            <v>-</v>
          </cell>
          <cell r="BP188" t="str">
            <v>-</v>
          </cell>
          <cell r="BQ188">
            <v>4440000</v>
          </cell>
          <cell r="BR188">
            <v>370000</v>
          </cell>
          <cell r="BS188">
            <v>85385.272194401492</v>
          </cell>
          <cell r="BT188">
            <v>17077.054438880299</v>
          </cell>
        </row>
        <row r="189">
          <cell r="A189" t="str">
            <v>Iceland2015100 / 100</v>
          </cell>
          <cell r="B189" t="str">
            <v>Iceland</v>
          </cell>
          <cell r="C189">
            <v>2015</v>
          </cell>
          <cell r="D189" t="str">
            <v>100 / 100</v>
          </cell>
          <cell r="E189">
            <v>7668000</v>
          </cell>
          <cell r="F189">
            <v>639000</v>
          </cell>
          <cell r="G189">
            <v>147462.67278979067</v>
          </cell>
          <cell r="H189">
            <v>29492.534557958134</v>
          </cell>
          <cell r="I189">
            <v>7668000</v>
          </cell>
          <cell r="J189">
            <v>639000</v>
          </cell>
          <cell r="K189">
            <v>147462.67278979067</v>
          </cell>
          <cell r="L189">
            <v>29492.534557958134</v>
          </cell>
          <cell r="M189" t="str">
            <v>..</v>
          </cell>
          <cell r="N189" t="str">
            <v>..</v>
          </cell>
          <cell r="O189" t="str">
            <v>..</v>
          </cell>
          <cell r="P189" t="str">
            <v>..</v>
          </cell>
          <cell r="Q189" t="str">
            <v>..</v>
          </cell>
          <cell r="R189" t="str">
            <v>..</v>
          </cell>
          <cell r="S189" t="str">
            <v>..</v>
          </cell>
          <cell r="T189" t="str">
            <v>..</v>
          </cell>
          <cell r="U189" t="str">
            <v>..</v>
          </cell>
          <cell r="V189">
            <v>30.333300000000001</v>
          </cell>
          <cell r="W189">
            <v>13</v>
          </cell>
          <cell r="X189">
            <v>17.333300000000001</v>
          </cell>
          <cell r="Y189" t="str">
            <v>-</v>
          </cell>
          <cell r="Z189" t="str">
            <v>Three months. Eighty per cent of average total earnings for a twelve months long period ending six months before birth up to a ceiling of ISK 370.000 (€) per month</v>
          </cell>
          <cell r="AA189" t="str">
            <v>Gross</v>
          </cell>
          <cell r="AB189" t="str">
            <v>Y</v>
          </cell>
          <cell r="AC189">
            <v>13</v>
          </cell>
          <cell r="AD189">
            <v>0.8</v>
          </cell>
          <cell r="AE189">
            <v>370000</v>
          </cell>
          <cell r="AF189" t="str">
            <v>month</v>
          </cell>
          <cell r="AG189">
            <v>139591</v>
          </cell>
          <cell r="AH189" t="str">
            <v>month</v>
          </cell>
          <cell r="AI189" t="str">
            <v>-</v>
          </cell>
          <cell r="AJ189" t="str">
            <v>-</v>
          </cell>
          <cell r="AK189" t="str">
            <v>-</v>
          </cell>
          <cell r="AL189" t="str">
            <v>-</v>
          </cell>
          <cell r="AM189" t="str">
            <v>-</v>
          </cell>
          <cell r="AN189" t="str">
            <v>-</v>
          </cell>
          <cell r="AO189" t="str">
            <v>-</v>
          </cell>
          <cell r="AP189" t="str">
            <v>-</v>
          </cell>
          <cell r="AQ189" t="str">
            <v>-</v>
          </cell>
          <cell r="AR189" t="str">
            <v>-</v>
          </cell>
          <cell r="AS189" t="str">
            <v>-</v>
          </cell>
          <cell r="AT189" t="str">
            <v>-</v>
          </cell>
          <cell r="AU189" t="str">
            <v>-</v>
          </cell>
          <cell r="AV189" t="str">
            <v>-</v>
          </cell>
          <cell r="AW189" t="str">
            <v>-</v>
          </cell>
          <cell r="AX189" t="str">
            <v>-</v>
          </cell>
          <cell r="AY189" t="str">
            <v>-</v>
          </cell>
          <cell r="AZ189" t="str">
            <v>-</v>
          </cell>
          <cell r="BA189" t="str">
            <v>-</v>
          </cell>
          <cell r="BB189" t="str">
            <v>-</v>
          </cell>
          <cell r="BC189" t="str">
            <v>-</v>
          </cell>
          <cell r="BD189" t="str">
            <v>-</v>
          </cell>
          <cell r="BE189" t="str">
            <v>-</v>
          </cell>
          <cell r="BF189" t="str">
            <v>-</v>
          </cell>
          <cell r="BG189" t="str">
            <v>-</v>
          </cell>
          <cell r="BH189" t="str">
            <v>-</v>
          </cell>
          <cell r="BI189" t="str">
            <v>-</v>
          </cell>
          <cell r="BJ189" t="str">
            <v>-</v>
          </cell>
          <cell r="BK189" t="str">
            <v>-</v>
          </cell>
          <cell r="BL189" t="str">
            <v>-</v>
          </cell>
          <cell r="BM189">
            <v>0.57902973395931145</v>
          </cell>
          <cell r="BN189">
            <v>0.24815587296703784</v>
          </cell>
          <cell r="BO189" t="str">
            <v>-</v>
          </cell>
          <cell r="BP189" t="str">
            <v>-</v>
          </cell>
          <cell r="BQ189">
            <v>4440000</v>
          </cell>
          <cell r="BR189">
            <v>370000</v>
          </cell>
          <cell r="BS189">
            <v>85385.272194401492</v>
          </cell>
          <cell r="BT189">
            <v>17077.054438880295</v>
          </cell>
        </row>
        <row r="190">
          <cell r="A190" t="str">
            <v>Iceland2016100 / 100</v>
          </cell>
          <cell r="B190" t="str">
            <v>Iceland</v>
          </cell>
          <cell r="C190">
            <v>2016</v>
          </cell>
          <cell r="D190" t="str">
            <v>100 / 100</v>
          </cell>
          <cell r="E190">
            <v>8292000</v>
          </cell>
          <cell r="F190">
            <v>691000</v>
          </cell>
          <cell r="G190">
            <v>159462.76509819305</v>
          </cell>
          <cell r="H190">
            <v>31892.55301963861</v>
          </cell>
          <cell r="I190">
            <v>8292000</v>
          </cell>
          <cell r="J190">
            <v>691000</v>
          </cell>
          <cell r="K190">
            <v>159462.76509819305</v>
          </cell>
          <cell r="L190">
            <v>31892.55301963861</v>
          </cell>
          <cell r="M190" t="str">
            <v>..</v>
          </cell>
          <cell r="N190" t="str">
            <v>..</v>
          </cell>
          <cell r="O190" t="str">
            <v>..</v>
          </cell>
          <cell r="P190" t="str">
            <v>..</v>
          </cell>
          <cell r="Q190" t="str">
            <v>..</v>
          </cell>
          <cell r="R190" t="str">
            <v>..</v>
          </cell>
          <cell r="S190" t="str">
            <v>..</v>
          </cell>
          <cell r="T190" t="str">
            <v>..</v>
          </cell>
          <cell r="U190" t="str">
            <v>..</v>
          </cell>
          <cell r="V190">
            <v>30.333300000000001</v>
          </cell>
          <cell r="W190">
            <v>13</v>
          </cell>
          <cell r="X190">
            <v>17.333300000000001</v>
          </cell>
          <cell r="Y190" t="str">
            <v>-</v>
          </cell>
          <cell r="Z190" t="str">
            <v xml:space="preserve">Three months. Eighty per cent of average total earnings for a twelve months long period ending six months before birth up to a ceiling of ISK 370,000 per month. </v>
          </cell>
          <cell r="AA190" t="str">
            <v>Gross</v>
          </cell>
          <cell r="AB190" t="str">
            <v>Y</v>
          </cell>
          <cell r="AC190">
            <v>13</v>
          </cell>
          <cell r="AD190">
            <v>0.8</v>
          </cell>
          <cell r="AE190">
            <v>370000</v>
          </cell>
          <cell r="AF190" t="str">
            <v>month</v>
          </cell>
          <cell r="AG190">
            <v>153131</v>
          </cell>
          <cell r="AH190" t="str">
            <v>month</v>
          </cell>
          <cell r="AI190" t="str">
            <v>-</v>
          </cell>
          <cell r="AJ190" t="str">
            <v>-</v>
          </cell>
          <cell r="AK190" t="str">
            <v>-</v>
          </cell>
          <cell r="AL190" t="str">
            <v>-</v>
          </cell>
          <cell r="AM190" t="str">
            <v>-</v>
          </cell>
          <cell r="AN190" t="str">
            <v>-</v>
          </cell>
          <cell r="AO190" t="str">
            <v>-</v>
          </cell>
          <cell r="AP190" t="str">
            <v>-</v>
          </cell>
          <cell r="AQ190" t="str">
            <v>-</v>
          </cell>
          <cell r="AR190" t="str">
            <v>-</v>
          </cell>
          <cell r="AS190" t="str">
            <v>-</v>
          </cell>
          <cell r="AT190" t="str">
            <v>-</v>
          </cell>
          <cell r="AU190" t="str">
            <v>-</v>
          </cell>
          <cell r="AV190" t="str">
            <v>-</v>
          </cell>
          <cell r="AW190" t="str">
            <v>-</v>
          </cell>
          <cell r="AX190" t="str">
            <v>-</v>
          </cell>
          <cell r="AY190" t="str">
            <v>-</v>
          </cell>
          <cell r="AZ190" t="str">
            <v>-</v>
          </cell>
          <cell r="BA190" t="str">
            <v>-</v>
          </cell>
          <cell r="BB190" t="str">
            <v>-</v>
          </cell>
          <cell r="BC190" t="str">
            <v>-</v>
          </cell>
          <cell r="BD190" t="str">
            <v>-</v>
          </cell>
          <cell r="BE190" t="str">
            <v>-</v>
          </cell>
          <cell r="BF190" t="str">
            <v>-</v>
          </cell>
          <cell r="BG190" t="str">
            <v>-</v>
          </cell>
          <cell r="BH190" t="str">
            <v>-</v>
          </cell>
          <cell r="BI190" t="str">
            <v>-</v>
          </cell>
          <cell r="BJ190" t="str">
            <v>-</v>
          </cell>
          <cell r="BK190" t="str">
            <v>-</v>
          </cell>
          <cell r="BL190" t="str">
            <v>-</v>
          </cell>
          <cell r="BM190">
            <v>0.5354558610709117</v>
          </cell>
          <cell r="BN190">
            <v>0.22948133549339675</v>
          </cell>
          <cell r="BO190" t="str">
            <v>-</v>
          </cell>
          <cell r="BP190" t="str">
            <v>-</v>
          </cell>
          <cell r="BQ190">
            <v>4440000</v>
          </cell>
          <cell r="BR190">
            <v>370000</v>
          </cell>
          <cell r="BS190">
            <v>85385.272194401477</v>
          </cell>
          <cell r="BT190">
            <v>17077.054438880295</v>
          </cell>
        </row>
        <row r="191">
          <cell r="A191" t="str">
            <v>Iceland2017100 / 100</v>
          </cell>
          <cell r="B191" t="str">
            <v>Iceland</v>
          </cell>
          <cell r="C191">
            <v>2017</v>
          </cell>
          <cell r="D191" t="str">
            <v>100 / 100</v>
          </cell>
          <cell r="E191">
            <v>8484000</v>
          </cell>
          <cell r="F191">
            <v>707000</v>
          </cell>
          <cell r="G191">
            <v>163155.1011930861</v>
          </cell>
          <cell r="H191">
            <v>32631.02023861722</v>
          </cell>
          <cell r="I191">
            <v>8484000</v>
          </cell>
          <cell r="J191">
            <v>707000</v>
          </cell>
          <cell r="K191">
            <v>163155.1011930861</v>
          </cell>
          <cell r="L191">
            <v>32631.02023861722</v>
          </cell>
          <cell r="M191" t="str">
            <v>..</v>
          </cell>
          <cell r="N191" t="str">
            <v>..</v>
          </cell>
          <cell r="O191" t="str">
            <v>..</v>
          </cell>
          <cell r="P191" t="str">
            <v>..</v>
          </cell>
          <cell r="Q191" t="str">
            <v>..</v>
          </cell>
          <cell r="R191" t="str">
            <v>..</v>
          </cell>
          <cell r="S191" t="str">
            <v>..</v>
          </cell>
          <cell r="T191" t="str">
            <v>..</v>
          </cell>
          <cell r="U191" t="str">
            <v>..</v>
          </cell>
          <cell r="V191">
            <v>30.333300000000001</v>
          </cell>
          <cell r="W191">
            <v>13</v>
          </cell>
          <cell r="X191">
            <v>17.333300000000001</v>
          </cell>
          <cell r="Y191" t="str">
            <v>-</v>
          </cell>
          <cell r="Z191" t="str">
            <v xml:space="preserve">Three months. Eighty per cent of average total earnings for a twelve months long period ending six months before birth up to a ceiling of ISK 500000 per month. </v>
          </cell>
          <cell r="AA191" t="str">
            <v>Gross</v>
          </cell>
          <cell r="AB191" t="str">
            <v>Y</v>
          </cell>
          <cell r="AC191">
            <v>13</v>
          </cell>
          <cell r="AD191">
            <v>0.8</v>
          </cell>
          <cell r="AE191">
            <v>500000</v>
          </cell>
          <cell r="AF191" t="str">
            <v>month</v>
          </cell>
          <cell r="AG191">
            <v>164003</v>
          </cell>
          <cell r="AH191" t="str">
            <v>month</v>
          </cell>
          <cell r="AI191" t="str">
            <v>-</v>
          </cell>
          <cell r="AJ191" t="str">
            <v>-</v>
          </cell>
          <cell r="AK191" t="str">
            <v>-</v>
          </cell>
          <cell r="AL191" t="str">
            <v>-</v>
          </cell>
          <cell r="AM191" t="str">
            <v>-</v>
          </cell>
          <cell r="AN191" t="str">
            <v>-</v>
          </cell>
          <cell r="AO191" t="str">
            <v>-</v>
          </cell>
          <cell r="AP191" t="str">
            <v>-</v>
          </cell>
          <cell r="AQ191" t="str">
            <v>-</v>
          </cell>
          <cell r="AR191" t="str">
            <v>-</v>
          </cell>
          <cell r="AS191" t="str">
            <v>-</v>
          </cell>
          <cell r="AT191" t="str">
            <v>-</v>
          </cell>
          <cell r="AU191" t="str">
            <v>-</v>
          </cell>
          <cell r="AV191" t="str">
            <v>-</v>
          </cell>
          <cell r="AW191" t="str">
            <v>-</v>
          </cell>
          <cell r="AX191" t="str">
            <v>-</v>
          </cell>
          <cell r="AY191" t="str">
            <v>-</v>
          </cell>
          <cell r="AZ191" t="str">
            <v>-</v>
          </cell>
          <cell r="BA191" t="str">
            <v>-</v>
          </cell>
          <cell r="BB191" t="str">
            <v>-</v>
          </cell>
          <cell r="BC191" t="str">
            <v>-</v>
          </cell>
          <cell r="BD191" t="str">
            <v>-</v>
          </cell>
          <cell r="BE191" t="str">
            <v>-</v>
          </cell>
          <cell r="BF191" t="str">
            <v>-</v>
          </cell>
          <cell r="BG191" t="str">
            <v>-</v>
          </cell>
          <cell r="BH191" t="str">
            <v>-</v>
          </cell>
          <cell r="BI191" t="str">
            <v>-</v>
          </cell>
          <cell r="BJ191" t="str">
            <v>-</v>
          </cell>
          <cell r="BK191" t="str">
            <v>-</v>
          </cell>
          <cell r="BL191" t="str">
            <v>-</v>
          </cell>
          <cell r="BM191">
            <v>0.7072135785007071</v>
          </cell>
          <cell r="BN191">
            <v>0.30309186671114557</v>
          </cell>
          <cell r="BO191" t="str">
            <v>-</v>
          </cell>
          <cell r="BP191" t="str">
            <v>-</v>
          </cell>
          <cell r="BQ191">
            <v>5999999.9999999991</v>
          </cell>
          <cell r="BR191">
            <v>499999.99999999994</v>
          </cell>
          <cell r="BS191">
            <v>115385.5029654074</v>
          </cell>
          <cell r="BT191">
            <v>23077.100593081483</v>
          </cell>
        </row>
        <row r="192">
          <cell r="A192" t="str">
            <v>Iceland2018100 / 100</v>
          </cell>
          <cell r="B192" t="str">
            <v>Iceland</v>
          </cell>
          <cell r="C192">
            <v>2018</v>
          </cell>
          <cell r="D192" t="str">
            <v>100 / 100</v>
          </cell>
          <cell r="E192">
            <v>8712000</v>
          </cell>
          <cell r="F192">
            <v>726000</v>
          </cell>
          <cell r="G192">
            <v>167539.75030577157</v>
          </cell>
          <cell r="H192">
            <v>33507.950061154312</v>
          </cell>
          <cell r="I192">
            <v>8712000</v>
          </cell>
          <cell r="J192">
            <v>726000</v>
          </cell>
          <cell r="K192">
            <v>167539.75030577157</v>
          </cell>
          <cell r="L192">
            <v>33507.950061154312</v>
          </cell>
          <cell r="M192" t="str">
            <v>..</v>
          </cell>
          <cell r="N192" t="str">
            <v>..</v>
          </cell>
          <cell r="O192" t="str">
            <v>..</v>
          </cell>
          <cell r="P192" t="str">
            <v>..</v>
          </cell>
          <cell r="Q192" t="str">
            <v>..</v>
          </cell>
          <cell r="R192" t="str">
            <v>..</v>
          </cell>
          <cell r="S192" t="str">
            <v>..</v>
          </cell>
          <cell r="T192" t="str">
            <v>..</v>
          </cell>
          <cell r="U192" t="str">
            <v>..</v>
          </cell>
          <cell r="V192">
            <v>30.333300000000001</v>
          </cell>
          <cell r="W192">
            <v>13</v>
          </cell>
          <cell r="X192">
            <v>17.333300000000001</v>
          </cell>
          <cell r="Y192" t="str">
            <v>-</v>
          </cell>
          <cell r="Z192" t="str">
            <v xml:space="preserve">Three months. Eighty per cent of average total earnings for a twelve months long period ending six months before birth up to a ceiling of ISK 520000 per month. </v>
          </cell>
          <cell r="AA192" t="str">
            <v>Gross</v>
          </cell>
          <cell r="AB192" t="str">
            <v>Y</v>
          </cell>
          <cell r="AC192">
            <v>13</v>
          </cell>
          <cell r="AD192">
            <v>0.8</v>
          </cell>
          <cell r="AE192">
            <v>520000</v>
          </cell>
          <cell r="AF192" t="str">
            <v>month</v>
          </cell>
          <cell r="AG192">
            <v>171111</v>
          </cell>
          <cell r="AH192" t="str">
            <v>month</v>
          </cell>
          <cell r="AI192" t="str">
            <v>-</v>
          </cell>
          <cell r="AJ192" t="str">
            <v>-</v>
          </cell>
          <cell r="AK192" t="str">
            <v>-</v>
          </cell>
          <cell r="AL192" t="str">
            <v>-</v>
          </cell>
          <cell r="AM192" t="str">
            <v>-</v>
          </cell>
          <cell r="AN192" t="str">
            <v>-</v>
          </cell>
          <cell r="AO192" t="str">
            <v>-</v>
          </cell>
          <cell r="AP192" t="str">
            <v>-</v>
          </cell>
          <cell r="AQ192" t="str">
            <v>-</v>
          </cell>
          <cell r="AR192" t="str">
            <v>-</v>
          </cell>
          <cell r="AS192" t="str">
            <v>-</v>
          </cell>
          <cell r="AT192" t="str">
            <v>-</v>
          </cell>
          <cell r="AU192" t="str">
            <v>-</v>
          </cell>
          <cell r="AV192" t="str">
            <v>-</v>
          </cell>
          <cell r="AW192" t="str">
            <v>-</v>
          </cell>
          <cell r="AX192" t="str">
            <v>-</v>
          </cell>
          <cell r="AY192" t="str">
            <v>-</v>
          </cell>
          <cell r="AZ192" t="str">
            <v>-</v>
          </cell>
          <cell r="BA192" t="str">
            <v>-</v>
          </cell>
          <cell r="BB192" t="str">
            <v>-</v>
          </cell>
          <cell r="BC192" t="str">
            <v>-</v>
          </cell>
          <cell r="BD192" t="str">
            <v>-</v>
          </cell>
          <cell r="BE192" t="str">
            <v>-</v>
          </cell>
          <cell r="BF192" t="str">
            <v>-</v>
          </cell>
          <cell r="BG192" t="str">
            <v>-</v>
          </cell>
          <cell r="BH192" t="str">
            <v>-</v>
          </cell>
          <cell r="BI192" t="str">
            <v>-</v>
          </cell>
          <cell r="BJ192" t="str">
            <v>-</v>
          </cell>
          <cell r="BK192" t="str">
            <v>-</v>
          </cell>
          <cell r="BL192" t="str">
            <v>-</v>
          </cell>
          <cell r="BM192">
            <v>0.71625344352617071</v>
          </cell>
          <cell r="BN192">
            <v>0.30696609883659937</v>
          </cell>
          <cell r="BO192" t="str">
            <v>-</v>
          </cell>
          <cell r="BP192" t="str">
            <v>-</v>
          </cell>
          <cell r="BQ192">
            <v>6239999.9999999991</v>
          </cell>
          <cell r="BR192">
            <v>519999.99999999994</v>
          </cell>
          <cell r="BS192">
            <v>120000.9230840237</v>
          </cell>
          <cell r="BT192">
            <v>24000.184616804738</v>
          </cell>
        </row>
        <row r="193">
          <cell r="A193" t="str">
            <v>Iceland2019100 / 100</v>
          </cell>
          <cell r="B193" t="str">
            <v>Iceland</v>
          </cell>
          <cell r="C193">
            <v>2019</v>
          </cell>
          <cell r="D193" t="str">
            <v>100 / 100</v>
          </cell>
          <cell r="E193">
            <v>9048000</v>
          </cell>
          <cell r="F193">
            <v>754000</v>
          </cell>
          <cell r="G193">
            <v>174001.33847183437</v>
          </cell>
          <cell r="H193">
            <v>34800.267694366878</v>
          </cell>
          <cell r="I193">
            <v>9048000</v>
          </cell>
          <cell r="J193">
            <v>754000</v>
          </cell>
          <cell r="K193">
            <v>174001.33847183437</v>
          </cell>
          <cell r="L193">
            <v>34800.267694366878</v>
          </cell>
          <cell r="M193" t="str">
            <v>..</v>
          </cell>
          <cell r="N193" t="str">
            <v>..</v>
          </cell>
          <cell r="O193" t="str">
            <v>..</v>
          </cell>
          <cell r="P193" t="str">
            <v>..</v>
          </cell>
          <cell r="Q193" t="str">
            <v>..</v>
          </cell>
          <cell r="R193" t="str">
            <v>..</v>
          </cell>
          <cell r="S193" t="str">
            <v>..</v>
          </cell>
          <cell r="T193" t="str">
            <v>..</v>
          </cell>
          <cell r="U193" t="str">
            <v>..</v>
          </cell>
          <cell r="V193">
            <v>30.333300000000001</v>
          </cell>
          <cell r="W193">
            <v>13</v>
          </cell>
          <cell r="X193">
            <v>17.333300000000001</v>
          </cell>
          <cell r="Y193" t="str">
            <v>-</v>
          </cell>
          <cell r="Z193" t="str">
            <v>Three months. Eighty per cent of average total earnings for a twelve months long period ending six months before birth up to a ceiling of ISK600,000 per month. The minimum payment for a mother working 50-100 per cent of full time-hours is ISK 177,893</v>
          </cell>
          <cell r="AA193" t="str">
            <v>Gross</v>
          </cell>
          <cell r="AB193" t="str">
            <v>Y</v>
          </cell>
          <cell r="AC193">
            <v>13</v>
          </cell>
          <cell r="AD193">
            <v>0.8</v>
          </cell>
          <cell r="AE193">
            <v>600000</v>
          </cell>
          <cell r="AF193" t="str">
            <v>month</v>
          </cell>
          <cell r="AG193">
            <v>177893</v>
          </cell>
          <cell r="AH193" t="str">
            <v>month</v>
          </cell>
          <cell r="AI193" t="str">
            <v>-</v>
          </cell>
          <cell r="AJ193" t="str">
            <v>-</v>
          </cell>
          <cell r="AK193" t="str">
            <v>-</v>
          </cell>
          <cell r="AL193" t="str">
            <v>-</v>
          </cell>
          <cell r="AM193" t="str">
            <v>-</v>
          </cell>
          <cell r="AN193" t="str">
            <v>-</v>
          </cell>
          <cell r="AO193" t="str">
            <v>-</v>
          </cell>
          <cell r="AP193" t="str">
            <v>-</v>
          </cell>
          <cell r="AQ193" t="str">
            <v>-</v>
          </cell>
          <cell r="AR193" t="str">
            <v>-</v>
          </cell>
          <cell r="AS193" t="str">
            <v>-</v>
          </cell>
          <cell r="AT193" t="str">
            <v>-</v>
          </cell>
          <cell r="AU193" t="str">
            <v>-</v>
          </cell>
          <cell r="AV193" t="str">
            <v>-</v>
          </cell>
          <cell r="AW193" t="str">
            <v>-</v>
          </cell>
          <cell r="AX193" t="str">
            <v>-</v>
          </cell>
          <cell r="AY193" t="str">
            <v>-</v>
          </cell>
          <cell r="AZ193" t="str">
            <v>-</v>
          </cell>
          <cell r="BA193" t="str">
            <v>-</v>
          </cell>
          <cell r="BB193" t="str">
            <v>-</v>
          </cell>
          <cell r="BC193" t="str">
            <v>-</v>
          </cell>
          <cell r="BD193" t="str">
            <v>-</v>
          </cell>
          <cell r="BE193" t="str">
            <v>-</v>
          </cell>
          <cell r="BF193" t="str">
            <v>-</v>
          </cell>
          <cell r="BG193" t="str">
            <v>-</v>
          </cell>
          <cell r="BH193" t="str">
            <v>-</v>
          </cell>
          <cell r="BI193" t="str">
            <v>-</v>
          </cell>
          <cell r="BJ193" t="str">
            <v>-</v>
          </cell>
          <cell r="BK193" t="str">
            <v>-</v>
          </cell>
          <cell r="BL193" t="str">
            <v>-</v>
          </cell>
          <cell r="BM193">
            <v>0.79575596816976124</v>
          </cell>
          <cell r="BN193">
            <v>0.34103864684049862</v>
          </cell>
          <cell r="BO193" t="str">
            <v>-</v>
          </cell>
          <cell r="BP193" t="str">
            <v>-</v>
          </cell>
          <cell r="BQ193">
            <v>7200000</v>
          </cell>
          <cell r="BR193">
            <v>600000</v>
          </cell>
          <cell r="BS193">
            <v>138462.60355848889</v>
          </cell>
          <cell r="BT193">
            <v>27692.52071169778</v>
          </cell>
        </row>
        <row r="194">
          <cell r="A194" t="str">
            <v>Iceland2020100 / 100</v>
          </cell>
          <cell r="B194" t="str">
            <v>Iceland</v>
          </cell>
          <cell r="C194">
            <v>2020</v>
          </cell>
          <cell r="D194" t="str">
            <v>100 / 100</v>
          </cell>
          <cell r="E194">
            <v>9516000</v>
          </cell>
          <cell r="F194">
            <v>793000</v>
          </cell>
          <cell r="G194">
            <v>183001.40770313615</v>
          </cell>
          <cell r="H194">
            <v>36600.281540627228</v>
          </cell>
          <cell r="I194">
            <v>9516000</v>
          </cell>
          <cell r="J194">
            <v>793000</v>
          </cell>
          <cell r="K194">
            <v>183001.40770313615</v>
          </cell>
          <cell r="L194">
            <v>36600.281540627228</v>
          </cell>
          <cell r="M194" t="str">
            <v>..</v>
          </cell>
          <cell r="N194" t="str">
            <v>..</v>
          </cell>
          <cell r="O194" t="str">
            <v>..</v>
          </cell>
          <cell r="P194" t="str">
            <v>..</v>
          </cell>
          <cell r="Q194" t="str">
            <v>..</v>
          </cell>
          <cell r="R194" t="str">
            <v>..</v>
          </cell>
          <cell r="S194" t="str">
            <v>..</v>
          </cell>
          <cell r="T194" t="str">
            <v>..</v>
          </cell>
          <cell r="U194" t="str">
            <v>..</v>
          </cell>
          <cell r="V194">
            <v>34.6633</v>
          </cell>
          <cell r="W194">
            <v>17.329999999999998</v>
          </cell>
          <cell r="X194">
            <v>17.333300000000001</v>
          </cell>
          <cell r="Y194" t="str">
            <v>-</v>
          </cell>
          <cell r="Z194" t="str">
            <v>Four months. Eighty per cent of average total earnings for a twelve months long period ending six months before birth up to a ceiling of ISK600,000 per month. The minimum payment for a mother working 50-100 per cent of full time-hours is ISK 184,119</v>
          </cell>
          <cell r="AA194" t="str">
            <v>Gross</v>
          </cell>
          <cell r="AB194" t="str">
            <v>Y</v>
          </cell>
          <cell r="AC194">
            <v>17.329999999999998</v>
          </cell>
          <cell r="AD194">
            <v>0.8</v>
          </cell>
          <cell r="AE194">
            <v>600000</v>
          </cell>
          <cell r="AF194" t="str">
            <v>month</v>
          </cell>
          <cell r="AG194">
            <v>184119</v>
          </cell>
          <cell r="AH194" t="str">
            <v>month</v>
          </cell>
          <cell r="AI194" t="str">
            <v>-</v>
          </cell>
          <cell r="AJ194" t="str">
            <v>-</v>
          </cell>
          <cell r="AK194" t="str">
            <v>-</v>
          </cell>
          <cell r="AL194" t="str">
            <v>-</v>
          </cell>
          <cell r="AM194" t="str">
            <v>-</v>
          </cell>
          <cell r="AN194" t="str">
            <v>-</v>
          </cell>
          <cell r="AO194" t="str">
            <v>-</v>
          </cell>
          <cell r="AP194" t="str">
            <v>-</v>
          </cell>
          <cell r="AQ194" t="str">
            <v>-</v>
          </cell>
          <cell r="AR194" t="str">
            <v>-</v>
          </cell>
          <cell r="AS194" t="str">
            <v>-</v>
          </cell>
          <cell r="AT194" t="str">
            <v>-</v>
          </cell>
          <cell r="AU194" t="str">
            <v>-</v>
          </cell>
          <cell r="AV194" t="str">
            <v>-</v>
          </cell>
          <cell r="AW194" t="str">
            <v>-</v>
          </cell>
          <cell r="AX194" t="str">
            <v>-</v>
          </cell>
          <cell r="AY194" t="str">
            <v>-</v>
          </cell>
          <cell r="AZ194" t="str">
            <v>-</v>
          </cell>
          <cell r="BA194" t="str">
            <v>-</v>
          </cell>
          <cell r="BB194" t="str">
            <v>-</v>
          </cell>
          <cell r="BC194" t="str">
            <v>-</v>
          </cell>
          <cell r="BD194" t="str">
            <v>-</v>
          </cell>
          <cell r="BE194" t="str">
            <v>-</v>
          </cell>
          <cell r="BF194" t="str">
            <v>-</v>
          </cell>
          <cell r="BG194" t="str">
            <v>-</v>
          </cell>
          <cell r="BH194" t="str">
            <v>-</v>
          </cell>
          <cell r="BI194" t="str">
            <v>-</v>
          </cell>
          <cell r="BJ194" t="str">
            <v>-</v>
          </cell>
          <cell r="BK194" t="str">
            <v>-</v>
          </cell>
          <cell r="BL194" t="str">
            <v>-</v>
          </cell>
          <cell r="BM194">
            <v>0.75662042875157631</v>
          </cell>
          <cell r="BN194">
            <v>0.37827419865577766</v>
          </cell>
          <cell r="BO194" t="str">
            <v>-</v>
          </cell>
          <cell r="BP194" t="str">
            <v>-</v>
          </cell>
          <cell r="BQ194">
            <v>7200000</v>
          </cell>
          <cell r="BR194">
            <v>600000</v>
          </cell>
          <cell r="BS194">
            <v>138462.60355848889</v>
          </cell>
          <cell r="BT194">
            <v>27692.520711697776</v>
          </cell>
        </row>
        <row r="195">
          <cell r="A195" t="str">
            <v>Iceland2021100 / 100</v>
          </cell>
          <cell r="B195" t="str">
            <v>Iceland</v>
          </cell>
          <cell r="C195">
            <v>2021</v>
          </cell>
          <cell r="D195" t="str">
            <v>100 / 100</v>
          </cell>
          <cell r="E195">
            <v>9852000</v>
          </cell>
          <cell r="F195">
            <v>821000</v>
          </cell>
          <cell r="G195">
            <v>189462.99586919899</v>
          </cell>
          <cell r="H195">
            <v>37892.599173839801</v>
          </cell>
          <cell r="I195">
            <v>9852000</v>
          </cell>
          <cell r="J195">
            <v>821000</v>
          </cell>
          <cell r="K195">
            <v>189462.99586919899</v>
          </cell>
          <cell r="L195">
            <v>37892.599173839801</v>
          </cell>
          <cell r="M195" t="str">
            <v>..</v>
          </cell>
          <cell r="N195" t="str">
            <v>..</v>
          </cell>
          <cell r="O195" t="str">
            <v>..</v>
          </cell>
          <cell r="P195" t="str">
            <v>..</v>
          </cell>
          <cell r="Q195" t="str">
            <v>..</v>
          </cell>
          <cell r="R195" t="str">
            <v>..</v>
          </cell>
          <cell r="S195" t="str">
            <v>..</v>
          </cell>
          <cell r="T195" t="str">
            <v>..</v>
          </cell>
          <cell r="U195" t="str">
            <v>..</v>
          </cell>
          <cell r="V195">
            <v>37.333300000000001</v>
          </cell>
          <cell r="W195">
            <v>20</v>
          </cell>
          <cell r="X195">
            <v>17.333300000000001</v>
          </cell>
          <cell r="Y195" t="str">
            <v>-</v>
          </cell>
          <cell r="Z195" t="str">
            <v xml:space="preserve">20 weeks. Six motnhs entitlement, but 6 weeks can be transferred to the mother. Eighty per cent of average total earnings for a twelve months long period ending six months before birth up to a ceiling of ISK600,000 per month. The minimum payment for a mother working 50-100 per cent of full time-hours is ISK 190,747. </v>
          </cell>
          <cell r="AA195" t="str">
            <v>Gross</v>
          </cell>
          <cell r="AB195" t="str">
            <v>Y</v>
          </cell>
          <cell r="AC195">
            <v>20</v>
          </cell>
          <cell r="AD195">
            <v>0.8</v>
          </cell>
          <cell r="AE195">
            <v>600000</v>
          </cell>
          <cell r="AF195" t="str">
            <v>month</v>
          </cell>
          <cell r="AG195">
            <v>190747</v>
          </cell>
          <cell r="AH195" t="str">
            <v>month</v>
          </cell>
          <cell r="AI195" t="str">
            <v>-</v>
          </cell>
          <cell r="AJ195" t="str">
            <v>-</v>
          </cell>
          <cell r="AK195" t="str">
            <v>-</v>
          </cell>
          <cell r="AL195" t="str">
            <v>-</v>
          </cell>
          <cell r="AM195" t="str">
            <v>-</v>
          </cell>
          <cell r="AN195" t="str">
            <v>-</v>
          </cell>
          <cell r="AO195" t="str">
            <v>-</v>
          </cell>
          <cell r="AP195" t="str">
            <v>-</v>
          </cell>
          <cell r="AQ195" t="str">
            <v>-</v>
          </cell>
          <cell r="AR195" t="str">
            <v>-</v>
          </cell>
          <cell r="AS195" t="str">
            <v>-</v>
          </cell>
          <cell r="AT195" t="str">
            <v>-</v>
          </cell>
          <cell r="AU195" t="str">
            <v>-</v>
          </cell>
          <cell r="AV195" t="str">
            <v>-</v>
          </cell>
          <cell r="AW195" t="str">
            <v>-</v>
          </cell>
          <cell r="AX195" t="str">
            <v>-</v>
          </cell>
          <cell r="AY195" t="str">
            <v>-</v>
          </cell>
          <cell r="AZ195" t="str">
            <v>-</v>
          </cell>
          <cell r="BA195" t="str">
            <v>-</v>
          </cell>
          <cell r="BB195" t="str">
            <v>-</v>
          </cell>
          <cell r="BC195" t="str">
            <v>-</v>
          </cell>
          <cell r="BD195" t="str">
            <v>-</v>
          </cell>
          <cell r="BE195" t="str">
            <v>-</v>
          </cell>
          <cell r="BF195" t="str">
            <v>-</v>
          </cell>
          <cell r="BG195" t="str">
            <v>-</v>
          </cell>
          <cell r="BH195" t="str">
            <v>-</v>
          </cell>
          <cell r="BI195" t="str">
            <v>-</v>
          </cell>
          <cell r="BJ195" t="str">
            <v>-</v>
          </cell>
          <cell r="BK195" t="str">
            <v>-</v>
          </cell>
          <cell r="BL195" t="str">
            <v>-</v>
          </cell>
          <cell r="BM195">
            <v>0.73081607795371495</v>
          </cell>
          <cell r="BN195">
            <v>0.391508962751064</v>
          </cell>
          <cell r="BO195" t="str">
            <v>-</v>
          </cell>
          <cell r="BP195" t="str">
            <v>-</v>
          </cell>
          <cell r="BQ195">
            <v>7200000</v>
          </cell>
          <cell r="BR195">
            <v>600000</v>
          </cell>
          <cell r="BS195">
            <v>138462.60355848889</v>
          </cell>
          <cell r="BT195">
            <v>27692.520711697784</v>
          </cell>
        </row>
        <row r="196">
          <cell r="A196" t="str">
            <v>Iceland2022100 / 100</v>
          </cell>
          <cell r="B196" t="str">
            <v>Iceland</v>
          </cell>
          <cell r="C196">
            <v>2022</v>
          </cell>
          <cell r="D196" t="str">
            <v>100 / 100</v>
          </cell>
          <cell r="E196">
            <v>10452000</v>
          </cell>
          <cell r="F196">
            <v>871000</v>
          </cell>
          <cell r="G196">
            <v>201001.54616573971</v>
          </cell>
          <cell r="H196">
            <v>40200.309233147942</v>
          </cell>
          <cell r="I196">
            <v>10452000</v>
          </cell>
          <cell r="J196">
            <v>871000</v>
          </cell>
          <cell r="K196">
            <v>201001.54616573971</v>
          </cell>
          <cell r="L196">
            <v>40200.309233147942</v>
          </cell>
          <cell r="M196" t="str">
            <v>..</v>
          </cell>
          <cell r="N196" t="str">
            <v>..</v>
          </cell>
          <cell r="O196" t="str">
            <v>..</v>
          </cell>
          <cell r="P196" t="str">
            <v>..</v>
          </cell>
          <cell r="Q196" t="str">
            <v>..</v>
          </cell>
          <cell r="R196" t="str">
            <v>..</v>
          </cell>
          <cell r="S196" t="str">
            <v>..</v>
          </cell>
          <cell r="T196" t="str">
            <v>..</v>
          </cell>
          <cell r="U196" t="str">
            <v>..</v>
          </cell>
          <cell r="V196">
            <v>37.333300000000001</v>
          </cell>
          <cell r="W196">
            <v>20</v>
          </cell>
          <cell r="X196">
            <v>17.333300000000001</v>
          </cell>
          <cell r="Y196" t="str">
            <v>-</v>
          </cell>
          <cell r="Z196" t="str">
            <v xml:space="preserve">20 weeks. Six months entitlement, but 6 weeks can be transferred to the mother. Eighty per cent of average total earnings for a twelve months long period ending six months before birth up to a ceiling of ISK600,000 per month. The minimum payment for a mother working 50-100 per cent of full time-hours is ISK 190,747. 4 months unpaid childcare leave </v>
          </cell>
          <cell r="AA196" t="str">
            <v>Gross</v>
          </cell>
          <cell r="AB196" t="str">
            <v>Y</v>
          </cell>
          <cell r="AC196">
            <v>20</v>
          </cell>
          <cell r="AD196">
            <v>0.8</v>
          </cell>
          <cell r="AE196">
            <v>600000</v>
          </cell>
          <cell r="AF196" t="str">
            <v>month</v>
          </cell>
          <cell r="AG196">
            <v>199522</v>
          </cell>
          <cell r="AH196" t="str">
            <v>month</v>
          </cell>
          <cell r="AI196" t="str">
            <v>-</v>
          </cell>
          <cell r="AJ196" t="str">
            <v>-</v>
          </cell>
          <cell r="AK196" t="str">
            <v>-</v>
          </cell>
          <cell r="AL196" t="str">
            <v>-</v>
          </cell>
          <cell r="AM196" t="str">
            <v>-</v>
          </cell>
          <cell r="AN196" t="str">
            <v>-</v>
          </cell>
          <cell r="AO196" t="str">
            <v>-</v>
          </cell>
          <cell r="AP196" t="str">
            <v>-</v>
          </cell>
          <cell r="AQ196" t="str">
            <v>-</v>
          </cell>
          <cell r="AR196" t="str">
            <v>-</v>
          </cell>
          <cell r="AS196" t="str">
            <v>-</v>
          </cell>
          <cell r="AT196" t="str">
            <v>-</v>
          </cell>
          <cell r="AU196" t="str">
            <v>-</v>
          </cell>
          <cell r="AV196" t="str">
            <v>-</v>
          </cell>
          <cell r="AW196" t="str">
            <v>-</v>
          </cell>
          <cell r="AX196" t="str">
            <v>-</v>
          </cell>
          <cell r="AY196" t="str">
            <v>-</v>
          </cell>
          <cell r="AZ196" t="str">
            <v>-</v>
          </cell>
          <cell r="BA196" t="str">
            <v>-</v>
          </cell>
          <cell r="BB196" t="str">
            <v>-</v>
          </cell>
          <cell r="BC196" t="str">
            <v>-</v>
          </cell>
          <cell r="BD196" t="str">
            <v>-</v>
          </cell>
          <cell r="BE196" t="str">
            <v>-</v>
          </cell>
          <cell r="BF196" t="str">
            <v>-</v>
          </cell>
          <cell r="BG196" t="str">
            <v>-</v>
          </cell>
          <cell r="BH196" t="str">
            <v>-</v>
          </cell>
          <cell r="BI196" t="str">
            <v>-</v>
          </cell>
          <cell r="BJ196" t="str">
            <v>-</v>
          </cell>
          <cell r="BK196" t="str">
            <v>-</v>
          </cell>
          <cell r="BL196" t="str">
            <v>-</v>
          </cell>
          <cell r="BM196">
            <v>0.68886337543053966</v>
          </cell>
          <cell r="BN196">
            <v>0.36903428061839677</v>
          </cell>
          <cell r="BO196" t="str">
            <v>-</v>
          </cell>
          <cell r="BP196" t="str">
            <v>-</v>
          </cell>
          <cell r="BQ196">
            <v>7200000.0000000009</v>
          </cell>
          <cell r="BR196">
            <v>600000</v>
          </cell>
          <cell r="BS196">
            <v>138462.60355848892</v>
          </cell>
          <cell r="BT196">
            <v>27692.52071169778</v>
          </cell>
        </row>
        <row r="197">
          <cell r="A197" t="str">
            <v>Iceland2023100 / 100</v>
          </cell>
          <cell r="B197" t="str">
            <v>Iceland</v>
          </cell>
          <cell r="C197">
            <v>2023</v>
          </cell>
          <cell r="D197" t="str">
            <v>100 / 100</v>
          </cell>
          <cell r="E197">
            <v>10452000</v>
          </cell>
          <cell r="F197">
            <v>871000</v>
          </cell>
          <cell r="G197">
            <v>201001.54616573971</v>
          </cell>
          <cell r="H197">
            <v>40200.309233147942</v>
          </cell>
          <cell r="I197">
            <v>10452000</v>
          </cell>
          <cell r="J197">
            <v>871000</v>
          </cell>
          <cell r="K197">
            <v>201001.54616573971</v>
          </cell>
          <cell r="L197">
            <v>40200.309233147942</v>
          </cell>
          <cell r="M197" t="str">
            <v>..</v>
          </cell>
          <cell r="N197" t="str">
            <v>..</v>
          </cell>
          <cell r="O197" t="str">
            <v>..</v>
          </cell>
          <cell r="P197" t="str">
            <v>..</v>
          </cell>
          <cell r="Q197" t="str">
            <v>..</v>
          </cell>
          <cell r="R197" t="str">
            <v>..</v>
          </cell>
          <cell r="S197" t="str">
            <v>..</v>
          </cell>
          <cell r="T197" t="str">
            <v>..</v>
          </cell>
          <cell r="U197" t="str">
            <v>..</v>
          </cell>
          <cell r="V197">
            <v>37.333300000000001</v>
          </cell>
          <cell r="W197">
            <v>20</v>
          </cell>
          <cell r="X197">
            <v>17.333300000000001</v>
          </cell>
          <cell r="Y197" t="str">
            <v>-</v>
          </cell>
          <cell r="Z197" t="str">
            <v xml:space="preserve">20 weeks. Six months entitlement, but 6 weeks can be transferred to the mother. Eighty per cent of average total earnings for a twelve months long period ending six months before birth up to a ceiling of ISK600,000 per month. The minimum payment for a mother working 50-100 per cent of full time-hours is ISK 190,747. 4 months unpaid childcare leave </v>
          </cell>
          <cell r="AA197" t="str">
            <v>Gross</v>
          </cell>
          <cell r="AB197" t="str">
            <v>Y</v>
          </cell>
          <cell r="AC197">
            <v>20</v>
          </cell>
          <cell r="AD197">
            <v>0.8</v>
          </cell>
          <cell r="AE197">
            <v>600000</v>
          </cell>
          <cell r="AF197" t="str">
            <v>month</v>
          </cell>
          <cell r="AG197">
            <v>199522</v>
          </cell>
          <cell r="AH197" t="str">
            <v>month</v>
          </cell>
          <cell r="AI197" t="str">
            <v>-</v>
          </cell>
          <cell r="AJ197" t="str">
            <v>-</v>
          </cell>
          <cell r="AK197" t="str">
            <v>-</v>
          </cell>
          <cell r="AL197" t="str">
            <v>-</v>
          </cell>
          <cell r="AM197" t="str">
            <v>-</v>
          </cell>
          <cell r="AN197" t="str">
            <v>-</v>
          </cell>
          <cell r="AO197" t="str">
            <v>-</v>
          </cell>
          <cell r="AP197" t="str">
            <v>-</v>
          </cell>
          <cell r="AQ197" t="str">
            <v>-</v>
          </cell>
          <cell r="AR197" t="str">
            <v>-</v>
          </cell>
          <cell r="AS197" t="str">
            <v>-</v>
          </cell>
          <cell r="AT197" t="str">
            <v>-</v>
          </cell>
          <cell r="AU197" t="str">
            <v>-</v>
          </cell>
          <cell r="AV197" t="str">
            <v>-</v>
          </cell>
          <cell r="AW197" t="str">
            <v>-</v>
          </cell>
          <cell r="AX197" t="str">
            <v>-</v>
          </cell>
          <cell r="AY197" t="str">
            <v>-</v>
          </cell>
          <cell r="AZ197" t="str">
            <v>-</v>
          </cell>
          <cell r="BA197" t="str">
            <v>-</v>
          </cell>
          <cell r="BB197" t="str">
            <v>-</v>
          </cell>
          <cell r="BC197" t="str">
            <v>-</v>
          </cell>
          <cell r="BD197" t="str">
            <v>-</v>
          </cell>
          <cell r="BE197" t="str">
            <v>-</v>
          </cell>
          <cell r="BF197" t="str">
            <v>-</v>
          </cell>
          <cell r="BG197" t="str">
            <v>-</v>
          </cell>
          <cell r="BH197" t="str">
            <v>-</v>
          </cell>
          <cell r="BI197" t="str">
            <v>-</v>
          </cell>
          <cell r="BJ197" t="str">
            <v>-</v>
          </cell>
          <cell r="BK197" t="str">
            <v>-</v>
          </cell>
          <cell r="BL197" t="str">
            <v>-</v>
          </cell>
          <cell r="BM197">
            <v>0.68886337543053966</v>
          </cell>
          <cell r="BN197">
            <v>0.36903428061839677</v>
          </cell>
          <cell r="BO197" t="str">
            <v>-</v>
          </cell>
          <cell r="BP197" t="str">
            <v>-</v>
          </cell>
          <cell r="BQ197">
            <v>7200000.0000000009</v>
          </cell>
          <cell r="BR197">
            <v>600000</v>
          </cell>
          <cell r="BS197">
            <v>138462.60355848892</v>
          </cell>
          <cell r="BT197">
            <v>27692.52071169778</v>
          </cell>
        </row>
        <row r="198">
          <cell r="A198" t="str">
            <v>Iceland2024100 / 100</v>
          </cell>
          <cell r="B198" t="str">
            <v>Iceland</v>
          </cell>
          <cell r="C198">
            <v>2024</v>
          </cell>
          <cell r="D198" t="str">
            <v>100 / 100</v>
          </cell>
          <cell r="E198">
            <v>10452000</v>
          </cell>
          <cell r="F198">
            <v>871000</v>
          </cell>
          <cell r="G198">
            <v>201001.54616573971</v>
          </cell>
          <cell r="H198">
            <v>40200.309233147942</v>
          </cell>
          <cell r="I198">
            <v>10452000</v>
          </cell>
          <cell r="J198">
            <v>871000</v>
          </cell>
          <cell r="K198">
            <v>201001.54616573971</v>
          </cell>
          <cell r="L198">
            <v>40200.309233147942</v>
          </cell>
          <cell r="M198" t="str">
            <v>..</v>
          </cell>
          <cell r="N198" t="str">
            <v>..</v>
          </cell>
          <cell r="O198" t="str">
            <v>..</v>
          </cell>
          <cell r="P198" t="str">
            <v>..</v>
          </cell>
          <cell r="Q198" t="str">
            <v>..</v>
          </cell>
          <cell r="R198" t="str">
            <v>..</v>
          </cell>
          <cell r="S198" t="str">
            <v>..</v>
          </cell>
          <cell r="T198" t="str">
            <v>..</v>
          </cell>
          <cell r="U198" t="str">
            <v>..</v>
          </cell>
          <cell r="V198">
            <v>37.333300000000001</v>
          </cell>
          <cell r="W198">
            <v>20</v>
          </cell>
          <cell r="X198">
            <v>17.333300000000001</v>
          </cell>
          <cell r="Y198" t="str">
            <v>-</v>
          </cell>
          <cell r="Z198" t="str">
            <v xml:space="preserve">20 weeks. Six months entitlement, but 6 weeks can be transferred to the mother. Eighty per cent of average total earnings for a twelve months long period ending six months before birth up to a ceiling of ISK600,000 per month. The minimum payment for a mother working 50-100 per cent of full time-hours is ISK 222,594. 4 months unpaid childcare leave </v>
          </cell>
          <cell r="AA198" t="str">
            <v>Gross</v>
          </cell>
          <cell r="AB198" t="str">
            <v>Y</v>
          </cell>
          <cell r="AC198">
            <v>20</v>
          </cell>
          <cell r="AD198">
            <v>0.8</v>
          </cell>
          <cell r="AE198">
            <v>600000</v>
          </cell>
          <cell r="AF198" t="str">
            <v>month</v>
          </cell>
          <cell r="AG198">
            <v>222494</v>
          </cell>
          <cell r="AH198" t="str">
            <v>month</v>
          </cell>
          <cell r="AI198" t="str">
            <v>-</v>
          </cell>
          <cell r="AJ198" t="str">
            <v>-</v>
          </cell>
          <cell r="AK198" t="str">
            <v>-</v>
          </cell>
          <cell r="AL198" t="str">
            <v>-</v>
          </cell>
          <cell r="AM198" t="str">
            <v>-</v>
          </cell>
          <cell r="AN198" t="str">
            <v>-</v>
          </cell>
          <cell r="AO198" t="str">
            <v>-</v>
          </cell>
          <cell r="AP198" t="str">
            <v>-</v>
          </cell>
          <cell r="AQ198" t="str">
            <v>-</v>
          </cell>
          <cell r="AR198" t="str">
            <v>-</v>
          </cell>
          <cell r="AS198" t="str">
            <v>-</v>
          </cell>
          <cell r="AT198" t="str">
            <v>-</v>
          </cell>
          <cell r="AU198" t="str">
            <v>-</v>
          </cell>
          <cell r="AV198" t="str">
            <v>-</v>
          </cell>
          <cell r="AW198" t="str">
            <v>-</v>
          </cell>
          <cell r="AX198" t="str">
            <v>-</v>
          </cell>
          <cell r="AY198" t="str">
            <v>-</v>
          </cell>
          <cell r="AZ198" t="str">
            <v>-</v>
          </cell>
          <cell r="BA198" t="str">
            <v>-</v>
          </cell>
          <cell r="BB198" t="str">
            <v>-</v>
          </cell>
          <cell r="BC198" t="str">
            <v>-</v>
          </cell>
          <cell r="BD198" t="str">
            <v>-</v>
          </cell>
          <cell r="BE198" t="str">
            <v>-</v>
          </cell>
          <cell r="BF198" t="str">
            <v>-</v>
          </cell>
          <cell r="BG198" t="str">
            <v>-</v>
          </cell>
          <cell r="BH198" t="str">
            <v>-</v>
          </cell>
          <cell r="BI198" t="str">
            <v>-</v>
          </cell>
          <cell r="BJ198" t="str">
            <v>-</v>
          </cell>
          <cell r="BK198" t="str">
            <v>-</v>
          </cell>
          <cell r="BL198" t="str">
            <v>-</v>
          </cell>
          <cell r="BM198">
            <v>0.68886337543053966</v>
          </cell>
          <cell r="BN198">
            <v>0.36903428061839677</v>
          </cell>
          <cell r="BO198" t="str">
            <v>-</v>
          </cell>
          <cell r="BP198" t="str">
            <v>-</v>
          </cell>
          <cell r="BQ198">
            <v>7200000.0000000009</v>
          </cell>
          <cell r="BR198">
            <v>600000</v>
          </cell>
          <cell r="BS198">
            <v>138462.60355848892</v>
          </cell>
          <cell r="BT198">
            <v>27692.52071169778</v>
          </cell>
        </row>
        <row r="199">
          <cell r="A199" t="str">
            <v>Iceland2025100 / 100</v>
          </cell>
          <cell r="B199" t="str">
            <v>Iceland</v>
          </cell>
          <cell r="C199">
            <v>2025</v>
          </cell>
          <cell r="D199" t="str">
            <v>100 / 100</v>
          </cell>
          <cell r="E199">
            <v>10452000</v>
          </cell>
          <cell r="F199">
            <v>871000</v>
          </cell>
          <cell r="G199">
            <v>201001.54616573971</v>
          </cell>
          <cell r="H199">
            <v>40200.309233147942</v>
          </cell>
          <cell r="I199">
            <v>10452000</v>
          </cell>
          <cell r="J199">
            <v>871000</v>
          </cell>
          <cell r="K199">
            <v>201001.54616573971</v>
          </cell>
          <cell r="L199">
            <v>40200.309233147942</v>
          </cell>
          <cell r="M199" t="str">
            <v>..</v>
          </cell>
          <cell r="N199" t="str">
            <v>..</v>
          </cell>
          <cell r="O199" t="str">
            <v>..</v>
          </cell>
          <cell r="P199" t="str">
            <v>..</v>
          </cell>
          <cell r="Q199" t="str">
            <v>..</v>
          </cell>
          <cell r="R199" t="str">
            <v>..</v>
          </cell>
          <cell r="S199" t="str">
            <v>..</v>
          </cell>
          <cell r="T199" t="str">
            <v>..</v>
          </cell>
          <cell r="U199" t="str">
            <v>..</v>
          </cell>
          <cell r="V199">
            <v>37.333300000000001</v>
          </cell>
          <cell r="W199">
            <v>20</v>
          </cell>
          <cell r="X199">
            <v>17.333300000000001</v>
          </cell>
          <cell r="Y199" t="str">
            <v>-</v>
          </cell>
          <cell r="Z199" t="str">
            <v xml:space="preserve">20 weeks. Six months entitlement, but 6 weeks can be transferred to the mother. Eighty per cent of average total earnings for a twelve months long period ending six months before birth up to a ceiling of up to a ceiling of ISK 800000 per month. The  minimum payment for a mother working 50-100 per cent of full time-hours is ISK 232,061. 4 months of unpaid childcare leave. </v>
          </cell>
          <cell r="AA199" t="str">
            <v>Gross</v>
          </cell>
          <cell r="AB199" t="str">
            <v>Y</v>
          </cell>
          <cell r="AC199">
            <v>20</v>
          </cell>
          <cell r="AD199">
            <v>0.8</v>
          </cell>
          <cell r="AE199">
            <v>800000</v>
          </cell>
          <cell r="AF199" t="str">
            <v>month</v>
          </cell>
          <cell r="AG199">
            <v>232061</v>
          </cell>
          <cell r="AH199" t="str">
            <v>month</v>
          </cell>
          <cell r="AI199" t="str">
            <v>-</v>
          </cell>
          <cell r="AJ199" t="str">
            <v>-</v>
          </cell>
          <cell r="AK199" t="str">
            <v>-</v>
          </cell>
          <cell r="AL199" t="str">
            <v>-</v>
          </cell>
          <cell r="AM199" t="str">
            <v>-</v>
          </cell>
          <cell r="AN199" t="str">
            <v>-</v>
          </cell>
          <cell r="AO199" t="str">
            <v>-</v>
          </cell>
          <cell r="AP199" t="str">
            <v>-</v>
          </cell>
          <cell r="AQ199" t="str">
            <v>-</v>
          </cell>
          <cell r="AR199" t="str">
            <v>-</v>
          </cell>
          <cell r="AS199" t="str">
            <v>-</v>
          </cell>
          <cell r="AT199" t="str">
            <v>-</v>
          </cell>
          <cell r="AU199" t="str">
            <v>-</v>
          </cell>
          <cell r="AV199" t="str">
            <v>-</v>
          </cell>
          <cell r="AW199" t="str">
            <v>-</v>
          </cell>
          <cell r="AX199" t="str">
            <v>-</v>
          </cell>
          <cell r="AY199" t="str">
            <v>-</v>
          </cell>
          <cell r="AZ199" t="str">
            <v>-</v>
          </cell>
          <cell r="BA199" t="str">
            <v>-</v>
          </cell>
          <cell r="BB199" t="str">
            <v>-</v>
          </cell>
          <cell r="BC199" t="str">
            <v>-</v>
          </cell>
          <cell r="BD199" t="str">
            <v>-</v>
          </cell>
          <cell r="BE199" t="str">
            <v>-</v>
          </cell>
          <cell r="BF199" t="str">
            <v>-</v>
          </cell>
          <cell r="BG199" t="str">
            <v>-</v>
          </cell>
          <cell r="BH199" t="str">
            <v>-</v>
          </cell>
          <cell r="BI199" t="str">
            <v>-</v>
          </cell>
          <cell r="BJ199" t="str">
            <v>-</v>
          </cell>
          <cell r="BK199" t="str">
            <v>-</v>
          </cell>
          <cell r="BL199" t="str">
            <v>-</v>
          </cell>
          <cell r="BM199">
            <v>0.8</v>
          </cell>
          <cell r="BN199">
            <v>0.42857181122483146</v>
          </cell>
          <cell r="BO199" t="str">
            <v>-</v>
          </cell>
          <cell r="BP199" t="str">
            <v>-</v>
          </cell>
          <cell r="BQ199">
            <v>7200000.0000000009</v>
          </cell>
          <cell r="BR199">
            <v>600000</v>
          </cell>
          <cell r="BS199">
            <v>138462.60355848892</v>
          </cell>
          <cell r="BT199">
            <v>27692.52071169778</v>
          </cell>
        </row>
        <row r="200">
          <cell r="A200" t="str">
            <v>Ireland2014100 / 100</v>
          </cell>
          <cell r="B200" t="str">
            <v>Ireland</v>
          </cell>
          <cell r="C200">
            <v>2014</v>
          </cell>
          <cell r="D200" t="str">
            <v>100 / 100</v>
          </cell>
          <cell r="E200">
            <v>43371.222000000002</v>
          </cell>
          <cell r="F200">
            <v>3614.2685000000001</v>
          </cell>
          <cell r="G200">
            <v>834.06837744905727</v>
          </cell>
          <cell r="H200">
            <v>166.81367548981146</v>
          </cell>
          <cell r="I200">
            <v>43371.222000000002</v>
          </cell>
          <cell r="J200">
            <v>3614.2685000000001</v>
          </cell>
          <cell r="K200">
            <v>834.06837744905727</v>
          </cell>
          <cell r="L200">
            <v>166.81367548981146</v>
          </cell>
          <cell r="M200" t="str">
            <v>..</v>
          </cell>
          <cell r="N200" t="str">
            <v>..</v>
          </cell>
          <cell r="O200" t="str">
            <v>..</v>
          </cell>
          <cell r="P200" t="str">
            <v>..</v>
          </cell>
          <cell r="Q200" t="str">
            <v>..</v>
          </cell>
          <cell r="R200" t="str">
            <v>..</v>
          </cell>
          <cell r="S200" t="str">
            <v>..</v>
          </cell>
          <cell r="T200" t="str">
            <v>..</v>
          </cell>
          <cell r="U200" t="str">
            <v>..</v>
          </cell>
          <cell r="V200">
            <v>18</v>
          </cell>
          <cell r="W200">
            <v>0</v>
          </cell>
          <cell r="X200">
            <v>18</v>
          </cell>
          <cell r="Y200" t="str">
            <v>-</v>
          </cell>
          <cell r="Z200" t="str">
            <v>Parental leave is unpaid</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cell r="BD200" t="str">
            <v>-</v>
          </cell>
          <cell r="BE200" t="str">
            <v>-</v>
          </cell>
          <cell r="BF200" t="str">
            <v>-</v>
          </cell>
          <cell r="BG200" t="str">
            <v>-</v>
          </cell>
          <cell r="BH200" t="str">
            <v>-</v>
          </cell>
          <cell r="BI200" t="str">
            <v>-</v>
          </cell>
          <cell r="BJ200" t="str">
            <v>-</v>
          </cell>
          <cell r="BK200" t="str">
            <v>-</v>
          </cell>
          <cell r="BL200" t="str">
            <v>-</v>
          </cell>
          <cell r="BM200">
            <v>0</v>
          </cell>
          <cell r="BN200">
            <v>0</v>
          </cell>
          <cell r="BO200" t="str">
            <v>-</v>
          </cell>
          <cell r="BP200" t="str">
            <v>-</v>
          </cell>
          <cell r="BQ200">
            <v>0</v>
          </cell>
          <cell r="BR200">
            <v>0</v>
          </cell>
          <cell r="BS200">
            <v>0</v>
          </cell>
          <cell r="BT200">
            <v>0</v>
          </cell>
        </row>
        <row r="201">
          <cell r="A201" t="str">
            <v>Ireland2015100 / 100</v>
          </cell>
          <cell r="B201" t="str">
            <v>Ireland</v>
          </cell>
          <cell r="C201">
            <v>2015</v>
          </cell>
          <cell r="D201" t="str">
            <v>100 / 100</v>
          </cell>
          <cell r="E201">
            <v>43732.889000000003</v>
          </cell>
          <cell r="F201">
            <v>3644.4074166666669</v>
          </cell>
          <cell r="G201">
            <v>841.02356556588893</v>
          </cell>
          <cell r="H201">
            <v>168.20471311317777</v>
          </cell>
          <cell r="I201">
            <v>43732.889000000003</v>
          </cell>
          <cell r="J201">
            <v>3644.4074166666669</v>
          </cell>
          <cell r="K201">
            <v>841.02356556588893</v>
          </cell>
          <cell r="L201">
            <v>168.20471311317777</v>
          </cell>
          <cell r="M201" t="str">
            <v>..</v>
          </cell>
          <cell r="N201" t="str">
            <v>..</v>
          </cell>
          <cell r="O201" t="str">
            <v>..</v>
          </cell>
          <cell r="P201" t="str">
            <v>..</v>
          </cell>
          <cell r="Q201" t="str">
            <v>..</v>
          </cell>
          <cell r="R201" t="str">
            <v>..</v>
          </cell>
          <cell r="S201" t="str">
            <v>..</v>
          </cell>
          <cell r="T201" t="str">
            <v>..</v>
          </cell>
          <cell r="U201" t="str">
            <v>..</v>
          </cell>
          <cell r="V201">
            <v>18</v>
          </cell>
          <cell r="W201">
            <v>0</v>
          </cell>
          <cell r="X201">
            <v>18</v>
          </cell>
          <cell r="Y201" t="str">
            <v>-</v>
          </cell>
          <cell r="Z201" t="str">
            <v>Parental leave is unpaid</v>
          </cell>
          <cell r="AA201" t="str">
            <v>-</v>
          </cell>
          <cell r="AB201" t="str">
            <v>-</v>
          </cell>
          <cell r="AC201" t="str">
            <v>-</v>
          </cell>
          <cell r="AD201" t="str">
            <v>-</v>
          </cell>
          <cell r="AE201" t="str">
            <v>-</v>
          </cell>
          <cell r="AF201" t="str">
            <v>-</v>
          </cell>
          <cell r="AG201" t="str">
            <v>-</v>
          </cell>
          <cell r="AH201" t="str">
            <v>-</v>
          </cell>
          <cell r="AI201" t="str">
            <v>-</v>
          </cell>
          <cell r="AJ201" t="str">
            <v>-</v>
          </cell>
          <cell r="AK201" t="str">
            <v>-</v>
          </cell>
          <cell r="AL201" t="str">
            <v>-</v>
          </cell>
          <cell r="AM201" t="str">
            <v>-</v>
          </cell>
          <cell r="AN201" t="str">
            <v>-</v>
          </cell>
          <cell r="AO201" t="str">
            <v>-</v>
          </cell>
          <cell r="AP201" t="str">
            <v>-</v>
          </cell>
          <cell r="AQ201" t="str">
            <v>-</v>
          </cell>
          <cell r="AR201" t="str">
            <v>-</v>
          </cell>
          <cell r="AS201" t="str">
            <v>-</v>
          </cell>
          <cell r="AT201" t="str">
            <v>-</v>
          </cell>
          <cell r="AU201" t="str">
            <v>-</v>
          </cell>
          <cell r="AV201" t="str">
            <v>-</v>
          </cell>
          <cell r="AW201" t="str">
            <v>-</v>
          </cell>
          <cell r="AX201" t="str">
            <v>-</v>
          </cell>
          <cell r="AY201" t="str">
            <v>-</v>
          </cell>
          <cell r="AZ201" t="str">
            <v>-</v>
          </cell>
          <cell r="BA201" t="str">
            <v>-</v>
          </cell>
          <cell r="BB201" t="str">
            <v>-</v>
          </cell>
          <cell r="BC201" t="str">
            <v>-</v>
          </cell>
          <cell r="BD201" t="str">
            <v>-</v>
          </cell>
          <cell r="BE201" t="str">
            <v>-</v>
          </cell>
          <cell r="BF201" t="str">
            <v>-</v>
          </cell>
          <cell r="BG201" t="str">
            <v>-</v>
          </cell>
          <cell r="BH201" t="str">
            <v>-</v>
          </cell>
          <cell r="BI201" t="str">
            <v>-</v>
          </cell>
          <cell r="BJ201" t="str">
            <v>-</v>
          </cell>
          <cell r="BK201" t="str">
            <v>-</v>
          </cell>
          <cell r="BL201" t="str">
            <v>-</v>
          </cell>
          <cell r="BM201">
            <v>0</v>
          </cell>
          <cell r="BN201">
            <v>0</v>
          </cell>
          <cell r="BO201" t="str">
            <v>-</v>
          </cell>
          <cell r="BP201" t="str">
            <v>-</v>
          </cell>
          <cell r="BQ201">
            <v>0</v>
          </cell>
          <cell r="BR201">
            <v>0</v>
          </cell>
          <cell r="BS201">
            <v>0</v>
          </cell>
          <cell r="BT201">
            <v>0</v>
          </cell>
        </row>
        <row r="202">
          <cell r="A202" t="str">
            <v>Ireland2016100 / 100</v>
          </cell>
          <cell r="B202" t="str">
            <v>Ireland</v>
          </cell>
          <cell r="C202">
            <v>2016</v>
          </cell>
          <cell r="D202" t="str">
            <v>100 / 100</v>
          </cell>
          <cell r="E202">
            <v>44712.889000000003</v>
          </cell>
          <cell r="F202">
            <v>3726.0740833333334</v>
          </cell>
          <cell r="G202">
            <v>859.86986438357212</v>
          </cell>
          <cell r="H202">
            <v>171.97397287671441</v>
          </cell>
          <cell r="I202">
            <v>44712.889000000003</v>
          </cell>
          <cell r="J202">
            <v>3726.0740833333334</v>
          </cell>
          <cell r="K202">
            <v>859.86986438357212</v>
          </cell>
          <cell r="L202">
            <v>171.97397287671441</v>
          </cell>
          <cell r="M202" t="str">
            <v>..</v>
          </cell>
          <cell r="N202" t="str">
            <v>..</v>
          </cell>
          <cell r="O202" t="str">
            <v>..</v>
          </cell>
          <cell r="P202" t="str">
            <v>..</v>
          </cell>
          <cell r="Q202" t="str">
            <v>..</v>
          </cell>
          <cell r="R202" t="str">
            <v>..</v>
          </cell>
          <cell r="S202" t="str">
            <v>..</v>
          </cell>
          <cell r="T202" t="str">
            <v>..</v>
          </cell>
          <cell r="U202" t="str">
            <v>..</v>
          </cell>
          <cell r="V202">
            <v>18</v>
          </cell>
          <cell r="W202">
            <v>0</v>
          </cell>
          <cell r="X202">
            <v>18</v>
          </cell>
          <cell r="Y202" t="str">
            <v>-</v>
          </cell>
          <cell r="Z202" t="str">
            <v>Parental leave is unpaid</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cell r="BD202" t="str">
            <v>-</v>
          </cell>
          <cell r="BE202" t="str">
            <v>-</v>
          </cell>
          <cell r="BF202" t="str">
            <v>-</v>
          </cell>
          <cell r="BG202" t="str">
            <v>-</v>
          </cell>
          <cell r="BH202" t="str">
            <v>-</v>
          </cell>
          <cell r="BI202" t="str">
            <v>-</v>
          </cell>
          <cell r="BJ202" t="str">
            <v>-</v>
          </cell>
          <cell r="BK202" t="str">
            <v>-</v>
          </cell>
          <cell r="BL202" t="str">
            <v>-</v>
          </cell>
          <cell r="BM202">
            <v>0</v>
          </cell>
          <cell r="BN202">
            <v>0</v>
          </cell>
          <cell r="BO202" t="str">
            <v>-</v>
          </cell>
          <cell r="BP202" t="str">
            <v>-</v>
          </cell>
          <cell r="BQ202">
            <v>0</v>
          </cell>
          <cell r="BR202">
            <v>0</v>
          </cell>
          <cell r="BS202">
            <v>0</v>
          </cell>
          <cell r="BT202">
            <v>0</v>
          </cell>
        </row>
        <row r="203">
          <cell r="A203" t="str">
            <v>Ireland2017100 / 100</v>
          </cell>
          <cell r="B203" t="str">
            <v>Ireland</v>
          </cell>
          <cell r="C203">
            <v>2017</v>
          </cell>
          <cell r="D203" t="str">
            <v>100 / 100</v>
          </cell>
          <cell r="E203">
            <v>45504</v>
          </cell>
          <cell r="F203">
            <v>3792</v>
          </cell>
          <cell r="G203">
            <v>875.0836544896498</v>
          </cell>
          <cell r="H203">
            <v>175.01673089792996</v>
          </cell>
          <cell r="I203">
            <v>45504</v>
          </cell>
          <cell r="J203">
            <v>3792</v>
          </cell>
          <cell r="K203">
            <v>875.0836544896498</v>
          </cell>
          <cell r="L203">
            <v>175.01673089792996</v>
          </cell>
          <cell r="M203" t="str">
            <v>..</v>
          </cell>
          <cell r="N203" t="str">
            <v>..</v>
          </cell>
          <cell r="O203" t="str">
            <v>..</v>
          </cell>
          <cell r="P203" t="str">
            <v>..</v>
          </cell>
          <cell r="Q203" t="str">
            <v>..</v>
          </cell>
          <cell r="R203" t="str">
            <v>..</v>
          </cell>
          <cell r="S203" t="str">
            <v>..</v>
          </cell>
          <cell r="T203" t="str">
            <v>..</v>
          </cell>
          <cell r="U203" t="str">
            <v>..</v>
          </cell>
          <cell r="V203">
            <v>18</v>
          </cell>
          <cell r="W203">
            <v>0</v>
          </cell>
          <cell r="X203">
            <v>18</v>
          </cell>
          <cell r="Y203" t="str">
            <v>-</v>
          </cell>
          <cell r="Z203" t="str">
            <v>Parental leave is unpaid</v>
          </cell>
          <cell r="AA203" t="str">
            <v>-</v>
          </cell>
          <cell r="AB203" t="str">
            <v>-</v>
          </cell>
          <cell r="AC203" t="str">
            <v>-</v>
          </cell>
          <cell r="AD203" t="str">
            <v>-</v>
          </cell>
          <cell r="AE203" t="str">
            <v>-</v>
          </cell>
          <cell r="AF203" t="str">
            <v>-</v>
          </cell>
          <cell r="AG203" t="str">
            <v>-</v>
          </cell>
          <cell r="AH203" t="str">
            <v>-</v>
          </cell>
          <cell r="AI203" t="str">
            <v>-</v>
          </cell>
          <cell r="AJ203" t="str">
            <v>-</v>
          </cell>
          <cell r="AK203" t="str">
            <v>-</v>
          </cell>
          <cell r="AL203" t="str">
            <v>-</v>
          </cell>
          <cell r="AM203" t="str">
            <v>-</v>
          </cell>
          <cell r="AN203" t="str">
            <v>-</v>
          </cell>
          <cell r="AO203" t="str">
            <v>-</v>
          </cell>
          <cell r="AP203" t="str">
            <v>-</v>
          </cell>
          <cell r="AQ203" t="str">
            <v>-</v>
          </cell>
          <cell r="AR203" t="str">
            <v>-</v>
          </cell>
          <cell r="AS203" t="str">
            <v>-</v>
          </cell>
          <cell r="AT203" t="str">
            <v>-</v>
          </cell>
          <cell r="AU203" t="str">
            <v>-</v>
          </cell>
          <cell r="AV203" t="str">
            <v>-</v>
          </cell>
          <cell r="AW203" t="str">
            <v>-</v>
          </cell>
          <cell r="AX203" t="str">
            <v>-</v>
          </cell>
          <cell r="AY203" t="str">
            <v>-</v>
          </cell>
          <cell r="AZ203" t="str">
            <v>-</v>
          </cell>
          <cell r="BA203" t="str">
            <v>-</v>
          </cell>
          <cell r="BB203" t="str">
            <v>-</v>
          </cell>
          <cell r="BC203" t="str">
            <v>-</v>
          </cell>
          <cell r="BD203" t="str">
            <v>-</v>
          </cell>
          <cell r="BE203" t="str">
            <v>-</v>
          </cell>
          <cell r="BF203" t="str">
            <v>-</v>
          </cell>
          <cell r="BG203" t="str">
            <v>-</v>
          </cell>
          <cell r="BH203" t="str">
            <v>-</v>
          </cell>
          <cell r="BI203" t="str">
            <v>-</v>
          </cell>
          <cell r="BJ203" t="str">
            <v>-</v>
          </cell>
          <cell r="BK203" t="str">
            <v>-</v>
          </cell>
          <cell r="BL203" t="str">
            <v>-</v>
          </cell>
          <cell r="BM203">
            <v>0</v>
          </cell>
          <cell r="BN203">
            <v>0</v>
          </cell>
          <cell r="BO203" t="str">
            <v>-</v>
          </cell>
          <cell r="BP203" t="str">
            <v>-</v>
          </cell>
          <cell r="BQ203">
            <v>0</v>
          </cell>
          <cell r="BR203">
            <v>0</v>
          </cell>
          <cell r="BS203">
            <v>0</v>
          </cell>
          <cell r="BT203">
            <v>0</v>
          </cell>
        </row>
        <row r="204">
          <cell r="A204" t="str">
            <v>Ireland2018100 / 100</v>
          </cell>
          <cell r="B204" t="str">
            <v>Ireland</v>
          </cell>
          <cell r="C204">
            <v>2018</v>
          </cell>
          <cell r="D204" t="str">
            <v>100 / 100</v>
          </cell>
          <cell r="E204">
            <v>47226.555999999997</v>
          </cell>
          <cell r="F204">
            <v>3935.5463333333332</v>
          </cell>
          <cell r="G204">
            <v>908.20998623066316</v>
          </cell>
          <cell r="H204">
            <v>181.64199724613263</v>
          </cell>
          <cell r="I204">
            <v>47226.555999999997</v>
          </cell>
          <cell r="J204">
            <v>3935.5463333333332</v>
          </cell>
          <cell r="K204">
            <v>908.20998623066316</v>
          </cell>
          <cell r="L204">
            <v>181.64199724613263</v>
          </cell>
          <cell r="M204" t="str">
            <v>..</v>
          </cell>
          <cell r="N204" t="str">
            <v>..</v>
          </cell>
          <cell r="O204" t="str">
            <v>..</v>
          </cell>
          <cell r="P204" t="str">
            <v>..</v>
          </cell>
          <cell r="Q204" t="str">
            <v>..</v>
          </cell>
          <cell r="R204" t="str">
            <v>..</v>
          </cell>
          <cell r="S204" t="str">
            <v>..</v>
          </cell>
          <cell r="T204" t="str">
            <v>..</v>
          </cell>
          <cell r="U204" t="str">
            <v>..</v>
          </cell>
          <cell r="V204">
            <v>18</v>
          </cell>
          <cell r="W204">
            <v>0</v>
          </cell>
          <cell r="X204">
            <v>18</v>
          </cell>
          <cell r="Y204" t="str">
            <v>-</v>
          </cell>
          <cell r="Z204" t="str">
            <v>Parental leave is unpaid</v>
          </cell>
          <cell r="AA204" t="str">
            <v>-</v>
          </cell>
          <cell r="AB204" t="str">
            <v>-</v>
          </cell>
          <cell r="AC204" t="str">
            <v>-</v>
          </cell>
          <cell r="AD204" t="str">
            <v>-</v>
          </cell>
          <cell r="AE204" t="str">
            <v>-</v>
          </cell>
          <cell r="AF204" t="str">
            <v>-</v>
          </cell>
          <cell r="AG204" t="str">
            <v>-</v>
          </cell>
          <cell r="AH204" t="str">
            <v>-</v>
          </cell>
          <cell r="AI204" t="str">
            <v>-</v>
          </cell>
          <cell r="AJ204" t="str">
            <v>-</v>
          </cell>
          <cell r="AK204" t="str">
            <v>-</v>
          </cell>
          <cell r="AL204" t="str">
            <v>-</v>
          </cell>
          <cell r="AM204" t="str">
            <v>-</v>
          </cell>
          <cell r="AN204" t="str">
            <v>-</v>
          </cell>
          <cell r="AO204" t="str">
            <v>-</v>
          </cell>
          <cell r="AP204" t="str">
            <v>-</v>
          </cell>
          <cell r="AQ204" t="str">
            <v>-</v>
          </cell>
          <cell r="AR204" t="str">
            <v>-</v>
          </cell>
          <cell r="AS204" t="str">
            <v>-</v>
          </cell>
          <cell r="AT204" t="str">
            <v>-</v>
          </cell>
          <cell r="AU204" t="str">
            <v>-</v>
          </cell>
          <cell r="AV204" t="str">
            <v>-</v>
          </cell>
          <cell r="AW204" t="str">
            <v>-</v>
          </cell>
          <cell r="AX204" t="str">
            <v>-</v>
          </cell>
          <cell r="AY204" t="str">
            <v>-</v>
          </cell>
          <cell r="AZ204" t="str">
            <v>-</v>
          </cell>
          <cell r="BA204" t="str">
            <v>-</v>
          </cell>
          <cell r="BB204" t="str">
            <v>-</v>
          </cell>
          <cell r="BC204" t="str">
            <v>-</v>
          </cell>
          <cell r="BD204" t="str">
            <v>-</v>
          </cell>
          <cell r="BE204" t="str">
            <v>-</v>
          </cell>
          <cell r="BF204" t="str">
            <v>-</v>
          </cell>
          <cell r="BG204" t="str">
            <v>-</v>
          </cell>
          <cell r="BH204" t="str">
            <v>-</v>
          </cell>
          <cell r="BI204" t="str">
            <v>-</v>
          </cell>
          <cell r="BJ204" t="str">
            <v>-</v>
          </cell>
          <cell r="BK204" t="str">
            <v>-</v>
          </cell>
          <cell r="BL204" t="str">
            <v>-</v>
          </cell>
          <cell r="BM204">
            <v>0</v>
          </cell>
          <cell r="BN204">
            <v>0</v>
          </cell>
          <cell r="BO204" t="str">
            <v>-</v>
          </cell>
          <cell r="BP204" t="str">
            <v>-</v>
          </cell>
          <cell r="BQ204">
            <v>0</v>
          </cell>
          <cell r="BR204">
            <v>0</v>
          </cell>
          <cell r="BS204">
            <v>0</v>
          </cell>
          <cell r="BT204">
            <v>0</v>
          </cell>
        </row>
        <row r="205">
          <cell r="A205" t="str">
            <v>Ireland2019100 / 100</v>
          </cell>
          <cell r="B205" t="str">
            <v>Ireland</v>
          </cell>
          <cell r="C205">
            <v>2019</v>
          </cell>
          <cell r="D205" t="str">
            <v>100 / 100</v>
          </cell>
          <cell r="E205">
            <v>52845</v>
          </cell>
          <cell r="F205">
            <v>4403.75</v>
          </cell>
          <cell r="G205">
            <v>1016.2578173678259</v>
          </cell>
          <cell r="H205">
            <v>203.25156347356517</v>
          </cell>
          <cell r="I205">
            <v>52845</v>
          </cell>
          <cell r="J205">
            <v>4403.75</v>
          </cell>
          <cell r="K205">
            <v>1016.2578173678259</v>
          </cell>
          <cell r="L205">
            <v>203.25156347356517</v>
          </cell>
          <cell r="M205" t="str">
            <v>..</v>
          </cell>
          <cell r="N205" t="str">
            <v>..</v>
          </cell>
          <cell r="O205" t="str">
            <v>..</v>
          </cell>
          <cell r="P205" t="str">
            <v>..</v>
          </cell>
          <cell r="Q205" t="str">
            <v>..</v>
          </cell>
          <cell r="R205" t="str">
            <v>..</v>
          </cell>
          <cell r="S205" t="str">
            <v>..</v>
          </cell>
          <cell r="T205" t="str">
            <v>..</v>
          </cell>
          <cell r="U205" t="str">
            <v>..</v>
          </cell>
          <cell r="V205">
            <v>18</v>
          </cell>
          <cell r="W205">
            <v>0</v>
          </cell>
          <cell r="X205">
            <v>18</v>
          </cell>
          <cell r="Y205" t="str">
            <v>-</v>
          </cell>
          <cell r="Z205" t="str">
            <v>Parental leave is unpaid</v>
          </cell>
          <cell r="AA205" t="str">
            <v>-</v>
          </cell>
          <cell r="AB205" t="str">
            <v>-</v>
          </cell>
          <cell r="AC205" t="str">
            <v>-</v>
          </cell>
          <cell r="AD205" t="str">
            <v>-</v>
          </cell>
          <cell r="AE205" t="str">
            <v>-</v>
          </cell>
          <cell r="AF205" t="str">
            <v>-</v>
          </cell>
          <cell r="AG205" t="str">
            <v>-</v>
          </cell>
          <cell r="AH205" t="str">
            <v>-</v>
          </cell>
          <cell r="AI205" t="str">
            <v>-</v>
          </cell>
          <cell r="AJ205" t="str">
            <v>-</v>
          </cell>
          <cell r="AK205" t="str">
            <v>-</v>
          </cell>
          <cell r="AL205" t="str">
            <v>-</v>
          </cell>
          <cell r="AM205" t="str">
            <v>-</v>
          </cell>
          <cell r="AN205" t="str">
            <v>-</v>
          </cell>
          <cell r="AO205" t="str">
            <v>-</v>
          </cell>
          <cell r="AP205" t="str">
            <v>-</v>
          </cell>
          <cell r="AQ205" t="str">
            <v>-</v>
          </cell>
          <cell r="AR205" t="str">
            <v>-</v>
          </cell>
          <cell r="AS205" t="str">
            <v>-</v>
          </cell>
          <cell r="AT205" t="str">
            <v>-</v>
          </cell>
          <cell r="AU205" t="str">
            <v>-</v>
          </cell>
          <cell r="AV205" t="str">
            <v>-</v>
          </cell>
          <cell r="AW205" t="str">
            <v>-</v>
          </cell>
          <cell r="AX205" t="str">
            <v>-</v>
          </cell>
          <cell r="AY205" t="str">
            <v>-</v>
          </cell>
          <cell r="AZ205" t="str">
            <v>-</v>
          </cell>
          <cell r="BA205" t="str">
            <v>-</v>
          </cell>
          <cell r="BB205" t="str">
            <v>-</v>
          </cell>
          <cell r="BC205" t="str">
            <v>-</v>
          </cell>
          <cell r="BD205" t="str">
            <v>-</v>
          </cell>
          <cell r="BE205" t="str">
            <v>-</v>
          </cell>
          <cell r="BF205" t="str">
            <v>-</v>
          </cell>
          <cell r="BG205" t="str">
            <v>-</v>
          </cell>
          <cell r="BH205" t="str">
            <v>-</v>
          </cell>
          <cell r="BI205" t="str">
            <v>-</v>
          </cell>
          <cell r="BJ205" t="str">
            <v>-</v>
          </cell>
          <cell r="BK205" t="str">
            <v>-</v>
          </cell>
          <cell r="BL205" t="str">
            <v>-</v>
          </cell>
          <cell r="BM205">
            <v>0</v>
          </cell>
          <cell r="BN205">
            <v>0</v>
          </cell>
          <cell r="BO205" t="str">
            <v>-</v>
          </cell>
          <cell r="BP205" t="str">
            <v>-</v>
          </cell>
          <cell r="BQ205">
            <v>0</v>
          </cell>
          <cell r="BR205">
            <v>0</v>
          </cell>
          <cell r="BS205">
            <v>0</v>
          </cell>
          <cell r="BT205">
            <v>0</v>
          </cell>
        </row>
        <row r="206">
          <cell r="A206" t="str">
            <v>Ireland2020100 / 100</v>
          </cell>
          <cell r="B206" t="str">
            <v>Ireland</v>
          </cell>
          <cell r="C206">
            <v>2020</v>
          </cell>
          <cell r="D206" t="str">
            <v>100 / 100</v>
          </cell>
          <cell r="E206">
            <v>53962</v>
          </cell>
          <cell r="F206">
            <v>4496.833333333333</v>
          </cell>
          <cell r="G206">
            <v>1037.7387518365524</v>
          </cell>
          <cell r="H206">
            <v>207.54775036731047</v>
          </cell>
          <cell r="I206">
            <v>53962</v>
          </cell>
          <cell r="J206">
            <v>4496.833333333333</v>
          </cell>
          <cell r="K206">
            <v>1037.7387518365524</v>
          </cell>
          <cell r="L206">
            <v>207.54775036731047</v>
          </cell>
          <cell r="M206" t="str">
            <v>..</v>
          </cell>
          <cell r="N206" t="str">
            <v>..</v>
          </cell>
          <cell r="O206" t="str">
            <v>..</v>
          </cell>
          <cell r="P206" t="str">
            <v>..</v>
          </cell>
          <cell r="Q206" t="str">
            <v>..</v>
          </cell>
          <cell r="R206" t="str">
            <v>..</v>
          </cell>
          <cell r="S206" t="str">
            <v>..</v>
          </cell>
          <cell r="T206" t="str">
            <v>..</v>
          </cell>
          <cell r="U206" t="str">
            <v>..</v>
          </cell>
          <cell r="V206">
            <v>24</v>
          </cell>
          <cell r="W206">
            <v>2</v>
          </cell>
          <cell r="X206">
            <v>22</v>
          </cell>
          <cell r="Y206" t="str">
            <v>-</v>
          </cell>
          <cell r="Z206" t="str">
            <v>Two weeks. Weekly benefit of €245.</v>
          </cell>
          <cell r="AA206" t="str">
            <v>Gross</v>
          </cell>
          <cell r="AB206" t="str">
            <v>Y</v>
          </cell>
          <cell r="AC206">
            <v>2</v>
          </cell>
          <cell r="AD206" t="str">
            <v>-</v>
          </cell>
          <cell r="AE206" t="str">
            <v>-</v>
          </cell>
          <cell r="AF206" t="str">
            <v>-</v>
          </cell>
          <cell r="AG206" t="str">
            <v>-</v>
          </cell>
          <cell r="AH206" t="str">
            <v>-</v>
          </cell>
          <cell r="AI206">
            <v>245</v>
          </cell>
          <cell r="AJ206" t="str">
            <v>week</v>
          </cell>
          <cell r="AK206" t="str">
            <v>-</v>
          </cell>
          <cell r="AL206" t="str">
            <v>-</v>
          </cell>
          <cell r="AM206" t="str">
            <v>-</v>
          </cell>
          <cell r="AN206" t="str">
            <v>-</v>
          </cell>
          <cell r="AO206" t="str">
            <v>-</v>
          </cell>
          <cell r="AP206" t="str">
            <v>-</v>
          </cell>
          <cell r="AQ206" t="str">
            <v>-</v>
          </cell>
          <cell r="AR206" t="str">
            <v>-</v>
          </cell>
          <cell r="AS206" t="str">
            <v>-</v>
          </cell>
          <cell r="AT206" t="str">
            <v>-</v>
          </cell>
          <cell r="AU206" t="str">
            <v>-</v>
          </cell>
          <cell r="AV206" t="str">
            <v>-</v>
          </cell>
          <cell r="AW206" t="str">
            <v>-</v>
          </cell>
          <cell r="AX206" t="str">
            <v>-</v>
          </cell>
          <cell r="AY206" t="str">
            <v>-</v>
          </cell>
          <cell r="AZ206" t="str">
            <v>-</v>
          </cell>
          <cell r="BA206" t="str">
            <v>-</v>
          </cell>
          <cell r="BB206" t="str">
            <v>-</v>
          </cell>
          <cell r="BC206" t="str">
            <v>-</v>
          </cell>
          <cell r="BD206" t="str">
            <v>-</v>
          </cell>
          <cell r="BE206" t="str">
            <v>-</v>
          </cell>
          <cell r="BF206" t="str">
            <v>-</v>
          </cell>
          <cell r="BG206" t="str">
            <v>-</v>
          </cell>
          <cell r="BH206" t="str">
            <v>-</v>
          </cell>
          <cell r="BI206" t="str">
            <v>-</v>
          </cell>
          <cell r="BJ206" t="str">
            <v>-</v>
          </cell>
          <cell r="BK206" t="str">
            <v>-</v>
          </cell>
          <cell r="BL206" t="str">
            <v>-</v>
          </cell>
          <cell r="BM206">
            <v>0.2360902486935251</v>
          </cell>
          <cell r="BN206">
            <v>1.9674187391127092E-2</v>
          </cell>
          <cell r="BO206" t="str">
            <v>-</v>
          </cell>
          <cell r="BP206" t="str">
            <v>-</v>
          </cell>
          <cell r="BQ206">
            <v>12739.902000000002</v>
          </cell>
          <cell r="BR206">
            <v>1061.6585</v>
          </cell>
          <cell r="BS206">
            <v>245</v>
          </cell>
          <cell r="BT206">
            <v>48.999999999999993</v>
          </cell>
        </row>
        <row r="207">
          <cell r="A207" t="str">
            <v>Ireland2021100 / 100</v>
          </cell>
          <cell r="B207" t="str">
            <v>Ireland</v>
          </cell>
          <cell r="C207">
            <v>2021</v>
          </cell>
          <cell r="D207" t="str">
            <v>100 / 100</v>
          </cell>
          <cell r="E207">
            <v>56064</v>
          </cell>
          <cell r="F207">
            <v>4672</v>
          </cell>
          <cell r="G207">
            <v>1078.162139708767</v>
          </cell>
          <cell r="H207">
            <v>215.63242794175341</v>
          </cell>
          <cell r="I207">
            <v>56064</v>
          </cell>
          <cell r="J207">
            <v>4672</v>
          </cell>
          <cell r="K207">
            <v>1078.162139708767</v>
          </cell>
          <cell r="L207">
            <v>215.63242794175341</v>
          </cell>
          <cell r="M207" t="str">
            <v>..</v>
          </cell>
          <cell r="N207" t="str">
            <v>..</v>
          </cell>
          <cell r="O207" t="str">
            <v>..</v>
          </cell>
          <cell r="P207" t="str">
            <v>..</v>
          </cell>
          <cell r="Q207" t="str">
            <v>..</v>
          </cell>
          <cell r="R207" t="str">
            <v>..</v>
          </cell>
          <cell r="S207" t="str">
            <v>..</v>
          </cell>
          <cell r="T207" t="str">
            <v>..</v>
          </cell>
          <cell r="U207" t="str">
            <v>..</v>
          </cell>
          <cell r="V207">
            <v>31</v>
          </cell>
          <cell r="W207">
            <v>5</v>
          </cell>
          <cell r="X207">
            <v>26</v>
          </cell>
          <cell r="Y207" t="str">
            <v>-</v>
          </cell>
          <cell r="Z207" t="str">
            <v>Five weeks. Weekly benefit of €250.</v>
          </cell>
          <cell r="AA207" t="str">
            <v>Gross</v>
          </cell>
          <cell r="AB207" t="str">
            <v>Y</v>
          </cell>
          <cell r="AC207">
            <v>5</v>
          </cell>
          <cell r="AD207" t="str">
            <v>-</v>
          </cell>
          <cell r="AE207" t="str">
            <v>-</v>
          </cell>
          <cell r="AF207" t="str">
            <v>-</v>
          </cell>
          <cell r="AG207" t="str">
            <v>-</v>
          </cell>
          <cell r="AH207" t="str">
            <v>-</v>
          </cell>
          <cell r="AI207">
            <v>245</v>
          </cell>
          <cell r="AJ207" t="str">
            <v>week</v>
          </cell>
          <cell r="AK207" t="str">
            <v>-</v>
          </cell>
          <cell r="AL207" t="str">
            <v>-</v>
          </cell>
          <cell r="AM207" t="str">
            <v>-</v>
          </cell>
          <cell r="AN207" t="str">
            <v>-</v>
          </cell>
          <cell r="AO207" t="str">
            <v>-</v>
          </cell>
          <cell r="AP207" t="str">
            <v>-</v>
          </cell>
          <cell r="AQ207" t="str">
            <v>-</v>
          </cell>
          <cell r="AR207" t="str">
            <v>-</v>
          </cell>
          <cell r="AS207" t="str">
            <v>-</v>
          </cell>
          <cell r="AT207" t="str">
            <v>-</v>
          </cell>
          <cell r="AU207" t="str">
            <v>-</v>
          </cell>
          <cell r="AV207" t="str">
            <v>-</v>
          </cell>
          <cell r="AW207" t="str">
            <v>-</v>
          </cell>
          <cell r="AX207" t="str">
            <v>-</v>
          </cell>
          <cell r="AY207" t="str">
            <v>-</v>
          </cell>
          <cell r="AZ207" t="str">
            <v>-</v>
          </cell>
          <cell r="BA207" t="str">
            <v>-</v>
          </cell>
          <cell r="BB207" t="str">
            <v>-</v>
          </cell>
          <cell r="BC207" t="str">
            <v>-</v>
          </cell>
          <cell r="BD207" t="str">
            <v>-</v>
          </cell>
          <cell r="BE207" t="str">
            <v>-</v>
          </cell>
          <cell r="BF207" t="str">
            <v>-</v>
          </cell>
          <cell r="BG207" t="str">
            <v>-</v>
          </cell>
          <cell r="BH207" t="str">
            <v>-</v>
          </cell>
          <cell r="BI207" t="str">
            <v>-</v>
          </cell>
          <cell r="BJ207" t="str">
            <v>-</v>
          </cell>
          <cell r="BK207" t="str">
            <v>-</v>
          </cell>
          <cell r="BL207" t="str">
            <v>-</v>
          </cell>
          <cell r="BM207">
            <v>0.22723854880136987</v>
          </cell>
          <cell r="BN207">
            <v>3.6651378838930625E-2</v>
          </cell>
          <cell r="BO207" t="str">
            <v>-</v>
          </cell>
          <cell r="BP207" t="str">
            <v>-</v>
          </cell>
          <cell r="BQ207">
            <v>12739.902</v>
          </cell>
          <cell r="BR207">
            <v>1061.6585</v>
          </cell>
          <cell r="BS207">
            <v>245</v>
          </cell>
          <cell r="BT207">
            <v>49.000000000000007</v>
          </cell>
        </row>
        <row r="208">
          <cell r="A208" t="str">
            <v>Ireland2022100 / 100</v>
          </cell>
          <cell r="B208" t="str">
            <v>Ireland</v>
          </cell>
          <cell r="C208">
            <v>2022</v>
          </cell>
          <cell r="D208" t="str">
            <v>100 / 100</v>
          </cell>
          <cell r="E208">
            <v>57457</v>
          </cell>
          <cell r="F208">
            <v>4788.083333333333</v>
          </cell>
          <cell r="G208">
            <v>1104.9508073139023</v>
          </cell>
          <cell r="H208">
            <v>220.99016146278046</v>
          </cell>
          <cell r="I208">
            <v>57457</v>
          </cell>
          <cell r="J208">
            <v>4788.083333333333</v>
          </cell>
          <cell r="K208">
            <v>1104.9508073139023</v>
          </cell>
          <cell r="L208">
            <v>220.99016146278046</v>
          </cell>
          <cell r="M208" t="str">
            <v>..</v>
          </cell>
          <cell r="N208" t="str">
            <v>..</v>
          </cell>
          <cell r="O208" t="str">
            <v>..</v>
          </cell>
          <cell r="P208" t="str">
            <v>..</v>
          </cell>
          <cell r="Q208" t="str">
            <v>..</v>
          </cell>
          <cell r="R208" t="str">
            <v>..</v>
          </cell>
          <cell r="S208" t="str">
            <v>..</v>
          </cell>
          <cell r="T208" t="str">
            <v>..</v>
          </cell>
          <cell r="U208" t="str">
            <v>..</v>
          </cell>
          <cell r="V208">
            <v>31</v>
          </cell>
          <cell r="W208">
            <v>5</v>
          </cell>
          <cell r="X208">
            <v>26</v>
          </cell>
          <cell r="Y208" t="str">
            <v>-</v>
          </cell>
          <cell r="Z208" t="str">
            <v>Five weeks. Weekly benefit of €245.</v>
          </cell>
          <cell r="AA208" t="str">
            <v>Gross</v>
          </cell>
          <cell r="AB208" t="str">
            <v>Y</v>
          </cell>
          <cell r="AC208">
            <v>5</v>
          </cell>
          <cell r="AD208" t="str">
            <v>-</v>
          </cell>
          <cell r="AE208" t="str">
            <v>-</v>
          </cell>
          <cell r="AF208" t="str">
            <v>-</v>
          </cell>
          <cell r="AG208" t="str">
            <v>-</v>
          </cell>
          <cell r="AH208" t="str">
            <v>-</v>
          </cell>
          <cell r="AI208">
            <v>250</v>
          </cell>
          <cell r="AJ208" t="str">
            <v>week</v>
          </cell>
          <cell r="AK208" t="str">
            <v>-</v>
          </cell>
          <cell r="AL208" t="str">
            <v>-</v>
          </cell>
          <cell r="AM208" t="str">
            <v>-</v>
          </cell>
          <cell r="AN208" t="str">
            <v>-</v>
          </cell>
          <cell r="AO208" t="str">
            <v>-</v>
          </cell>
          <cell r="AP208" t="str">
            <v>-</v>
          </cell>
          <cell r="AQ208" t="str">
            <v>-</v>
          </cell>
          <cell r="AR208" t="str">
            <v>-</v>
          </cell>
          <cell r="AS208" t="str">
            <v>-</v>
          </cell>
          <cell r="AT208" t="str">
            <v>-</v>
          </cell>
          <cell r="AU208" t="str">
            <v>-</v>
          </cell>
          <cell r="AV208" t="str">
            <v>-</v>
          </cell>
          <cell r="AW208" t="str">
            <v>-</v>
          </cell>
          <cell r="AX208" t="str">
            <v>-</v>
          </cell>
          <cell r="AY208" t="str">
            <v>-</v>
          </cell>
          <cell r="AZ208" t="str">
            <v>-</v>
          </cell>
          <cell r="BA208" t="str">
            <v>-</v>
          </cell>
          <cell r="BB208" t="str">
            <v>-</v>
          </cell>
          <cell r="BC208" t="str">
            <v>-</v>
          </cell>
          <cell r="BD208" t="str">
            <v>-</v>
          </cell>
          <cell r="BE208" t="str">
            <v>-</v>
          </cell>
          <cell r="BF208" t="str">
            <v>-</v>
          </cell>
          <cell r="BG208" t="str">
            <v>-</v>
          </cell>
          <cell r="BH208" t="str">
            <v>-</v>
          </cell>
          <cell r="BI208" t="str">
            <v>-</v>
          </cell>
          <cell r="BJ208" t="str">
            <v>-</v>
          </cell>
          <cell r="BK208" t="str">
            <v>-</v>
          </cell>
          <cell r="BL208" t="str">
            <v>-</v>
          </cell>
          <cell r="BM208">
            <v>0.22625441634613713</v>
          </cell>
          <cell r="BN208">
            <v>3.6492647797764052E-2</v>
          </cell>
          <cell r="BO208" t="str">
            <v>-</v>
          </cell>
          <cell r="BP208" t="str">
            <v>-</v>
          </cell>
          <cell r="BQ208">
            <v>12999.900000000001</v>
          </cell>
          <cell r="BR208">
            <v>1083.325</v>
          </cell>
          <cell r="BS208">
            <v>250</v>
          </cell>
          <cell r="BT208">
            <v>50</v>
          </cell>
        </row>
        <row r="209">
          <cell r="A209" t="str">
            <v>Ireland2023100 / 100</v>
          </cell>
          <cell r="B209" t="str">
            <v>Ireland</v>
          </cell>
          <cell r="C209">
            <v>2023</v>
          </cell>
          <cell r="D209" t="str">
            <v>100 / 100</v>
          </cell>
          <cell r="E209">
            <v>60399.805999999997</v>
          </cell>
          <cell r="F209">
            <v>5033.3171666666667</v>
          </cell>
          <cell r="G209">
            <v>1161.5436657205055</v>
          </cell>
          <cell r="H209">
            <v>232.3087331441011</v>
          </cell>
          <cell r="I209">
            <v>60399.805999999997</v>
          </cell>
          <cell r="J209">
            <v>5033.3171666666667</v>
          </cell>
          <cell r="K209">
            <v>1161.5436657205055</v>
          </cell>
          <cell r="L209">
            <v>232.3087331441011</v>
          </cell>
          <cell r="M209" t="str">
            <v>..</v>
          </cell>
          <cell r="N209" t="str">
            <v>..</v>
          </cell>
          <cell r="O209" t="str">
            <v>..</v>
          </cell>
          <cell r="P209" t="str">
            <v>..</v>
          </cell>
          <cell r="Q209" t="str">
            <v>..</v>
          </cell>
          <cell r="R209" t="str">
            <v>..</v>
          </cell>
          <cell r="S209" t="str">
            <v>..</v>
          </cell>
          <cell r="T209" t="str">
            <v>..</v>
          </cell>
          <cell r="U209" t="str">
            <v>..</v>
          </cell>
          <cell r="V209">
            <v>33</v>
          </cell>
          <cell r="W209">
            <v>7</v>
          </cell>
          <cell r="X209">
            <v>26</v>
          </cell>
          <cell r="Y209" t="str">
            <v>-</v>
          </cell>
          <cell r="Z209" t="str">
            <v>Seven weeks. Weekly benefit of €262</v>
          </cell>
          <cell r="AA209" t="str">
            <v>Gross</v>
          </cell>
          <cell r="AB209" t="str">
            <v>Y</v>
          </cell>
          <cell r="AC209">
            <v>7</v>
          </cell>
          <cell r="AD209" t="str">
            <v>-</v>
          </cell>
          <cell r="AE209" t="str">
            <v>-</v>
          </cell>
          <cell r="AF209" t="str">
            <v>-</v>
          </cell>
          <cell r="AG209" t="str">
            <v>-</v>
          </cell>
          <cell r="AH209" t="str">
            <v>-</v>
          </cell>
          <cell r="AI209">
            <v>262</v>
          </cell>
          <cell r="AJ209" t="str">
            <v>week</v>
          </cell>
          <cell r="AK209" t="str">
            <v>-</v>
          </cell>
          <cell r="AL209" t="str">
            <v>-</v>
          </cell>
          <cell r="AM209" t="str">
            <v>-</v>
          </cell>
          <cell r="AN209" t="str">
            <v>-</v>
          </cell>
          <cell r="AO209" t="str">
            <v>-</v>
          </cell>
          <cell r="AP209" t="str">
            <v>-</v>
          </cell>
          <cell r="AQ209" t="str">
            <v>-</v>
          </cell>
          <cell r="AR209" t="str">
            <v>-</v>
          </cell>
          <cell r="AS209" t="str">
            <v>-</v>
          </cell>
          <cell r="AT209" t="str">
            <v>-</v>
          </cell>
          <cell r="AU209" t="str">
            <v>-</v>
          </cell>
          <cell r="AV209" t="str">
            <v>-</v>
          </cell>
          <cell r="AW209" t="str">
            <v>-</v>
          </cell>
          <cell r="AX209" t="str">
            <v>-</v>
          </cell>
          <cell r="AY209" t="str">
            <v>-</v>
          </cell>
          <cell r="AZ209" t="str">
            <v>-</v>
          </cell>
          <cell r="BA209" t="str">
            <v>-</v>
          </cell>
          <cell r="BB209" t="str">
            <v>-</v>
          </cell>
          <cell r="BC209" t="str">
            <v>-</v>
          </cell>
          <cell r="BD209" t="str">
            <v>-</v>
          </cell>
          <cell r="BE209" t="str">
            <v>-</v>
          </cell>
          <cell r="BF209" t="str">
            <v>-</v>
          </cell>
          <cell r="BG209" t="str">
            <v>-</v>
          </cell>
          <cell r="BH209" t="str">
            <v>-</v>
          </cell>
          <cell r="BI209" t="str">
            <v>-</v>
          </cell>
          <cell r="BJ209" t="str">
            <v>-</v>
          </cell>
          <cell r="BK209" t="str">
            <v>-</v>
          </cell>
          <cell r="BL209" t="str">
            <v>-</v>
          </cell>
          <cell r="BM209">
            <v>0.22556190329485495</v>
          </cell>
          <cell r="BN209">
            <v>4.7846464335272267E-2</v>
          </cell>
          <cell r="BO209" t="str">
            <v>-</v>
          </cell>
          <cell r="BP209" t="str">
            <v>-</v>
          </cell>
          <cell r="BQ209">
            <v>13623.895199999999</v>
          </cell>
          <cell r="BR209">
            <v>1135.3245999999999</v>
          </cell>
          <cell r="BS209">
            <v>262</v>
          </cell>
          <cell r="BT209">
            <v>52.4</v>
          </cell>
        </row>
        <row r="210">
          <cell r="A210" t="str">
            <v>Ireland2024100 / 100</v>
          </cell>
          <cell r="B210" t="str">
            <v>Ireland</v>
          </cell>
          <cell r="C210">
            <v>2024</v>
          </cell>
          <cell r="D210" t="str">
            <v>100 / 100</v>
          </cell>
          <cell r="E210">
            <v>64158.49</v>
          </cell>
          <cell r="F210">
            <v>5346.5408333333335</v>
          </cell>
          <cell r="G210">
            <v>1233.8266063585104</v>
          </cell>
          <cell r="H210">
            <v>246.76532127170208</v>
          </cell>
          <cell r="I210">
            <v>64158.49</v>
          </cell>
          <cell r="J210">
            <v>5346.5408333333335</v>
          </cell>
          <cell r="K210">
            <v>1233.8266063585104</v>
          </cell>
          <cell r="L210">
            <v>246.76532127170208</v>
          </cell>
          <cell r="M210" t="str">
            <v>..</v>
          </cell>
          <cell r="N210" t="str">
            <v>..</v>
          </cell>
          <cell r="O210" t="str">
            <v>..</v>
          </cell>
          <cell r="P210" t="str">
            <v>..</v>
          </cell>
          <cell r="Q210" t="str">
            <v>..</v>
          </cell>
          <cell r="R210" t="str">
            <v>..</v>
          </cell>
          <cell r="S210" t="str">
            <v>..</v>
          </cell>
          <cell r="T210" t="str">
            <v>..</v>
          </cell>
          <cell r="U210" t="str">
            <v>..</v>
          </cell>
          <cell r="V210">
            <v>33</v>
          </cell>
          <cell r="W210">
            <v>7</v>
          </cell>
          <cell r="X210">
            <v>26</v>
          </cell>
          <cell r="Y210" t="str">
            <v>-</v>
          </cell>
          <cell r="Z210" t="str">
            <v>Seven weeks. Weekly benefit of €274</v>
          </cell>
          <cell r="AA210" t="str">
            <v>Gross</v>
          </cell>
          <cell r="AB210" t="str">
            <v>Y</v>
          </cell>
          <cell r="AC210">
            <v>7</v>
          </cell>
          <cell r="AD210" t="str">
            <v>-</v>
          </cell>
          <cell r="AE210" t="str">
            <v>-</v>
          </cell>
          <cell r="AF210" t="str">
            <v>-</v>
          </cell>
          <cell r="AG210" t="str">
            <v>-</v>
          </cell>
          <cell r="AH210" t="str">
            <v>-</v>
          </cell>
          <cell r="AI210">
            <v>274</v>
          </cell>
          <cell r="AJ210" t="str">
            <v>week</v>
          </cell>
          <cell r="AK210" t="str">
            <v>-</v>
          </cell>
          <cell r="AL210" t="str">
            <v>-</v>
          </cell>
          <cell r="AM210" t="str">
            <v>-</v>
          </cell>
          <cell r="AN210" t="str">
            <v>-</v>
          </cell>
          <cell r="AO210" t="str">
            <v>-</v>
          </cell>
          <cell r="AP210" t="str">
            <v>-</v>
          </cell>
          <cell r="AQ210" t="str">
            <v>-</v>
          </cell>
          <cell r="AR210" t="str">
            <v>-</v>
          </cell>
          <cell r="AS210" t="str">
            <v>-</v>
          </cell>
          <cell r="AT210" t="str">
            <v>-</v>
          </cell>
          <cell r="AU210" t="str">
            <v>-</v>
          </cell>
          <cell r="AV210" t="str">
            <v>-</v>
          </cell>
          <cell r="AW210" t="str">
            <v>-</v>
          </cell>
          <cell r="AX210" t="str">
            <v>-</v>
          </cell>
          <cell r="AY210" t="str">
            <v>-</v>
          </cell>
          <cell r="AZ210" t="str">
            <v>-</v>
          </cell>
          <cell r="BA210" t="str">
            <v>-</v>
          </cell>
          <cell r="BB210" t="str">
            <v>-</v>
          </cell>
          <cell r="BC210" t="str">
            <v>-</v>
          </cell>
          <cell r="BD210" t="str">
            <v>-</v>
          </cell>
          <cell r="BE210" t="str">
            <v>-</v>
          </cell>
          <cell r="BF210" t="str">
            <v>-</v>
          </cell>
          <cell r="BG210" t="str">
            <v>-</v>
          </cell>
          <cell r="BH210" t="str">
            <v>-</v>
          </cell>
          <cell r="BI210" t="str">
            <v>-</v>
          </cell>
          <cell r="BJ210" t="str">
            <v>-</v>
          </cell>
          <cell r="BK210" t="str">
            <v>-</v>
          </cell>
          <cell r="BL210" t="str">
            <v>-</v>
          </cell>
          <cell r="BM210">
            <v>0.22207334368374318</v>
          </cell>
          <cell r="BN210">
            <v>4.7106466842006131E-2</v>
          </cell>
          <cell r="BQ210">
            <v>14247.8904</v>
          </cell>
          <cell r="BR210">
            <v>1187.3242</v>
          </cell>
          <cell r="BS210">
            <v>274</v>
          </cell>
          <cell r="BT210">
            <v>54.8</v>
          </cell>
        </row>
        <row r="211">
          <cell r="A211" t="str">
            <v>Ireland2025100 / 100</v>
          </cell>
          <cell r="B211" t="str">
            <v>Ireland</v>
          </cell>
          <cell r="C211">
            <v>2025</v>
          </cell>
          <cell r="D211" t="str">
            <v>100 / 100</v>
          </cell>
          <cell r="E211">
            <v>64158.49</v>
          </cell>
          <cell r="F211">
            <v>5346.5408333333335</v>
          </cell>
          <cell r="G211">
            <v>1233.8266063585104</v>
          </cell>
          <cell r="H211">
            <v>246.76532127170208</v>
          </cell>
          <cell r="I211">
            <v>64158.49</v>
          </cell>
          <cell r="J211">
            <v>5346.5408333333335</v>
          </cell>
          <cell r="K211">
            <v>1233.8266063585104</v>
          </cell>
          <cell r="L211">
            <v>246.76532127170208</v>
          </cell>
          <cell r="M211" t="str">
            <v>..</v>
          </cell>
          <cell r="N211" t="str">
            <v>..</v>
          </cell>
          <cell r="O211" t="str">
            <v>..</v>
          </cell>
          <cell r="P211" t="str">
            <v>..</v>
          </cell>
          <cell r="Q211" t="str">
            <v>..</v>
          </cell>
          <cell r="R211" t="str">
            <v>..</v>
          </cell>
          <cell r="S211" t="str">
            <v>..</v>
          </cell>
          <cell r="T211" t="str">
            <v>..</v>
          </cell>
          <cell r="U211" t="str">
            <v>..</v>
          </cell>
          <cell r="V211">
            <v>33</v>
          </cell>
          <cell r="W211">
            <v>7</v>
          </cell>
          <cell r="X211">
            <v>26</v>
          </cell>
          <cell r="Y211" t="str">
            <v>-</v>
          </cell>
          <cell r="Z211" t="str">
            <v>Nine weeks. Weekly benefit of €274</v>
          </cell>
          <cell r="AA211" t="str">
            <v>Gross</v>
          </cell>
          <cell r="AB211" t="str">
            <v>Y</v>
          </cell>
          <cell r="AC211">
            <v>9</v>
          </cell>
          <cell r="AD211" t="str">
            <v>-</v>
          </cell>
          <cell r="AE211" t="str">
            <v>-</v>
          </cell>
          <cell r="AF211" t="str">
            <v>-</v>
          </cell>
          <cell r="AG211" t="str">
            <v>-</v>
          </cell>
          <cell r="AH211" t="str">
            <v>-</v>
          </cell>
          <cell r="AI211">
            <v>289</v>
          </cell>
          <cell r="AJ211" t="str">
            <v>week</v>
          </cell>
          <cell r="AK211" t="str">
            <v>-</v>
          </cell>
          <cell r="AL211" t="str">
            <v>-</v>
          </cell>
          <cell r="AM211" t="str">
            <v>-</v>
          </cell>
          <cell r="AN211" t="str">
            <v>-</v>
          </cell>
          <cell r="AO211" t="str">
            <v>-</v>
          </cell>
          <cell r="AP211" t="str">
            <v>-</v>
          </cell>
          <cell r="AQ211" t="str">
            <v>-</v>
          </cell>
          <cell r="AR211" t="str">
            <v>-</v>
          </cell>
          <cell r="AS211" t="str">
            <v>-</v>
          </cell>
          <cell r="AT211" t="str">
            <v>-</v>
          </cell>
          <cell r="AU211" t="str">
            <v>-</v>
          </cell>
          <cell r="AV211" t="str">
            <v>-</v>
          </cell>
          <cell r="AW211" t="str">
            <v>-</v>
          </cell>
          <cell r="AX211" t="str">
            <v>-</v>
          </cell>
          <cell r="AY211" t="str">
            <v>-</v>
          </cell>
          <cell r="AZ211" t="str">
            <v>-</v>
          </cell>
          <cell r="BA211" t="str">
            <v>-</v>
          </cell>
          <cell r="BB211" t="str">
            <v>-</v>
          </cell>
          <cell r="BC211" t="str">
            <v>-</v>
          </cell>
          <cell r="BD211" t="str">
            <v>-</v>
          </cell>
          <cell r="BE211" t="str">
            <v>-</v>
          </cell>
          <cell r="BF211" t="str">
            <v>-</v>
          </cell>
          <cell r="BG211" t="str">
            <v>-</v>
          </cell>
          <cell r="BH211" t="str">
            <v>-</v>
          </cell>
          <cell r="BI211" t="str">
            <v>-</v>
          </cell>
          <cell r="BJ211" t="str">
            <v>-</v>
          </cell>
          <cell r="BK211" t="str">
            <v>-</v>
          </cell>
          <cell r="BL211" t="str">
            <v>-</v>
          </cell>
          <cell r="BM211">
            <v>0.23423064352044445</v>
          </cell>
          <cell r="BN211">
            <v>6.3881084596484852E-2</v>
          </cell>
          <cell r="BQ211">
            <v>15027.884399999999</v>
          </cell>
          <cell r="BR211">
            <v>1252.3237000000001</v>
          </cell>
          <cell r="BS211">
            <v>289</v>
          </cell>
          <cell r="BT211">
            <v>57.8</v>
          </cell>
        </row>
        <row r="212">
          <cell r="A212" t="str">
            <v>Israel2014100 / 100</v>
          </cell>
          <cell r="B212" t="str">
            <v>Israel</v>
          </cell>
          <cell r="C212">
            <v>2014</v>
          </cell>
          <cell r="D212" t="str">
            <v>100 / 100</v>
          </cell>
          <cell r="E212">
            <v>134748</v>
          </cell>
          <cell r="F212">
            <v>11229</v>
          </cell>
          <cell r="G212">
            <v>2591.3276255971195</v>
          </cell>
          <cell r="H212">
            <v>518.26552511942396</v>
          </cell>
          <cell r="I212">
            <v>134748</v>
          </cell>
          <cell r="J212">
            <v>11229</v>
          </cell>
          <cell r="K212">
            <v>2591.3276255971195</v>
          </cell>
          <cell r="L212">
            <v>518.26552511942396</v>
          </cell>
          <cell r="M212" t="str">
            <v>..</v>
          </cell>
          <cell r="N212" t="str">
            <v>..</v>
          </cell>
          <cell r="O212" t="str">
            <v>..</v>
          </cell>
          <cell r="P212" t="str">
            <v>..</v>
          </cell>
          <cell r="Q212" t="str">
            <v>..</v>
          </cell>
          <cell r="R212" t="str">
            <v>..</v>
          </cell>
          <cell r="S212" t="str">
            <v>..</v>
          </cell>
          <cell r="T212" t="str">
            <v>..</v>
          </cell>
          <cell r="U212" t="str">
            <v>..</v>
          </cell>
          <cell r="V212">
            <v>0</v>
          </cell>
          <cell r="W212">
            <v>0</v>
          </cell>
          <cell r="X212">
            <v>0</v>
          </cell>
          <cell r="Y212" t="str">
            <v>-</v>
          </cell>
          <cell r="Z212" t="str">
            <v>No entitlement to paid fathers-only parents leave</v>
          </cell>
          <cell r="AA212" t="str">
            <v>-</v>
          </cell>
          <cell r="AB212" t="str">
            <v>-</v>
          </cell>
          <cell r="AC212">
            <v>0</v>
          </cell>
          <cell r="AD212" t="str">
            <v>-</v>
          </cell>
          <cell r="AE212" t="str">
            <v>-</v>
          </cell>
          <cell r="AF212" t="str">
            <v>-</v>
          </cell>
          <cell r="AG212" t="str">
            <v>-</v>
          </cell>
          <cell r="AH212" t="str">
            <v>-</v>
          </cell>
          <cell r="AI212" t="str">
            <v>-</v>
          </cell>
          <cell r="AJ212" t="str">
            <v>-</v>
          </cell>
          <cell r="AK212" t="str">
            <v>-</v>
          </cell>
          <cell r="AL212" t="str">
            <v>-</v>
          </cell>
          <cell r="AM212" t="str">
            <v>-</v>
          </cell>
          <cell r="AN212" t="str">
            <v>-</v>
          </cell>
          <cell r="AO212" t="str">
            <v>-</v>
          </cell>
          <cell r="AP212" t="str">
            <v>-</v>
          </cell>
          <cell r="AQ212" t="str">
            <v>-</v>
          </cell>
          <cell r="AR212" t="str">
            <v>-</v>
          </cell>
          <cell r="AS212" t="str">
            <v>-</v>
          </cell>
          <cell r="AT212" t="str">
            <v>-</v>
          </cell>
          <cell r="AU212" t="str">
            <v>-</v>
          </cell>
          <cell r="AV212" t="str">
            <v>-</v>
          </cell>
          <cell r="AW212" t="str">
            <v>-</v>
          </cell>
          <cell r="AX212" t="str">
            <v>-</v>
          </cell>
          <cell r="AY212" t="str">
            <v>-</v>
          </cell>
          <cell r="AZ212" t="str">
            <v>-</v>
          </cell>
          <cell r="BA212" t="str">
            <v>-</v>
          </cell>
          <cell r="BB212" t="str">
            <v>-</v>
          </cell>
          <cell r="BC212" t="str">
            <v>-</v>
          </cell>
          <cell r="BD212" t="str">
            <v>-</v>
          </cell>
          <cell r="BE212" t="str">
            <v>-</v>
          </cell>
          <cell r="BF212" t="str">
            <v>-</v>
          </cell>
          <cell r="BG212" t="str">
            <v>-</v>
          </cell>
          <cell r="BH212" t="str">
            <v>-</v>
          </cell>
          <cell r="BI212" t="str">
            <v>-</v>
          </cell>
          <cell r="BJ212" t="str">
            <v>-</v>
          </cell>
          <cell r="BK212" t="str">
            <v>-</v>
          </cell>
          <cell r="BL212" t="str">
            <v>-</v>
          </cell>
          <cell r="BM212">
            <v>0</v>
          </cell>
          <cell r="BN212">
            <v>0</v>
          </cell>
          <cell r="BO212">
            <v>0</v>
          </cell>
          <cell r="BP212">
            <v>0</v>
          </cell>
          <cell r="BQ212">
            <v>0</v>
          </cell>
          <cell r="BR212">
            <v>0</v>
          </cell>
          <cell r="BS212">
            <v>0</v>
          </cell>
          <cell r="BT212">
            <v>0</v>
          </cell>
        </row>
        <row r="213">
          <cell r="A213" t="str">
            <v>Israel2015100 / 100</v>
          </cell>
          <cell r="B213" t="str">
            <v>Israel</v>
          </cell>
          <cell r="C213">
            <v>2015</v>
          </cell>
          <cell r="D213" t="str">
            <v>100 / 100</v>
          </cell>
          <cell r="E213">
            <v>139728</v>
          </cell>
          <cell r="F213">
            <v>11644</v>
          </cell>
          <cell r="G213">
            <v>2687.0975930584077</v>
          </cell>
          <cell r="H213">
            <v>537.4195186116815</v>
          </cell>
          <cell r="I213">
            <v>139728</v>
          </cell>
          <cell r="J213">
            <v>11644</v>
          </cell>
          <cell r="K213">
            <v>2687.0975930584077</v>
          </cell>
          <cell r="L213">
            <v>537.4195186116815</v>
          </cell>
          <cell r="M213" t="str">
            <v>..</v>
          </cell>
          <cell r="N213" t="str">
            <v>..</v>
          </cell>
          <cell r="O213" t="str">
            <v>..</v>
          </cell>
          <cell r="P213" t="str">
            <v>..</v>
          </cell>
          <cell r="Q213" t="str">
            <v>..</v>
          </cell>
          <cell r="R213" t="str">
            <v>..</v>
          </cell>
          <cell r="S213" t="str">
            <v>..</v>
          </cell>
          <cell r="T213" t="str">
            <v>..</v>
          </cell>
          <cell r="U213" t="str">
            <v>..</v>
          </cell>
          <cell r="V213">
            <v>0</v>
          </cell>
          <cell r="W213">
            <v>0</v>
          </cell>
          <cell r="X213">
            <v>0</v>
          </cell>
          <cell r="Y213" t="str">
            <v>-</v>
          </cell>
          <cell r="Z213" t="str">
            <v>No entitlement to paid fathers-only parents leave</v>
          </cell>
          <cell r="AA213" t="str">
            <v>-</v>
          </cell>
          <cell r="AB213" t="str">
            <v>-</v>
          </cell>
          <cell r="AC213">
            <v>0</v>
          </cell>
          <cell r="AD213" t="str">
            <v>-</v>
          </cell>
          <cell r="AE213" t="str">
            <v>-</v>
          </cell>
          <cell r="AF213" t="str">
            <v>-</v>
          </cell>
          <cell r="AG213" t="str">
            <v>-</v>
          </cell>
          <cell r="AH213" t="str">
            <v>-</v>
          </cell>
          <cell r="AI213" t="str">
            <v>-</v>
          </cell>
          <cell r="AJ213" t="str">
            <v>-</v>
          </cell>
          <cell r="AK213" t="str">
            <v>-</v>
          </cell>
          <cell r="AL213" t="str">
            <v>-</v>
          </cell>
          <cell r="AM213" t="str">
            <v>-</v>
          </cell>
          <cell r="AN213" t="str">
            <v>-</v>
          </cell>
          <cell r="AO213" t="str">
            <v>-</v>
          </cell>
          <cell r="AP213" t="str">
            <v>-</v>
          </cell>
          <cell r="AQ213" t="str">
            <v>-</v>
          </cell>
          <cell r="AR213" t="str">
            <v>-</v>
          </cell>
          <cell r="AS213" t="str">
            <v>-</v>
          </cell>
          <cell r="AT213" t="str">
            <v>-</v>
          </cell>
          <cell r="AU213" t="str">
            <v>-</v>
          </cell>
          <cell r="AV213" t="str">
            <v>-</v>
          </cell>
          <cell r="AW213" t="str">
            <v>-</v>
          </cell>
          <cell r="AX213" t="str">
            <v>-</v>
          </cell>
          <cell r="AY213" t="str">
            <v>-</v>
          </cell>
          <cell r="AZ213" t="str">
            <v>-</v>
          </cell>
          <cell r="BA213" t="str">
            <v>-</v>
          </cell>
          <cell r="BB213" t="str">
            <v>-</v>
          </cell>
          <cell r="BC213" t="str">
            <v>-</v>
          </cell>
          <cell r="BD213" t="str">
            <v>-</v>
          </cell>
          <cell r="BE213" t="str">
            <v>-</v>
          </cell>
          <cell r="BF213" t="str">
            <v>-</v>
          </cell>
          <cell r="BG213" t="str">
            <v>-</v>
          </cell>
          <cell r="BH213" t="str">
            <v>-</v>
          </cell>
          <cell r="BI213" t="str">
            <v>-</v>
          </cell>
          <cell r="BJ213" t="str">
            <v>-</v>
          </cell>
          <cell r="BK213" t="str">
            <v>-</v>
          </cell>
          <cell r="BL213" t="str">
            <v>-</v>
          </cell>
          <cell r="BM213">
            <v>0</v>
          </cell>
          <cell r="BN213">
            <v>0</v>
          </cell>
          <cell r="BO213">
            <v>0</v>
          </cell>
          <cell r="BP213">
            <v>0</v>
          </cell>
          <cell r="BQ213">
            <v>0</v>
          </cell>
          <cell r="BR213">
            <v>0</v>
          </cell>
          <cell r="BS213">
            <v>0</v>
          </cell>
          <cell r="BT213">
            <v>0</v>
          </cell>
        </row>
        <row r="214">
          <cell r="A214" t="str">
            <v>Israel2016100 / 100</v>
          </cell>
          <cell r="B214" t="str">
            <v>Israel</v>
          </cell>
          <cell r="C214">
            <v>2016</v>
          </cell>
          <cell r="D214" t="str">
            <v>100 / 100</v>
          </cell>
          <cell r="E214">
            <v>143604</v>
          </cell>
          <cell r="F214">
            <v>11967</v>
          </cell>
          <cell r="G214">
            <v>2761.636627974061</v>
          </cell>
          <cell r="H214">
            <v>552.32732559481224</v>
          </cell>
          <cell r="I214">
            <v>143604</v>
          </cell>
          <cell r="J214">
            <v>11967</v>
          </cell>
          <cell r="K214">
            <v>2761.636627974061</v>
          </cell>
          <cell r="L214">
            <v>552.32732559481224</v>
          </cell>
          <cell r="M214" t="str">
            <v>..</v>
          </cell>
          <cell r="N214" t="str">
            <v>..</v>
          </cell>
          <cell r="O214" t="str">
            <v>..</v>
          </cell>
          <cell r="P214" t="str">
            <v>..</v>
          </cell>
          <cell r="Q214" t="str">
            <v>..</v>
          </cell>
          <cell r="R214" t="str">
            <v>..</v>
          </cell>
          <cell r="S214" t="str">
            <v>..</v>
          </cell>
          <cell r="T214" t="str">
            <v>..</v>
          </cell>
          <cell r="U214" t="str">
            <v>..</v>
          </cell>
          <cell r="V214">
            <v>0</v>
          </cell>
          <cell r="W214">
            <v>0</v>
          </cell>
          <cell r="X214">
            <v>0</v>
          </cell>
          <cell r="Y214" t="str">
            <v>-</v>
          </cell>
          <cell r="Z214" t="str">
            <v>No entitlement to paid fathers-only parents leave</v>
          </cell>
          <cell r="AA214" t="str">
            <v>-</v>
          </cell>
          <cell r="AB214" t="str">
            <v>-</v>
          </cell>
          <cell r="AC214">
            <v>0</v>
          </cell>
          <cell r="AD214" t="str">
            <v>-</v>
          </cell>
          <cell r="AE214" t="str">
            <v>-</v>
          </cell>
          <cell r="AF214" t="str">
            <v>-</v>
          </cell>
          <cell r="AG214" t="str">
            <v>-</v>
          </cell>
          <cell r="AH214" t="str">
            <v>-</v>
          </cell>
          <cell r="AI214" t="str">
            <v>-</v>
          </cell>
          <cell r="AJ214" t="str">
            <v>-</v>
          </cell>
          <cell r="AK214" t="str">
            <v>-</v>
          </cell>
          <cell r="AL214" t="str">
            <v>-</v>
          </cell>
          <cell r="AM214" t="str">
            <v>-</v>
          </cell>
          <cell r="AN214" t="str">
            <v>-</v>
          </cell>
          <cell r="AO214" t="str">
            <v>-</v>
          </cell>
          <cell r="AP214" t="str">
            <v>-</v>
          </cell>
          <cell r="AQ214" t="str">
            <v>-</v>
          </cell>
          <cell r="AR214" t="str">
            <v>-</v>
          </cell>
          <cell r="AS214" t="str">
            <v>-</v>
          </cell>
          <cell r="AT214" t="str">
            <v>-</v>
          </cell>
          <cell r="AU214" t="str">
            <v>-</v>
          </cell>
          <cell r="AV214" t="str">
            <v>-</v>
          </cell>
          <cell r="AW214" t="str">
            <v>-</v>
          </cell>
          <cell r="AX214" t="str">
            <v>-</v>
          </cell>
          <cell r="AY214" t="str">
            <v>-</v>
          </cell>
          <cell r="AZ214" t="str">
            <v>-</v>
          </cell>
          <cell r="BA214" t="str">
            <v>-</v>
          </cell>
          <cell r="BB214" t="str">
            <v>-</v>
          </cell>
          <cell r="BC214" t="str">
            <v>-</v>
          </cell>
          <cell r="BD214" t="str">
            <v>-</v>
          </cell>
          <cell r="BE214" t="str">
            <v>-</v>
          </cell>
          <cell r="BF214" t="str">
            <v>-</v>
          </cell>
          <cell r="BG214" t="str">
            <v>-</v>
          </cell>
          <cell r="BH214" t="str">
            <v>-</v>
          </cell>
          <cell r="BI214" t="str">
            <v>-</v>
          </cell>
          <cell r="BJ214" t="str">
            <v>-</v>
          </cell>
          <cell r="BK214" t="str">
            <v>-</v>
          </cell>
          <cell r="BL214" t="str">
            <v>-</v>
          </cell>
          <cell r="BM214">
            <v>0</v>
          </cell>
          <cell r="BN214">
            <v>0</v>
          </cell>
          <cell r="BO214">
            <v>0</v>
          </cell>
          <cell r="BP214">
            <v>0</v>
          </cell>
          <cell r="BQ214">
            <v>0</v>
          </cell>
          <cell r="BR214">
            <v>0</v>
          </cell>
          <cell r="BS214">
            <v>0</v>
          </cell>
          <cell r="BT214">
            <v>0</v>
          </cell>
        </row>
        <row r="215">
          <cell r="A215" t="str">
            <v>Israel2017100 / 100</v>
          </cell>
          <cell r="B215" t="str">
            <v>Israel</v>
          </cell>
          <cell r="C215">
            <v>2017</v>
          </cell>
          <cell r="D215" t="str">
            <v>100 / 100</v>
          </cell>
          <cell r="E215">
            <v>147936</v>
          </cell>
          <cell r="F215">
            <v>12328</v>
          </cell>
          <cell r="G215">
            <v>2844.9449611150853</v>
          </cell>
          <cell r="H215">
            <v>568.98899222301702</v>
          </cell>
          <cell r="I215">
            <v>147936</v>
          </cell>
          <cell r="J215">
            <v>12328</v>
          </cell>
          <cell r="K215">
            <v>2844.9449611150853</v>
          </cell>
          <cell r="L215">
            <v>568.98899222301702</v>
          </cell>
          <cell r="M215" t="str">
            <v>..</v>
          </cell>
          <cell r="N215" t="str">
            <v>..</v>
          </cell>
          <cell r="O215" t="str">
            <v>..</v>
          </cell>
          <cell r="P215" t="str">
            <v>..</v>
          </cell>
          <cell r="Q215" t="str">
            <v>..</v>
          </cell>
          <cell r="R215" t="str">
            <v>..</v>
          </cell>
          <cell r="S215" t="str">
            <v>..</v>
          </cell>
          <cell r="T215" t="str">
            <v>..</v>
          </cell>
          <cell r="U215" t="str">
            <v>..</v>
          </cell>
          <cell r="V215">
            <v>0</v>
          </cell>
          <cell r="W215">
            <v>0</v>
          </cell>
          <cell r="X215">
            <v>0</v>
          </cell>
          <cell r="Y215" t="str">
            <v>-</v>
          </cell>
          <cell r="Z215" t="str">
            <v>No entitlement to paid fathers-only parents leave</v>
          </cell>
          <cell r="AA215" t="str">
            <v>-</v>
          </cell>
          <cell r="AB215" t="str">
            <v>-</v>
          </cell>
          <cell r="AC215">
            <v>0</v>
          </cell>
          <cell r="AD215" t="str">
            <v>-</v>
          </cell>
          <cell r="AE215" t="str">
            <v>-</v>
          </cell>
          <cell r="AF215" t="str">
            <v>-</v>
          </cell>
          <cell r="AG215" t="str">
            <v>-</v>
          </cell>
          <cell r="AH215" t="str">
            <v>-</v>
          </cell>
          <cell r="AI215" t="str">
            <v>-</v>
          </cell>
          <cell r="AJ215" t="str">
            <v>-</v>
          </cell>
          <cell r="AK215" t="str">
            <v>-</v>
          </cell>
          <cell r="AL215" t="str">
            <v>-</v>
          </cell>
          <cell r="AM215" t="str">
            <v>-</v>
          </cell>
          <cell r="AN215" t="str">
            <v>-</v>
          </cell>
          <cell r="AO215" t="str">
            <v>-</v>
          </cell>
          <cell r="AP215" t="str">
            <v>-</v>
          </cell>
          <cell r="AQ215" t="str">
            <v>-</v>
          </cell>
          <cell r="AR215" t="str">
            <v>-</v>
          </cell>
          <cell r="AS215" t="str">
            <v>-</v>
          </cell>
          <cell r="AT215" t="str">
            <v>-</v>
          </cell>
          <cell r="AU215" t="str">
            <v>-</v>
          </cell>
          <cell r="AV215" t="str">
            <v>-</v>
          </cell>
          <cell r="AW215" t="str">
            <v>-</v>
          </cell>
          <cell r="AX215" t="str">
            <v>-</v>
          </cell>
          <cell r="AY215" t="str">
            <v>-</v>
          </cell>
          <cell r="AZ215" t="str">
            <v>-</v>
          </cell>
          <cell r="BA215" t="str">
            <v>-</v>
          </cell>
          <cell r="BB215" t="str">
            <v>-</v>
          </cell>
          <cell r="BC215" t="str">
            <v>-</v>
          </cell>
          <cell r="BD215" t="str">
            <v>-</v>
          </cell>
          <cell r="BE215" t="str">
            <v>-</v>
          </cell>
          <cell r="BF215" t="str">
            <v>-</v>
          </cell>
          <cell r="BG215" t="str">
            <v>-</v>
          </cell>
          <cell r="BH215" t="str">
            <v>-</v>
          </cell>
          <cell r="BI215" t="str">
            <v>-</v>
          </cell>
          <cell r="BJ215" t="str">
            <v>-</v>
          </cell>
          <cell r="BK215" t="str">
            <v>-</v>
          </cell>
          <cell r="BL215" t="str">
            <v>-</v>
          </cell>
          <cell r="BM215">
            <v>0</v>
          </cell>
          <cell r="BN215">
            <v>0</v>
          </cell>
          <cell r="BO215">
            <v>0</v>
          </cell>
          <cell r="BP215">
            <v>0</v>
          </cell>
          <cell r="BQ215">
            <v>0</v>
          </cell>
          <cell r="BR215">
            <v>0</v>
          </cell>
          <cell r="BS215">
            <v>0</v>
          </cell>
          <cell r="BT215">
            <v>0</v>
          </cell>
        </row>
        <row r="216">
          <cell r="A216" t="str">
            <v>Israel2018100 / 100</v>
          </cell>
          <cell r="B216" t="str">
            <v>Israel</v>
          </cell>
          <cell r="C216">
            <v>2018</v>
          </cell>
          <cell r="D216" t="str">
            <v>100 / 100</v>
          </cell>
          <cell r="E216">
            <v>148644</v>
          </cell>
          <cell r="F216">
            <v>12387</v>
          </cell>
          <cell r="G216">
            <v>2858.5604504650032</v>
          </cell>
          <cell r="H216">
            <v>571.7120900930006</v>
          </cell>
          <cell r="I216">
            <v>148644</v>
          </cell>
          <cell r="J216">
            <v>12387</v>
          </cell>
          <cell r="K216">
            <v>2858.5604504650032</v>
          </cell>
          <cell r="L216">
            <v>571.7120900930006</v>
          </cell>
          <cell r="M216" t="str">
            <v>..</v>
          </cell>
          <cell r="N216" t="str">
            <v>..</v>
          </cell>
          <cell r="O216" t="str">
            <v>..</v>
          </cell>
          <cell r="P216" t="str">
            <v>..</v>
          </cell>
          <cell r="Q216" t="str">
            <v>..</v>
          </cell>
          <cell r="R216" t="str">
            <v>..</v>
          </cell>
          <cell r="S216" t="str">
            <v>..</v>
          </cell>
          <cell r="T216" t="str">
            <v>..</v>
          </cell>
          <cell r="U216" t="str">
            <v>..</v>
          </cell>
          <cell r="V216">
            <v>0</v>
          </cell>
          <cell r="W216">
            <v>0</v>
          </cell>
          <cell r="X216">
            <v>0</v>
          </cell>
          <cell r="Y216" t="str">
            <v>-</v>
          </cell>
          <cell r="Z216" t="str">
            <v>No entitlement to paid fathers-only parents leave</v>
          </cell>
          <cell r="AA216" t="str">
            <v>-</v>
          </cell>
          <cell r="AB216" t="str">
            <v>-</v>
          </cell>
          <cell r="AC216">
            <v>0</v>
          </cell>
          <cell r="AD216" t="str">
            <v>-</v>
          </cell>
          <cell r="AE216" t="str">
            <v>-</v>
          </cell>
          <cell r="AF216" t="str">
            <v>-</v>
          </cell>
          <cell r="AG216" t="str">
            <v>-</v>
          </cell>
          <cell r="AH216" t="str">
            <v>-</v>
          </cell>
          <cell r="AI216" t="str">
            <v>-</v>
          </cell>
          <cell r="AJ216" t="str">
            <v>-</v>
          </cell>
          <cell r="AK216" t="str">
            <v>-</v>
          </cell>
          <cell r="AL216" t="str">
            <v>-</v>
          </cell>
          <cell r="AM216" t="str">
            <v>-</v>
          </cell>
          <cell r="AN216" t="str">
            <v>-</v>
          </cell>
          <cell r="AO216" t="str">
            <v>-</v>
          </cell>
          <cell r="AP216" t="str">
            <v>-</v>
          </cell>
          <cell r="AQ216" t="str">
            <v>-</v>
          </cell>
          <cell r="AR216" t="str">
            <v>-</v>
          </cell>
          <cell r="AS216" t="str">
            <v>-</v>
          </cell>
          <cell r="AT216" t="str">
            <v>-</v>
          </cell>
          <cell r="AU216" t="str">
            <v>-</v>
          </cell>
          <cell r="AV216" t="str">
            <v>-</v>
          </cell>
          <cell r="AW216" t="str">
            <v>-</v>
          </cell>
          <cell r="AX216" t="str">
            <v>-</v>
          </cell>
          <cell r="AY216" t="str">
            <v>-</v>
          </cell>
          <cell r="AZ216" t="str">
            <v>-</v>
          </cell>
          <cell r="BA216" t="str">
            <v>-</v>
          </cell>
          <cell r="BB216" t="str">
            <v>-</v>
          </cell>
          <cell r="BC216" t="str">
            <v>-</v>
          </cell>
          <cell r="BD216" t="str">
            <v>-</v>
          </cell>
          <cell r="BE216" t="str">
            <v>-</v>
          </cell>
          <cell r="BF216" t="str">
            <v>-</v>
          </cell>
          <cell r="BG216" t="str">
            <v>-</v>
          </cell>
          <cell r="BH216" t="str">
            <v>-</v>
          </cell>
          <cell r="BI216" t="str">
            <v>-</v>
          </cell>
          <cell r="BJ216" t="str">
            <v>-</v>
          </cell>
          <cell r="BK216" t="str">
            <v>-</v>
          </cell>
          <cell r="BL216" t="str">
            <v>-</v>
          </cell>
          <cell r="BM216">
            <v>0</v>
          </cell>
          <cell r="BN216">
            <v>0</v>
          </cell>
          <cell r="BO216">
            <v>0</v>
          </cell>
          <cell r="BP216">
            <v>0</v>
          </cell>
          <cell r="BQ216">
            <v>0</v>
          </cell>
          <cell r="BR216">
            <v>0</v>
          </cell>
          <cell r="BS216">
            <v>0</v>
          </cell>
          <cell r="BT216">
            <v>0</v>
          </cell>
        </row>
        <row r="217">
          <cell r="A217" t="str">
            <v>Israel2019100 / 100</v>
          </cell>
          <cell r="B217" t="str">
            <v>Israel</v>
          </cell>
          <cell r="C217">
            <v>2019</v>
          </cell>
          <cell r="D217" t="str">
            <v>100 / 100</v>
          </cell>
          <cell r="E217">
            <v>155904</v>
          </cell>
          <cell r="F217">
            <v>12992</v>
          </cell>
          <cell r="G217">
            <v>2998.1769090531461</v>
          </cell>
          <cell r="H217">
            <v>599.63538181062927</v>
          </cell>
          <cell r="I217">
            <v>155904</v>
          </cell>
          <cell r="J217">
            <v>12992</v>
          </cell>
          <cell r="K217">
            <v>2998.1769090531461</v>
          </cell>
          <cell r="L217">
            <v>599.63538181062927</v>
          </cell>
          <cell r="M217" t="str">
            <v>..</v>
          </cell>
          <cell r="N217" t="str">
            <v>..</v>
          </cell>
          <cell r="O217" t="str">
            <v>..</v>
          </cell>
          <cell r="P217" t="str">
            <v>..</v>
          </cell>
          <cell r="Q217" t="str">
            <v>..</v>
          </cell>
          <cell r="R217" t="str">
            <v>..</v>
          </cell>
          <cell r="S217" t="str">
            <v>..</v>
          </cell>
          <cell r="T217" t="str">
            <v>..</v>
          </cell>
          <cell r="U217" t="str">
            <v>..</v>
          </cell>
          <cell r="V217">
            <v>0</v>
          </cell>
          <cell r="W217">
            <v>0</v>
          </cell>
          <cell r="X217">
            <v>0</v>
          </cell>
          <cell r="Y217" t="str">
            <v>-</v>
          </cell>
          <cell r="Z217" t="str">
            <v>No entitlement to paid fathers-only parents leave</v>
          </cell>
          <cell r="AA217" t="str">
            <v>-</v>
          </cell>
          <cell r="AB217" t="str">
            <v>-</v>
          </cell>
          <cell r="AC217">
            <v>0</v>
          </cell>
          <cell r="AD217" t="str">
            <v>-</v>
          </cell>
          <cell r="AE217" t="str">
            <v>-</v>
          </cell>
          <cell r="AF217" t="str">
            <v>-</v>
          </cell>
          <cell r="AG217" t="str">
            <v>-</v>
          </cell>
          <cell r="AH217" t="str">
            <v>-</v>
          </cell>
          <cell r="AI217" t="str">
            <v>-</v>
          </cell>
          <cell r="AJ217" t="str">
            <v>-</v>
          </cell>
          <cell r="AK217" t="str">
            <v>-</v>
          </cell>
          <cell r="AL217" t="str">
            <v>-</v>
          </cell>
          <cell r="AM217" t="str">
            <v>-</v>
          </cell>
          <cell r="AN217" t="str">
            <v>-</v>
          </cell>
          <cell r="AO217" t="str">
            <v>-</v>
          </cell>
          <cell r="AP217" t="str">
            <v>-</v>
          </cell>
          <cell r="AQ217" t="str">
            <v>-</v>
          </cell>
          <cell r="AR217" t="str">
            <v>-</v>
          </cell>
          <cell r="AS217" t="str">
            <v>-</v>
          </cell>
          <cell r="AT217" t="str">
            <v>-</v>
          </cell>
          <cell r="AU217" t="str">
            <v>-</v>
          </cell>
          <cell r="AV217" t="str">
            <v>-</v>
          </cell>
          <cell r="AW217" t="str">
            <v>-</v>
          </cell>
          <cell r="AX217" t="str">
            <v>-</v>
          </cell>
          <cell r="AY217" t="str">
            <v>-</v>
          </cell>
          <cell r="AZ217" t="str">
            <v>-</v>
          </cell>
          <cell r="BA217" t="str">
            <v>-</v>
          </cell>
          <cell r="BB217" t="str">
            <v>-</v>
          </cell>
          <cell r="BC217" t="str">
            <v>-</v>
          </cell>
          <cell r="BD217" t="str">
            <v>-</v>
          </cell>
          <cell r="BE217" t="str">
            <v>-</v>
          </cell>
          <cell r="BF217" t="str">
            <v>-</v>
          </cell>
          <cell r="BG217" t="str">
            <v>-</v>
          </cell>
          <cell r="BH217" t="str">
            <v>-</v>
          </cell>
          <cell r="BI217" t="str">
            <v>-</v>
          </cell>
          <cell r="BJ217" t="str">
            <v>-</v>
          </cell>
          <cell r="BK217" t="str">
            <v>-</v>
          </cell>
          <cell r="BL217" t="str">
            <v>-</v>
          </cell>
          <cell r="BM217">
            <v>0</v>
          </cell>
          <cell r="BN217">
            <v>0</v>
          </cell>
          <cell r="BO217">
            <v>0</v>
          </cell>
          <cell r="BP217">
            <v>0</v>
          </cell>
          <cell r="BQ217">
            <v>0</v>
          </cell>
          <cell r="BR217">
            <v>0</v>
          </cell>
          <cell r="BS217">
            <v>0</v>
          </cell>
          <cell r="BT217">
            <v>0</v>
          </cell>
        </row>
        <row r="218">
          <cell r="A218" t="str">
            <v>Israel2020100 / 100</v>
          </cell>
          <cell r="B218" t="str">
            <v>Israel</v>
          </cell>
          <cell r="C218">
            <v>2020</v>
          </cell>
          <cell r="D218" t="str">
            <v>100 / 100</v>
          </cell>
          <cell r="E218">
            <v>160644</v>
          </cell>
          <cell r="F218">
            <v>13387</v>
          </cell>
          <cell r="G218">
            <v>3089.3314563958183</v>
          </cell>
          <cell r="H218">
            <v>617.86629127916365</v>
          </cell>
          <cell r="I218">
            <v>160644</v>
          </cell>
          <cell r="J218">
            <v>13387</v>
          </cell>
          <cell r="K218">
            <v>3089.3314563958183</v>
          </cell>
          <cell r="L218">
            <v>617.86629127916365</v>
          </cell>
          <cell r="M218" t="str">
            <v>..</v>
          </cell>
          <cell r="N218" t="str">
            <v>..</v>
          </cell>
          <cell r="O218" t="str">
            <v>..</v>
          </cell>
          <cell r="P218" t="str">
            <v>..</v>
          </cell>
          <cell r="Q218" t="str">
            <v>..</v>
          </cell>
          <cell r="R218" t="str">
            <v>..</v>
          </cell>
          <cell r="S218" t="str">
            <v>..</v>
          </cell>
          <cell r="T218" t="str">
            <v>..</v>
          </cell>
          <cell r="U218" t="str">
            <v>..</v>
          </cell>
          <cell r="V218">
            <v>0</v>
          </cell>
          <cell r="W218">
            <v>0</v>
          </cell>
          <cell r="X218">
            <v>0</v>
          </cell>
          <cell r="Y218" t="str">
            <v>-</v>
          </cell>
          <cell r="Z218" t="str">
            <v>No entitlement to paid fathers-only parents leave</v>
          </cell>
          <cell r="AA218" t="str">
            <v>-</v>
          </cell>
          <cell r="AB218" t="str">
            <v>-</v>
          </cell>
          <cell r="AC218">
            <v>0</v>
          </cell>
          <cell r="AD218" t="str">
            <v>-</v>
          </cell>
          <cell r="AE218" t="str">
            <v>-</v>
          </cell>
          <cell r="AF218" t="str">
            <v>-</v>
          </cell>
          <cell r="AG218" t="str">
            <v>-</v>
          </cell>
          <cell r="AH218" t="str">
            <v>-</v>
          </cell>
          <cell r="AI218" t="str">
            <v>-</v>
          </cell>
          <cell r="AJ218" t="str">
            <v>-</v>
          </cell>
          <cell r="AK218" t="str">
            <v>-</v>
          </cell>
          <cell r="AL218" t="str">
            <v>-</v>
          </cell>
          <cell r="AM218" t="str">
            <v>-</v>
          </cell>
          <cell r="AN218" t="str">
            <v>-</v>
          </cell>
          <cell r="AO218" t="str">
            <v>-</v>
          </cell>
          <cell r="AP218" t="str">
            <v>-</v>
          </cell>
          <cell r="AQ218" t="str">
            <v>-</v>
          </cell>
          <cell r="AR218" t="str">
            <v>-</v>
          </cell>
          <cell r="AS218" t="str">
            <v>-</v>
          </cell>
          <cell r="AT218" t="str">
            <v>-</v>
          </cell>
          <cell r="AU218" t="str">
            <v>-</v>
          </cell>
          <cell r="AV218" t="str">
            <v>-</v>
          </cell>
          <cell r="AW218" t="str">
            <v>-</v>
          </cell>
          <cell r="AX218" t="str">
            <v>-</v>
          </cell>
          <cell r="AY218" t="str">
            <v>-</v>
          </cell>
          <cell r="AZ218" t="str">
            <v>-</v>
          </cell>
          <cell r="BA218" t="str">
            <v>-</v>
          </cell>
          <cell r="BB218" t="str">
            <v>-</v>
          </cell>
          <cell r="BC218" t="str">
            <v>-</v>
          </cell>
          <cell r="BD218" t="str">
            <v>-</v>
          </cell>
          <cell r="BE218" t="str">
            <v>-</v>
          </cell>
          <cell r="BF218" t="str">
            <v>-</v>
          </cell>
          <cell r="BG218" t="str">
            <v>-</v>
          </cell>
          <cell r="BH218" t="str">
            <v>-</v>
          </cell>
          <cell r="BI218" t="str">
            <v>-</v>
          </cell>
          <cell r="BJ218" t="str">
            <v>-</v>
          </cell>
          <cell r="BK218" t="str">
            <v>-</v>
          </cell>
          <cell r="BL218" t="str">
            <v>-</v>
          </cell>
          <cell r="BM218">
            <v>0</v>
          </cell>
          <cell r="BN218">
            <v>0</v>
          </cell>
          <cell r="BO218">
            <v>0</v>
          </cell>
          <cell r="BP218">
            <v>0</v>
          </cell>
          <cell r="BQ218">
            <v>0</v>
          </cell>
          <cell r="BR218">
            <v>0</v>
          </cell>
          <cell r="BS218">
            <v>0</v>
          </cell>
          <cell r="BT218">
            <v>0</v>
          </cell>
        </row>
        <row r="219">
          <cell r="A219" t="str">
            <v>Israel2021100 / 100</v>
          </cell>
          <cell r="B219" t="str">
            <v>Israel</v>
          </cell>
          <cell r="C219">
            <v>2021</v>
          </cell>
          <cell r="D219" t="str">
            <v>100 / 100</v>
          </cell>
          <cell r="E219">
            <v>167688</v>
          </cell>
          <cell r="F219">
            <v>13974</v>
          </cell>
          <cell r="G219">
            <v>3224.7940368772065</v>
          </cell>
          <cell r="H219">
            <v>644.95880737544132</v>
          </cell>
          <cell r="I219">
            <v>167688</v>
          </cell>
          <cell r="J219">
            <v>13974</v>
          </cell>
          <cell r="K219">
            <v>3224.7940368772065</v>
          </cell>
          <cell r="L219">
            <v>644.95880737544132</v>
          </cell>
          <cell r="M219" t="str">
            <v>..</v>
          </cell>
          <cell r="N219" t="str">
            <v>..</v>
          </cell>
          <cell r="O219" t="str">
            <v>..</v>
          </cell>
          <cell r="P219" t="str">
            <v>..</v>
          </cell>
          <cell r="Q219" t="str">
            <v>..</v>
          </cell>
          <cell r="R219" t="str">
            <v>..</v>
          </cell>
          <cell r="S219" t="str">
            <v>..</v>
          </cell>
          <cell r="T219" t="str">
            <v>..</v>
          </cell>
          <cell r="U219" t="str">
            <v>..</v>
          </cell>
          <cell r="V219">
            <v>0</v>
          </cell>
          <cell r="W219">
            <v>0</v>
          </cell>
          <cell r="X219">
            <v>0</v>
          </cell>
          <cell r="Y219" t="str">
            <v>-</v>
          </cell>
          <cell r="Z219" t="str">
            <v>No entitlement to paid fathers-only parents leave</v>
          </cell>
          <cell r="AA219" t="str">
            <v>-</v>
          </cell>
          <cell r="AB219" t="str">
            <v>-</v>
          </cell>
          <cell r="AC219">
            <v>0</v>
          </cell>
          <cell r="AD219" t="str">
            <v>-</v>
          </cell>
          <cell r="AE219" t="str">
            <v>-</v>
          </cell>
          <cell r="AF219" t="str">
            <v>-</v>
          </cell>
          <cell r="AG219" t="str">
            <v>-</v>
          </cell>
          <cell r="AH219" t="str">
            <v>-</v>
          </cell>
          <cell r="AI219" t="str">
            <v>-</v>
          </cell>
          <cell r="AJ219" t="str">
            <v>-</v>
          </cell>
          <cell r="AK219" t="str">
            <v>-</v>
          </cell>
          <cell r="AL219" t="str">
            <v>-</v>
          </cell>
          <cell r="AM219" t="str">
            <v>-</v>
          </cell>
          <cell r="AN219" t="str">
            <v>-</v>
          </cell>
          <cell r="AO219" t="str">
            <v>-</v>
          </cell>
          <cell r="AP219" t="str">
            <v>-</v>
          </cell>
          <cell r="AQ219" t="str">
            <v>-</v>
          </cell>
          <cell r="AR219" t="str">
            <v>-</v>
          </cell>
          <cell r="AS219" t="str">
            <v>-</v>
          </cell>
          <cell r="AT219" t="str">
            <v>-</v>
          </cell>
          <cell r="AU219" t="str">
            <v>-</v>
          </cell>
          <cell r="AV219" t="str">
            <v>-</v>
          </cell>
          <cell r="AW219" t="str">
            <v>-</v>
          </cell>
          <cell r="AX219" t="str">
            <v>-</v>
          </cell>
          <cell r="AY219" t="str">
            <v>-</v>
          </cell>
          <cell r="AZ219" t="str">
            <v>-</v>
          </cell>
          <cell r="BA219" t="str">
            <v>-</v>
          </cell>
          <cell r="BB219" t="str">
            <v>-</v>
          </cell>
          <cell r="BC219" t="str">
            <v>-</v>
          </cell>
          <cell r="BD219" t="str">
            <v>-</v>
          </cell>
          <cell r="BE219" t="str">
            <v>-</v>
          </cell>
          <cell r="BF219" t="str">
            <v>-</v>
          </cell>
          <cell r="BG219" t="str">
            <v>-</v>
          </cell>
          <cell r="BH219" t="str">
            <v>-</v>
          </cell>
          <cell r="BI219" t="str">
            <v>-</v>
          </cell>
          <cell r="BJ219" t="str">
            <v>-</v>
          </cell>
          <cell r="BK219" t="str">
            <v>-</v>
          </cell>
          <cell r="BL219" t="str">
            <v>-</v>
          </cell>
          <cell r="BM219">
            <v>0</v>
          </cell>
          <cell r="BN219">
            <v>0</v>
          </cell>
          <cell r="BO219">
            <v>0</v>
          </cell>
          <cell r="BP219">
            <v>0</v>
          </cell>
          <cell r="BQ219">
            <v>0</v>
          </cell>
          <cell r="BR219">
            <v>0</v>
          </cell>
          <cell r="BS219">
            <v>0</v>
          </cell>
          <cell r="BT219">
            <v>0</v>
          </cell>
        </row>
        <row r="220">
          <cell r="A220" t="str">
            <v>Israel2022100 / 100</v>
          </cell>
          <cell r="B220" t="str">
            <v>Israel</v>
          </cell>
          <cell r="C220">
            <v>2022</v>
          </cell>
          <cell r="D220" t="str">
            <v>100 / 100</v>
          </cell>
          <cell r="E220">
            <v>171036</v>
          </cell>
          <cell r="F220">
            <v>14253</v>
          </cell>
          <cell r="G220">
            <v>3289.1791475319037</v>
          </cell>
          <cell r="H220">
            <v>657.83582950638072</v>
          </cell>
          <cell r="I220">
            <v>171036</v>
          </cell>
          <cell r="J220">
            <v>14253</v>
          </cell>
          <cell r="K220">
            <v>3289.1791475319037</v>
          </cell>
          <cell r="L220">
            <v>657.83582950638072</v>
          </cell>
          <cell r="M220" t="str">
            <v>..</v>
          </cell>
          <cell r="N220" t="str">
            <v>..</v>
          </cell>
          <cell r="O220" t="str">
            <v>..</v>
          </cell>
          <cell r="P220" t="str">
            <v>..</v>
          </cell>
          <cell r="Q220" t="str">
            <v>..</v>
          </cell>
          <cell r="R220" t="str">
            <v>..</v>
          </cell>
          <cell r="S220" t="str">
            <v>..</v>
          </cell>
          <cell r="T220" t="str">
            <v>..</v>
          </cell>
          <cell r="U220" t="str">
            <v>..</v>
          </cell>
          <cell r="V220">
            <v>0</v>
          </cell>
          <cell r="W220">
            <v>0</v>
          </cell>
          <cell r="X220">
            <v>0</v>
          </cell>
          <cell r="Y220" t="str">
            <v>-</v>
          </cell>
          <cell r="Z220" t="str">
            <v>No entitlement to paid fathers-only parents leave</v>
          </cell>
          <cell r="AA220" t="str">
            <v>-</v>
          </cell>
          <cell r="AB220" t="str">
            <v>-</v>
          </cell>
          <cell r="AC220">
            <v>0</v>
          </cell>
          <cell r="AD220" t="str">
            <v>-</v>
          </cell>
          <cell r="AE220" t="str">
            <v>-</v>
          </cell>
          <cell r="AF220" t="str">
            <v>-</v>
          </cell>
          <cell r="AG220" t="str">
            <v>-</v>
          </cell>
          <cell r="AH220" t="str">
            <v>-</v>
          </cell>
          <cell r="AI220" t="str">
            <v>-</v>
          </cell>
          <cell r="AJ220" t="str">
            <v>-</v>
          </cell>
          <cell r="AK220" t="str">
            <v>-</v>
          </cell>
          <cell r="AL220" t="str">
            <v>-</v>
          </cell>
          <cell r="AM220" t="str">
            <v>-</v>
          </cell>
          <cell r="AN220" t="str">
            <v>-</v>
          </cell>
          <cell r="AO220" t="str">
            <v>-</v>
          </cell>
          <cell r="AP220" t="str">
            <v>-</v>
          </cell>
          <cell r="AQ220" t="str">
            <v>-</v>
          </cell>
          <cell r="AR220" t="str">
            <v>-</v>
          </cell>
          <cell r="AS220" t="str">
            <v>-</v>
          </cell>
          <cell r="AT220" t="str">
            <v>-</v>
          </cell>
          <cell r="AU220" t="str">
            <v>-</v>
          </cell>
          <cell r="AV220" t="str">
            <v>-</v>
          </cell>
          <cell r="AW220" t="str">
            <v>-</v>
          </cell>
          <cell r="AX220" t="str">
            <v>-</v>
          </cell>
          <cell r="AY220" t="str">
            <v>-</v>
          </cell>
          <cell r="AZ220" t="str">
            <v>-</v>
          </cell>
          <cell r="BA220" t="str">
            <v>-</v>
          </cell>
          <cell r="BB220" t="str">
            <v>-</v>
          </cell>
          <cell r="BC220" t="str">
            <v>-</v>
          </cell>
          <cell r="BD220" t="str">
            <v>-</v>
          </cell>
          <cell r="BE220" t="str">
            <v>-</v>
          </cell>
          <cell r="BF220" t="str">
            <v>-</v>
          </cell>
          <cell r="BG220" t="str">
            <v>-</v>
          </cell>
          <cell r="BH220" t="str">
            <v>-</v>
          </cell>
          <cell r="BI220" t="str">
            <v>-</v>
          </cell>
          <cell r="BJ220" t="str">
            <v>-</v>
          </cell>
          <cell r="BK220" t="str">
            <v>-</v>
          </cell>
          <cell r="BL220" t="str">
            <v>-</v>
          </cell>
          <cell r="BM220">
            <v>0</v>
          </cell>
          <cell r="BN220">
            <v>0</v>
          </cell>
          <cell r="BO220">
            <v>0</v>
          </cell>
          <cell r="BP220">
            <v>0</v>
          </cell>
          <cell r="BQ220">
            <v>0</v>
          </cell>
          <cell r="BR220">
            <v>0</v>
          </cell>
          <cell r="BS220">
            <v>0</v>
          </cell>
          <cell r="BT220">
            <v>0</v>
          </cell>
        </row>
        <row r="221">
          <cell r="A221" t="str">
            <v>Israel2023100 / 100</v>
          </cell>
          <cell r="B221" t="str">
            <v>Israel</v>
          </cell>
          <cell r="C221">
            <v>2023</v>
          </cell>
          <cell r="D221" t="str">
            <v>100 / 100</v>
          </cell>
          <cell r="E221">
            <v>177216.84</v>
          </cell>
          <cell r="F221">
            <v>14768.07</v>
          </cell>
          <cell r="G221">
            <v>3408.0423695566888</v>
          </cell>
          <cell r="H221">
            <v>681.6084739113378</v>
          </cell>
          <cell r="I221">
            <v>177216.84</v>
          </cell>
          <cell r="J221">
            <v>14768.07</v>
          </cell>
          <cell r="K221">
            <v>3408.0423695566888</v>
          </cell>
          <cell r="L221">
            <v>681.6084739113378</v>
          </cell>
          <cell r="M221" t="str">
            <v>..</v>
          </cell>
          <cell r="N221" t="str">
            <v>..</v>
          </cell>
          <cell r="O221" t="str">
            <v>..</v>
          </cell>
          <cell r="P221" t="str">
            <v>..</v>
          </cell>
          <cell r="Q221" t="str">
            <v>..</v>
          </cell>
          <cell r="R221" t="str">
            <v>..</v>
          </cell>
          <cell r="S221" t="str">
            <v>..</v>
          </cell>
          <cell r="T221" t="str">
            <v>..</v>
          </cell>
          <cell r="U221" t="str">
            <v>..</v>
          </cell>
          <cell r="V221">
            <v>0</v>
          </cell>
          <cell r="W221">
            <v>0</v>
          </cell>
          <cell r="X221">
            <v>0</v>
          </cell>
          <cell r="Y221" t="str">
            <v>-</v>
          </cell>
          <cell r="Z221" t="str">
            <v>No entitlement to paid fathers-only parents leave</v>
          </cell>
          <cell r="AA221" t="str">
            <v>-</v>
          </cell>
          <cell r="AB221" t="str">
            <v>-</v>
          </cell>
          <cell r="AC221">
            <v>0</v>
          </cell>
          <cell r="AD221" t="str">
            <v>-</v>
          </cell>
          <cell r="AE221" t="str">
            <v>-</v>
          </cell>
          <cell r="AF221" t="str">
            <v>-</v>
          </cell>
          <cell r="AG221" t="str">
            <v>-</v>
          </cell>
          <cell r="AH221" t="str">
            <v>-</v>
          </cell>
          <cell r="AI221" t="str">
            <v>-</v>
          </cell>
          <cell r="AJ221" t="str">
            <v>-</v>
          </cell>
          <cell r="AK221" t="str">
            <v>-</v>
          </cell>
          <cell r="AL221" t="str">
            <v>-</v>
          </cell>
          <cell r="AM221" t="str">
            <v>-</v>
          </cell>
          <cell r="AN221" t="str">
            <v>-</v>
          </cell>
          <cell r="AO221" t="str">
            <v>-</v>
          </cell>
          <cell r="AP221" t="str">
            <v>-</v>
          </cell>
          <cell r="AQ221" t="str">
            <v>-</v>
          </cell>
          <cell r="AR221" t="str">
            <v>-</v>
          </cell>
          <cell r="AS221" t="str">
            <v>-</v>
          </cell>
          <cell r="AT221" t="str">
            <v>-</v>
          </cell>
          <cell r="AU221" t="str">
            <v>-</v>
          </cell>
          <cell r="AV221" t="str">
            <v>-</v>
          </cell>
          <cell r="AW221" t="str">
            <v>-</v>
          </cell>
          <cell r="AX221" t="str">
            <v>-</v>
          </cell>
          <cell r="AY221" t="str">
            <v>-</v>
          </cell>
          <cell r="AZ221" t="str">
            <v>-</v>
          </cell>
          <cell r="BA221" t="str">
            <v>-</v>
          </cell>
          <cell r="BB221" t="str">
            <v>-</v>
          </cell>
          <cell r="BC221" t="str">
            <v>-</v>
          </cell>
          <cell r="BD221" t="str">
            <v>-</v>
          </cell>
          <cell r="BE221" t="str">
            <v>-</v>
          </cell>
          <cell r="BF221" t="str">
            <v>-</v>
          </cell>
          <cell r="BG221" t="str">
            <v>-</v>
          </cell>
          <cell r="BH221" t="str">
            <v>-</v>
          </cell>
          <cell r="BI221" t="str">
            <v>-</v>
          </cell>
          <cell r="BJ221" t="str">
            <v>-</v>
          </cell>
          <cell r="BK221" t="str">
            <v>-</v>
          </cell>
          <cell r="BL221" t="str">
            <v>-</v>
          </cell>
          <cell r="BM221">
            <v>0</v>
          </cell>
          <cell r="BN221">
            <v>0</v>
          </cell>
          <cell r="BO221">
            <v>0</v>
          </cell>
          <cell r="BP221">
            <v>0</v>
          </cell>
          <cell r="BQ221">
            <v>0</v>
          </cell>
          <cell r="BR221">
            <v>0</v>
          </cell>
          <cell r="BS221">
            <v>0</v>
          </cell>
          <cell r="BT221">
            <v>0</v>
          </cell>
        </row>
        <row r="222">
          <cell r="A222" t="str">
            <v>Israel2024100 / 100</v>
          </cell>
          <cell r="B222" t="str">
            <v>Israel</v>
          </cell>
          <cell r="C222">
            <v>2024</v>
          </cell>
          <cell r="D222" t="str">
            <v>100 / 100</v>
          </cell>
          <cell r="E222">
            <v>196756.43</v>
          </cell>
          <cell r="F222">
            <v>16396.369166666667</v>
          </cell>
          <cell r="G222">
            <v>3783.8066062046628</v>
          </cell>
          <cell r="H222">
            <v>756.7613212409326</v>
          </cell>
          <cell r="I222">
            <v>196756.43</v>
          </cell>
          <cell r="J222">
            <v>16396.369166666667</v>
          </cell>
          <cell r="K222">
            <v>3783.8066062046628</v>
          </cell>
          <cell r="L222">
            <v>756.7613212409326</v>
          </cell>
          <cell r="M222" t="str">
            <v>..</v>
          </cell>
          <cell r="N222" t="str">
            <v>..</v>
          </cell>
          <cell r="O222" t="str">
            <v>..</v>
          </cell>
          <cell r="P222" t="str">
            <v>..</v>
          </cell>
          <cell r="Q222" t="str">
            <v>..</v>
          </cell>
          <cell r="R222" t="str">
            <v>..</v>
          </cell>
          <cell r="S222" t="str">
            <v>..</v>
          </cell>
          <cell r="T222" t="str">
            <v>..</v>
          </cell>
          <cell r="U222" t="str">
            <v>..</v>
          </cell>
          <cell r="V222">
            <v>0</v>
          </cell>
          <cell r="W222">
            <v>0</v>
          </cell>
          <cell r="X222">
            <v>0</v>
          </cell>
          <cell r="Y222" t="str">
            <v>-</v>
          </cell>
          <cell r="Z222" t="str">
            <v>No entitlement to paid fathers-only parents leave</v>
          </cell>
          <cell r="AA222" t="str">
            <v>-</v>
          </cell>
          <cell r="AB222" t="str">
            <v>-</v>
          </cell>
          <cell r="AC222">
            <v>0</v>
          </cell>
          <cell r="AD222" t="str">
            <v>-</v>
          </cell>
          <cell r="AE222" t="str">
            <v>-</v>
          </cell>
          <cell r="AF222" t="str">
            <v>-</v>
          </cell>
          <cell r="AG222" t="str">
            <v>-</v>
          </cell>
          <cell r="AH222" t="str">
            <v>-</v>
          </cell>
          <cell r="AI222" t="str">
            <v>-</v>
          </cell>
          <cell r="AJ222" t="str">
            <v>-</v>
          </cell>
          <cell r="AK222" t="str">
            <v>-</v>
          </cell>
          <cell r="AL222" t="str">
            <v>-</v>
          </cell>
          <cell r="AM222" t="str">
            <v>-</v>
          </cell>
          <cell r="AN222" t="str">
            <v>-</v>
          </cell>
          <cell r="AO222" t="str">
            <v>-</v>
          </cell>
          <cell r="AP222" t="str">
            <v>-</v>
          </cell>
          <cell r="AQ222" t="str">
            <v>-</v>
          </cell>
          <cell r="AR222" t="str">
            <v>-</v>
          </cell>
          <cell r="AS222" t="str">
            <v>-</v>
          </cell>
          <cell r="AT222" t="str">
            <v>-</v>
          </cell>
          <cell r="AU222" t="str">
            <v>-</v>
          </cell>
          <cell r="AV222" t="str">
            <v>-</v>
          </cell>
          <cell r="AW222" t="str">
            <v>-</v>
          </cell>
          <cell r="AX222" t="str">
            <v>-</v>
          </cell>
          <cell r="AY222" t="str">
            <v>-</v>
          </cell>
          <cell r="AZ222" t="str">
            <v>-</v>
          </cell>
          <cell r="BA222" t="str">
            <v>-</v>
          </cell>
          <cell r="BB222" t="str">
            <v>-</v>
          </cell>
          <cell r="BC222" t="str">
            <v>-</v>
          </cell>
          <cell r="BD222" t="str">
            <v>-</v>
          </cell>
          <cell r="BE222" t="str">
            <v>-</v>
          </cell>
          <cell r="BF222" t="str">
            <v>-</v>
          </cell>
          <cell r="BG222" t="str">
            <v>-</v>
          </cell>
          <cell r="BH222" t="str">
            <v>-</v>
          </cell>
          <cell r="BI222" t="str">
            <v>-</v>
          </cell>
          <cell r="BJ222" t="str">
            <v>-</v>
          </cell>
          <cell r="BK222" t="str">
            <v>-</v>
          </cell>
          <cell r="BL222" t="str">
            <v>-</v>
          </cell>
          <cell r="BM222">
            <v>0</v>
          </cell>
          <cell r="BN222">
            <v>0</v>
          </cell>
          <cell r="BO222">
            <v>0</v>
          </cell>
          <cell r="BP222">
            <v>0</v>
          </cell>
          <cell r="BQ222">
            <v>0</v>
          </cell>
          <cell r="BR222">
            <v>0</v>
          </cell>
          <cell r="BS222">
            <v>0</v>
          </cell>
          <cell r="BT222">
            <v>0</v>
          </cell>
        </row>
        <row r="223">
          <cell r="A223" t="str">
            <v>Israel2025100 / 100</v>
          </cell>
          <cell r="B223" t="str">
            <v>Israel</v>
          </cell>
          <cell r="C223">
            <v>2025</v>
          </cell>
          <cell r="D223" t="str">
            <v>100 / 100</v>
          </cell>
          <cell r="E223">
            <v>196756.43</v>
          </cell>
          <cell r="F223">
            <v>16396.369166666667</v>
          </cell>
          <cell r="G223">
            <v>3783.8066062046628</v>
          </cell>
          <cell r="H223">
            <v>756.7613212409326</v>
          </cell>
          <cell r="I223">
            <v>196756.43</v>
          </cell>
          <cell r="J223">
            <v>16396.369166666667</v>
          </cell>
          <cell r="K223">
            <v>3783.8066062046628</v>
          </cell>
          <cell r="L223">
            <v>756.7613212409326</v>
          </cell>
          <cell r="M223" t="str">
            <v>..</v>
          </cell>
          <cell r="N223" t="str">
            <v>..</v>
          </cell>
          <cell r="O223" t="str">
            <v>..</v>
          </cell>
          <cell r="P223" t="str">
            <v>..</v>
          </cell>
          <cell r="Q223" t="str">
            <v>..</v>
          </cell>
          <cell r="R223" t="str">
            <v>..</v>
          </cell>
          <cell r="S223" t="str">
            <v>..</v>
          </cell>
          <cell r="T223" t="str">
            <v>..</v>
          </cell>
          <cell r="U223" t="str">
            <v>..</v>
          </cell>
          <cell r="V223">
            <v>0</v>
          </cell>
          <cell r="W223">
            <v>0</v>
          </cell>
          <cell r="X223">
            <v>0</v>
          </cell>
          <cell r="Y223" t="str">
            <v>-</v>
          </cell>
          <cell r="Z223" t="str">
            <v>No entitlement to paid fathers-only parents leave</v>
          </cell>
          <cell r="AA223" t="str">
            <v>-</v>
          </cell>
          <cell r="AB223" t="str">
            <v>-</v>
          </cell>
          <cell r="AC223">
            <v>0</v>
          </cell>
          <cell r="AD223" t="str">
            <v>-</v>
          </cell>
          <cell r="AE223" t="str">
            <v>-</v>
          </cell>
          <cell r="AF223" t="str">
            <v>-</v>
          </cell>
          <cell r="AG223" t="str">
            <v>-</v>
          </cell>
          <cell r="AH223" t="str">
            <v>-</v>
          </cell>
          <cell r="AI223" t="str">
            <v>-</v>
          </cell>
          <cell r="AJ223" t="str">
            <v>-</v>
          </cell>
          <cell r="AK223" t="str">
            <v>-</v>
          </cell>
          <cell r="AL223" t="str">
            <v>-</v>
          </cell>
          <cell r="AM223" t="str">
            <v>-</v>
          </cell>
          <cell r="AN223" t="str">
            <v>-</v>
          </cell>
          <cell r="AO223" t="str">
            <v>-</v>
          </cell>
          <cell r="AP223" t="str">
            <v>-</v>
          </cell>
          <cell r="AQ223" t="str">
            <v>-</v>
          </cell>
          <cell r="AR223" t="str">
            <v>-</v>
          </cell>
          <cell r="AS223" t="str">
            <v>-</v>
          </cell>
          <cell r="AT223" t="str">
            <v>-</v>
          </cell>
          <cell r="AU223" t="str">
            <v>-</v>
          </cell>
          <cell r="AV223" t="str">
            <v>-</v>
          </cell>
          <cell r="AW223" t="str">
            <v>-</v>
          </cell>
          <cell r="AX223" t="str">
            <v>-</v>
          </cell>
          <cell r="AY223" t="str">
            <v>-</v>
          </cell>
          <cell r="AZ223" t="str">
            <v>-</v>
          </cell>
          <cell r="BA223" t="str">
            <v>-</v>
          </cell>
          <cell r="BB223" t="str">
            <v>-</v>
          </cell>
          <cell r="BC223" t="str">
            <v>-</v>
          </cell>
          <cell r="BD223" t="str">
            <v>-</v>
          </cell>
          <cell r="BE223" t="str">
            <v>-</v>
          </cell>
          <cell r="BF223" t="str">
            <v>-</v>
          </cell>
          <cell r="BG223" t="str">
            <v>-</v>
          </cell>
          <cell r="BH223" t="str">
            <v>-</v>
          </cell>
          <cell r="BI223" t="str">
            <v>-</v>
          </cell>
          <cell r="BJ223" t="str">
            <v>-</v>
          </cell>
          <cell r="BK223" t="str">
            <v>-</v>
          </cell>
          <cell r="BL223" t="str">
            <v>-</v>
          </cell>
          <cell r="BM223">
            <v>0</v>
          </cell>
          <cell r="BN223">
            <v>0</v>
          </cell>
          <cell r="BO223">
            <v>0</v>
          </cell>
          <cell r="BP223">
            <v>0</v>
          </cell>
          <cell r="BQ223">
            <v>0</v>
          </cell>
          <cell r="BR223">
            <v>0</v>
          </cell>
          <cell r="BS223">
            <v>0</v>
          </cell>
          <cell r="BT223">
            <v>0</v>
          </cell>
        </row>
        <row r="224">
          <cell r="A224" t="str">
            <v>Italy2014100 / 100</v>
          </cell>
          <cell r="B224" t="str">
            <v>Italy</v>
          </cell>
          <cell r="C224">
            <v>2014</v>
          </cell>
          <cell r="D224" t="str">
            <v>100 / 100</v>
          </cell>
          <cell r="E224">
            <v>30347</v>
          </cell>
          <cell r="F224">
            <v>2528.9166666666665</v>
          </cell>
          <cell r="G224">
            <v>583.60064308186975</v>
          </cell>
          <cell r="H224">
            <v>116.72012861637396</v>
          </cell>
          <cell r="I224">
            <v>30347</v>
          </cell>
          <cell r="J224">
            <v>2528.9166666666665</v>
          </cell>
          <cell r="K224">
            <v>583.60064308186975</v>
          </cell>
          <cell r="L224">
            <v>116.72012861637396</v>
          </cell>
          <cell r="M224" t="str">
            <v>..</v>
          </cell>
          <cell r="N224" t="str">
            <v>..</v>
          </cell>
          <cell r="O224" t="str">
            <v>..</v>
          </cell>
          <cell r="P224" t="str">
            <v>..</v>
          </cell>
          <cell r="Q224" t="str">
            <v>..</v>
          </cell>
          <cell r="R224" t="str">
            <v>..</v>
          </cell>
          <cell r="S224" t="str">
            <v>..</v>
          </cell>
          <cell r="T224" t="str">
            <v>..</v>
          </cell>
          <cell r="U224" t="str">
            <v>..</v>
          </cell>
          <cell r="V224">
            <v>21.7</v>
          </cell>
          <cell r="W224">
            <v>0</v>
          </cell>
          <cell r="X224">
            <v>21.7</v>
          </cell>
          <cell r="Y224" t="str">
            <v>-</v>
          </cell>
          <cell r="Z224"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4" t="str">
            <v>Gross</v>
          </cell>
          <cell r="AB224" t="str">
            <v>Y</v>
          </cell>
          <cell r="AC224">
            <v>0</v>
          </cell>
          <cell r="AD224" t="str">
            <v>-</v>
          </cell>
          <cell r="AE224" t="str">
            <v>-</v>
          </cell>
          <cell r="AF224" t="str">
            <v>-</v>
          </cell>
          <cell r="AG224" t="str">
            <v>-</v>
          </cell>
          <cell r="AH224" t="str">
            <v>-</v>
          </cell>
          <cell r="AI224" t="str">
            <v>-</v>
          </cell>
          <cell r="AJ224" t="str">
            <v>-</v>
          </cell>
          <cell r="AK224" t="str">
            <v>-</v>
          </cell>
          <cell r="AL224" t="str">
            <v>-</v>
          </cell>
          <cell r="AM224" t="str">
            <v>-</v>
          </cell>
          <cell r="AN224" t="str">
            <v>-</v>
          </cell>
          <cell r="AO224" t="str">
            <v>-</v>
          </cell>
          <cell r="AP224" t="str">
            <v>-</v>
          </cell>
          <cell r="AQ224" t="str">
            <v>-</v>
          </cell>
          <cell r="AR224" t="str">
            <v>-</v>
          </cell>
          <cell r="AS224" t="str">
            <v>-</v>
          </cell>
          <cell r="AT224" t="str">
            <v>-</v>
          </cell>
          <cell r="AU224" t="str">
            <v>-</v>
          </cell>
          <cell r="AV224" t="str">
            <v>-</v>
          </cell>
          <cell r="AW224" t="str">
            <v>-</v>
          </cell>
          <cell r="AX224" t="str">
            <v>-</v>
          </cell>
          <cell r="AY224" t="str">
            <v>-</v>
          </cell>
          <cell r="AZ224" t="str">
            <v>-</v>
          </cell>
          <cell r="BA224" t="str">
            <v>-</v>
          </cell>
          <cell r="BB224" t="str">
            <v>-</v>
          </cell>
          <cell r="BC224" t="str">
            <v>-</v>
          </cell>
          <cell r="BD224" t="str">
            <v>-</v>
          </cell>
          <cell r="BE224" t="str">
            <v>-</v>
          </cell>
          <cell r="BF224" t="str">
            <v>-</v>
          </cell>
          <cell r="BG224" t="str">
            <v>-</v>
          </cell>
          <cell r="BH224" t="str">
            <v>-</v>
          </cell>
          <cell r="BI224" t="str">
            <v>-</v>
          </cell>
          <cell r="BJ224" t="str">
            <v>-</v>
          </cell>
          <cell r="BK224" t="str">
            <v>-</v>
          </cell>
          <cell r="BL224" t="str">
            <v>-</v>
          </cell>
          <cell r="BM224">
            <v>0</v>
          </cell>
          <cell r="BN224">
            <v>0</v>
          </cell>
          <cell r="BO224" t="str">
            <v>-</v>
          </cell>
          <cell r="BP224" t="str">
            <v>-</v>
          </cell>
          <cell r="BQ224">
            <v>0</v>
          </cell>
          <cell r="BR224">
            <v>0</v>
          </cell>
          <cell r="BS224">
            <v>0</v>
          </cell>
          <cell r="BT224">
            <v>0</v>
          </cell>
        </row>
        <row r="225">
          <cell r="A225" t="str">
            <v>Italy2015100 / 100</v>
          </cell>
          <cell r="B225" t="str">
            <v>Italy</v>
          </cell>
          <cell r="C225">
            <v>2015</v>
          </cell>
          <cell r="D225" t="str">
            <v>100 / 100</v>
          </cell>
          <cell r="E225">
            <v>30550</v>
          </cell>
          <cell r="F225">
            <v>2545.8333333333335</v>
          </cell>
          <cell r="G225">
            <v>587.50451926553285</v>
          </cell>
          <cell r="H225">
            <v>117.50090385310656</v>
          </cell>
          <cell r="I225">
            <v>30550</v>
          </cell>
          <cell r="J225">
            <v>2545.8333333333335</v>
          </cell>
          <cell r="K225">
            <v>587.50451926553285</v>
          </cell>
          <cell r="L225">
            <v>117.50090385310656</v>
          </cell>
          <cell r="M225" t="str">
            <v>..</v>
          </cell>
          <cell r="N225" t="str">
            <v>..</v>
          </cell>
          <cell r="O225" t="str">
            <v>..</v>
          </cell>
          <cell r="P225" t="str">
            <v>..</v>
          </cell>
          <cell r="Q225" t="str">
            <v>..</v>
          </cell>
          <cell r="R225" t="str">
            <v>..</v>
          </cell>
          <cell r="S225" t="str">
            <v>..</v>
          </cell>
          <cell r="T225" t="str">
            <v>..</v>
          </cell>
          <cell r="U225" t="str">
            <v>..</v>
          </cell>
          <cell r="V225">
            <v>21.7</v>
          </cell>
          <cell r="W225">
            <v>0</v>
          </cell>
          <cell r="X225">
            <v>21.7</v>
          </cell>
          <cell r="Y225" t="str">
            <v>-</v>
          </cell>
          <cell r="Z225"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5" t="str">
            <v>Gross</v>
          </cell>
          <cell r="AB225" t="str">
            <v>Y</v>
          </cell>
          <cell r="AC225">
            <v>0</v>
          </cell>
          <cell r="AD225" t="str">
            <v>-</v>
          </cell>
          <cell r="AE225" t="str">
            <v>-</v>
          </cell>
          <cell r="AF225" t="str">
            <v>-</v>
          </cell>
          <cell r="AG225" t="str">
            <v>-</v>
          </cell>
          <cell r="AH225" t="str">
            <v>-</v>
          </cell>
          <cell r="AI225" t="str">
            <v>-</v>
          </cell>
          <cell r="AJ225" t="str">
            <v>-</v>
          </cell>
          <cell r="AK225" t="str">
            <v>-</v>
          </cell>
          <cell r="AL225" t="str">
            <v>-</v>
          </cell>
          <cell r="AM225" t="str">
            <v>-</v>
          </cell>
          <cell r="AN225" t="str">
            <v>-</v>
          </cell>
          <cell r="AO225" t="str">
            <v>-</v>
          </cell>
          <cell r="AP225" t="str">
            <v>-</v>
          </cell>
          <cell r="AQ225" t="str">
            <v>-</v>
          </cell>
          <cell r="AR225" t="str">
            <v>-</v>
          </cell>
          <cell r="AS225" t="str">
            <v>-</v>
          </cell>
          <cell r="AT225" t="str">
            <v>-</v>
          </cell>
          <cell r="AU225" t="str">
            <v>-</v>
          </cell>
          <cell r="AV225" t="str">
            <v>-</v>
          </cell>
          <cell r="AW225" t="str">
            <v>-</v>
          </cell>
          <cell r="AX225" t="str">
            <v>-</v>
          </cell>
          <cell r="AY225" t="str">
            <v>-</v>
          </cell>
          <cell r="AZ225" t="str">
            <v>-</v>
          </cell>
          <cell r="BA225" t="str">
            <v>-</v>
          </cell>
          <cell r="BB225" t="str">
            <v>-</v>
          </cell>
          <cell r="BC225" t="str">
            <v>-</v>
          </cell>
          <cell r="BD225" t="str">
            <v>-</v>
          </cell>
          <cell r="BE225" t="str">
            <v>-</v>
          </cell>
          <cell r="BF225" t="str">
            <v>-</v>
          </cell>
          <cell r="BG225" t="str">
            <v>-</v>
          </cell>
          <cell r="BH225" t="str">
            <v>-</v>
          </cell>
          <cell r="BI225" t="str">
            <v>-</v>
          </cell>
          <cell r="BJ225" t="str">
            <v>-</v>
          </cell>
          <cell r="BK225" t="str">
            <v>-</v>
          </cell>
          <cell r="BL225" t="str">
            <v>-</v>
          </cell>
          <cell r="BM225">
            <v>0</v>
          </cell>
          <cell r="BN225">
            <v>0</v>
          </cell>
          <cell r="BO225" t="str">
            <v>-</v>
          </cell>
          <cell r="BP225" t="str">
            <v>-</v>
          </cell>
          <cell r="BQ225">
            <v>0</v>
          </cell>
          <cell r="BR225">
            <v>0</v>
          </cell>
          <cell r="BS225">
            <v>0</v>
          </cell>
          <cell r="BT225">
            <v>0</v>
          </cell>
        </row>
        <row r="226">
          <cell r="A226" t="str">
            <v>Italy2016100 / 100</v>
          </cell>
          <cell r="B226" t="str">
            <v>Italy</v>
          </cell>
          <cell r="C226">
            <v>2016</v>
          </cell>
          <cell r="D226" t="str">
            <v>100 / 100</v>
          </cell>
          <cell r="E226">
            <v>30619</v>
          </cell>
          <cell r="F226">
            <v>2551.5833333333335</v>
          </cell>
          <cell r="G226">
            <v>588.83145254963495</v>
          </cell>
          <cell r="H226">
            <v>117.76629050992699</v>
          </cell>
          <cell r="I226">
            <v>30619</v>
          </cell>
          <cell r="J226">
            <v>2551.5833333333335</v>
          </cell>
          <cell r="K226">
            <v>588.83145254963495</v>
          </cell>
          <cell r="L226">
            <v>117.76629050992699</v>
          </cell>
          <cell r="M226" t="str">
            <v>..</v>
          </cell>
          <cell r="N226" t="str">
            <v>..</v>
          </cell>
          <cell r="O226" t="str">
            <v>..</v>
          </cell>
          <cell r="P226" t="str">
            <v>..</v>
          </cell>
          <cell r="Q226" t="str">
            <v>..</v>
          </cell>
          <cell r="R226" t="str">
            <v>..</v>
          </cell>
          <cell r="S226" t="str">
            <v>..</v>
          </cell>
          <cell r="T226" t="str">
            <v>..</v>
          </cell>
          <cell r="U226" t="str">
            <v>..</v>
          </cell>
          <cell r="V226">
            <v>21.7</v>
          </cell>
          <cell r="W226">
            <v>0</v>
          </cell>
          <cell r="X226">
            <v>21.7</v>
          </cell>
          <cell r="Y226" t="str">
            <v>-</v>
          </cell>
          <cell r="Z226"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6" t="str">
            <v>Gross</v>
          </cell>
          <cell r="AB226" t="str">
            <v>Y</v>
          </cell>
          <cell r="AC226">
            <v>0</v>
          </cell>
          <cell r="AD226" t="str">
            <v>-</v>
          </cell>
          <cell r="AE226" t="str">
            <v>-</v>
          </cell>
          <cell r="AF226" t="str">
            <v>-</v>
          </cell>
          <cell r="AG226" t="str">
            <v>-</v>
          </cell>
          <cell r="AH226" t="str">
            <v>-</v>
          </cell>
          <cell r="AI226" t="str">
            <v>-</v>
          </cell>
          <cell r="AJ226" t="str">
            <v>-</v>
          </cell>
          <cell r="AK226" t="str">
            <v>-</v>
          </cell>
          <cell r="AL226" t="str">
            <v>-</v>
          </cell>
          <cell r="AM226" t="str">
            <v>-</v>
          </cell>
          <cell r="AN226" t="str">
            <v>-</v>
          </cell>
          <cell r="AO226" t="str">
            <v>-</v>
          </cell>
          <cell r="AP226" t="str">
            <v>-</v>
          </cell>
          <cell r="AQ226" t="str">
            <v>-</v>
          </cell>
          <cell r="AR226" t="str">
            <v>-</v>
          </cell>
          <cell r="AS226" t="str">
            <v>-</v>
          </cell>
          <cell r="AT226" t="str">
            <v>-</v>
          </cell>
          <cell r="AU226" t="str">
            <v>-</v>
          </cell>
          <cell r="AV226" t="str">
            <v>-</v>
          </cell>
          <cell r="AW226" t="str">
            <v>-</v>
          </cell>
          <cell r="AX226" t="str">
            <v>-</v>
          </cell>
          <cell r="AY226" t="str">
            <v>-</v>
          </cell>
          <cell r="AZ226" t="str">
            <v>-</v>
          </cell>
          <cell r="BA226" t="str">
            <v>-</v>
          </cell>
          <cell r="BB226" t="str">
            <v>-</v>
          </cell>
          <cell r="BC226" t="str">
            <v>-</v>
          </cell>
          <cell r="BD226" t="str">
            <v>-</v>
          </cell>
          <cell r="BE226" t="str">
            <v>-</v>
          </cell>
          <cell r="BF226" t="str">
            <v>-</v>
          </cell>
          <cell r="BG226" t="str">
            <v>-</v>
          </cell>
          <cell r="BH226" t="str">
            <v>-</v>
          </cell>
          <cell r="BI226" t="str">
            <v>-</v>
          </cell>
          <cell r="BJ226" t="str">
            <v>-</v>
          </cell>
          <cell r="BK226" t="str">
            <v>-</v>
          </cell>
          <cell r="BL226" t="str">
            <v>-</v>
          </cell>
          <cell r="BM226">
            <v>0</v>
          </cell>
          <cell r="BN226">
            <v>0</v>
          </cell>
          <cell r="BO226" t="str">
            <v>-</v>
          </cell>
          <cell r="BP226" t="str">
            <v>-</v>
          </cell>
          <cell r="BQ226">
            <v>0</v>
          </cell>
          <cell r="BR226">
            <v>0</v>
          </cell>
          <cell r="BS226">
            <v>0</v>
          </cell>
          <cell r="BT226">
            <v>0</v>
          </cell>
        </row>
        <row r="227">
          <cell r="A227" t="str">
            <v>Italy2017100 / 100</v>
          </cell>
          <cell r="B227" t="str">
            <v>Italy</v>
          </cell>
          <cell r="C227">
            <v>2017</v>
          </cell>
          <cell r="D227" t="str">
            <v>100 / 100</v>
          </cell>
          <cell r="E227">
            <v>30696</v>
          </cell>
          <cell r="F227">
            <v>2558</v>
          </cell>
          <cell r="G227">
            <v>590.31223317102433</v>
          </cell>
          <cell r="H227">
            <v>118.06244663420486</v>
          </cell>
          <cell r="I227">
            <v>30696</v>
          </cell>
          <cell r="J227">
            <v>2558</v>
          </cell>
          <cell r="K227">
            <v>590.31223317102433</v>
          </cell>
          <cell r="L227">
            <v>118.06244663420486</v>
          </cell>
          <cell r="M227" t="str">
            <v>..</v>
          </cell>
          <cell r="N227" t="str">
            <v>..</v>
          </cell>
          <cell r="O227" t="str">
            <v>..</v>
          </cell>
          <cell r="P227" t="str">
            <v>..</v>
          </cell>
          <cell r="Q227" t="str">
            <v>..</v>
          </cell>
          <cell r="R227" t="str">
            <v>..</v>
          </cell>
          <cell r="S227" t="str">
            <v>..</v>
          </cell>
          <cell r="T227" t="str">
            <v>..</v>
          </cell>
          <cell r="U227" t="str">
            <v>..</v>
          </cell>
          <cell r="V227">
            <v>21.7</v>
          </cell>
          <cell r="W227">
            <v>0</v>
          </cell>
          <cell r="X227">
            <v>21.7</v>
          </cell>
          <cell r="Y227" t="str">
            <v>-</v>
          </cell>
          <cell r="Z227"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7" t="str">
            <v>Gross</v>
          </cell>
          <cell r="AB227" t="str">
            <v>Y</v>
          </cell>
          <cell r="AC227">
            <v>0</v>
          </cell>
          <cell r="AD227" t="str">
            <v>-</v>
          </cell>
          <cell r="AE227" t="str">
            <v>-</v>
          </cell>
          <cell r="AF227" t="str">
            <v>-</v>
          </cell>
          <cell r="AG227" t="str">
            <v>-</v>
          </cell>
          <cell r="AH227" t="str">
            <v>-</v>
          </cell>
          <cell r="AI227" t="str">
            <v>-</v>
          </cell>
          <cell r="AJ227" t="str">
            <v>-</v>
          </cell>
          <cell r="AK227" t="str">
            <v>-</v>
          </cell>
          <cell r="AL227" t="str">
            <v>-</v>
          </cell>
          <cell r="AM227" t="str">
            <v>-</v>
          </cell>
          <cell r="AN227" t="str">
            <v>-</v>
          </cell>
          <cell r="AO227" t="str">
            <v>-</v>
          </cell>
          <cell r="AP227" t="str">
            <v>-</v>
          </cell>
          <cell r="AQ227" t="str">
            <v>-</v>
          </cell>
          <cell r="AR227" t="str">
            <v>-</v>
          </cell>
          <cell r="AS227" t="str">
            <v>-</v>
          </cell>
          <cell r="AT227" t="str">
            <v>-</v>
          </cell>
          <cell r="AU227" t="str">
            <v>-</v>
          </cell>
          <cell r="AV227" t="str">
            <v>-</v>
          </cell>
          <cell r="AW227" t="str">
            <v>-</v>
          </cell>
          <cell r="AX227" t="str">
            <v>-</v>
          </cell>
          <cell r="AY227" t="str">
            <v>-</v>
          </cell>
          <cell r="AZ227" t="str">
            <v>-</v>
          </cell>
          <cell r="BA227" t="str">
            <v>-</v>
          </cell>
          <cell r="BB227" t="str">
            <v>-</v>
          </cell>
          <cell r="BC227" t="str">
            <v>-</v>
          </cell>
          <cell r="BD227" t="str">
            <v>-</v>
          </cell>
          <cell r="BE227" t="str">
            <v>-</v>
          </cell>
          <cell r="BF227" t="str">
            <v>-</v>
          </cell>
          <cell r="BG227" t="str">
            <v>-</v>
          </cell>
          <cell r="BH227" t="str">
            <v>-</v>
          </cell>
          <cell r="BI227" t="str">
            <v>-</v>
          </cell>
          <cell r="BJ227" t="str">
            <v>-</v>
          </cell>
          <cell r="BK227" t="str">
            <v>-</v>
          </cell>
          <cell r="BL227" t="str">
            <v>-</v>
          </cell>
          <cell r="BM227">
            <v>0</v>
          </cell>
          <cell r="BN227">
            <v>0</v>
          </cell>
          <cell r="BO227" t="str">
            <v>-</v>
          </cell>
          <cell r="BP227" t="str">
            <v>-</v>
          </cell>
          <cell r="BQ227">
            <v>0</v>
          </cell>
          <cell r="BR227">
            <v>0</v>
          </cell>
          <cell r="BS227">
            <v>0</v>
          </cell>
          <cell r="BT227">
            <v>0</v>
          </cell>
        </row>
        <row r="228">
          <cell r="A228" t="str">
            <v>Italy2018100 / 100</v>
          </cell>
          <cell r="B228" t="str">
            <v>Italy</v>
          </cell>
          <cell r="C228">
            <v>2018</v>
          </cell>
          <cell r="D228" t="str">
            <v>100 / 100</v>
          </cell>
          <cell r="E228">
            <v>30962</v>
          </cell>
          <cell r="F228">
            <v>2580.1666666666665</v>
          </cell>
          <cell r="G228">
            <v>595.42765713582401</v>
          </cell>
          <cell r="H228">
            <v>119.0855314271648</v>
          </cell>
          <cell r="I228">
            <v>30962</v>
          </cell>
          <cell r="J228">
            <v>2580.1666666666665</v>
          </cell>
          <cell r="K228">
            <v>595.42765713582401</v>
          </cell>
          <cell r="L228">
            <v>119.0855314271648</v>
          </cell>
          <cell r="M228" t="str">
            <v>..</v>
          </cell>
          <cell r="N228" t="str">
            <v>..</v>
          </cell>
          <cell r="O228" t="str">
            <v>..</v>
          </cell>
          <cell r="P228" t="str">
            <v>..</v>
          </cell>
          <cell r="Q228" t="str">
            <v>..</v>
          </cell>
          <cell r="R228" t="str">
            <v>..</v>
          </cell>
          <cell r="S228" t="str">
            <v>..</v>
          </cell>
          <cell r="T228" t="str">
            <v>..</v>
          </cell>
          <cell r="U228" t="str">
            <v>..</v>
          </cell>
          <cell r="V228">
            <v>21.7</v>
          </cell>
          <cell r="W228">
            <v>0</v>
          </cell>
          <cell r="X228">
            <v>21.7</v>
          </cell>
          <cell r="Y228" t="str">
            <v>-</v>
          </cell>
          <cell r="Z228"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8" t="str">
            <v>Gross</v>
          </cell>
          <cell r="AB228" t="str">
            <v>Y</v>
          </cell>
          <cell r="AC228">
            <v>0</v>
          </cell>
          <cell r="AD228" t="str">
            <v>-</v>
          </cell>
          <cell r="AE228" t="str">
            <v>-</v>
          </cell>
          <cell r="AF228" t="str">
            <v>-</v>
          </cell>
          <cell r="AG228" t="str">
            <v>-</v>
          </cell>
          <cell r="AH228" t="str">
            <v>-</v>
          </cell>
          <cell r="AI228" t="str">
            <v>-</v>
          </cell>
          <cell r="AJ228" t="str">
            <v>-</v>
          </cell>
          <cell r="AK228" t="str">
            <v>-</v>
          </cell>
          <cell r="AL228" t="str">
            <v>-</v>
          </cell>
          <cell r="AM228" t="str">
            <v>-</v>
          </cell>
          <cell r="AN228" t="str">
            <v>-</v>
          </cell>
          <cell r="AO228" t="str">
            <v>-</v>
          </cell>
          <cell r="AP228" t="str">
            <v>-</v>
          </cell>
          <cell r="AQ228" t="str">
            <v>-</v>
          </cell>
          <cell r="AR228" t="str">
            <v>-</v>
          </cell>
          <cell r="AS228" t="str">
            <v>-</v>
          </cell>
          <cell r="AT228" t="str">
            <v>-</v>
          </cell>
          <cell r="AU228" t="str">
            <v>-</v>
          </cell>
          <cell r="AV228" t="str">
            <v>-</v>
          </cell>
          <cell r="AW228" t="str">
            <v>-</v>
          </cell>
          <cell r="AX228" t="str">
            <v>-</v>
          </cell>
          <cell r="AY228" t="str">
            <v>-</v>
          </cell>
          <cell r="AZ228" t="str">
            <v>-</v>
          </cell>
          <cell r="BA228" t="str">
            <v>-</v>
          </cell>
          <cell r="BB228" t="str">
            <v>-</v>
          </cell>
          <cell r="BC228" t="str">
            <v>-</v>
          </cell>
          <cell r="BD228" t="str">
            <v>-</v>
          </cell>
          <cell r="BE228" t="str">
            <v>-</v>
          </cell>
          <cell r="BF228" t="str">
            <v>-</v>
          </cell>
          <cell r="BG228" t="str">
            <v>-</v>
          </cell>
          <cell r="BH228" t="str">
            <v>-</v>
          </cell>
          <cell r="BI228" t="str">
            <v>-</v>
          </cell>
          <cell r="BJ228" t="str">
            <v>-</v>
          </cell>
          <cell r="BK228" t="str">
            <v>-</v>
          </cell>
          <cell r="BL228" t="str">
            <v>-</v>
          </cell>
          <cell r="BM228">
            <v>0</v>
          </cell>
          <cell r="BN228">
            <v>0</v>
          </cell>
          <cell r="BO228" t="str">
            <v>-</v>
          </cell>
          <cell r="BP228" t="str">
            <v>-</v>
          </cell>
          <cell r="BQ228">
            <v>0</v>
          </cell>
          <cell r="BR228">
            <v>0</v>
          </cell>
          <cell r="BS228">
            <v>0</v>
          </cell>
          <cell r="BT228">
            <v>0</v>
          </cell>
        </row>
        <row r="229">
          <cell r="A229" t="str">
            <v>Italy2019100 / 100</v>
          </cell>
          <cell r="B229" t="str">
            <v>Italy</v>
          </cell>
          <cell r="C229">
            <v>2019</v>
          </cell>
          <cell r="D229" t="str">
            <v>100 / 100</v>
          </cell>
          <cell r="E229">
            <v>31369</v>
          </cell>
          <cell r="F229">
            <v>2614.0833333333335</v>
          </cell>
          <cell r="G229">
            <v>603.25464042031092</v>
          </cell>
          <cell r="H229">
            <v>120.65092808406219</v>
          </cell>
          <cell r="I229">
            <v>31369</v>
          </cell>
          <cell r="J229">
            <v>2614.0833333333335</v>
          </cell>
          <cell r="K229">
            <v>603.25464042031092</v>
          </cell>
          <cell r="L229">
            <v>120.65092808406219</v>
          </cell>
          <cell r="M229" t="str">
            <v>..</v>
          </cell>
          <cell r="N229" t="str">
            <v>..</v>
          </cell>
          <cell r="O229" t="str">
            <v>..</v>
          </cell>
          <cell r="P229" t="str">
            <v>..</v>
          </cell>
          <cell r="Q229" t="str">
            <v>..</v>
          </cell>
          <cell r="R229" t="str">
            <v>..</v>
          </cell>
          <cell r="S229" t="str">
            <v>..</v>
          </cell>
          <cell r="T229" t="str">
            <v>..</v>
          </cell>
          <cell r="U229" t="str">
            <v>..</v>
          </cell>
          <cell r="V229">
            <v>21.7</v>
          </cell>
          <cell r="W229">
            <v>0</v>
          </cell>
          <cell r="X229">
            <v>21.7</v>
          </cell>
          <cell r="Y229" t="str">
            <v>-</v>
          </cell>
          <cell r="Z229"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29" t="str">
            <v>Gross</v>
          </cell>
          <cell r="AB229" t="str">
            <v>Y</v>
          </cell>
          <cell r="AC229">
            <v>0</v>
          </cell>
          <cell r="AD229" t="str">
            <v>-</v>
          </cell>
          <cell r="AE229" t="str">
            <v>-</v>
          </cell>
          <cell r="AF229" t="str">
            <v>-</v>
          </cell>
          <cell r="AG229" t="str">
            <v>-</v>
          </cell>
          <cell r="AH229" t="str">
            <v>-</v>
          </cell>
          <cell r="AI229" t="str">
            <v>-</v>
          </cell>
          <cell r="AJ229" t="str">
            <v>-</v>
          </cell>
          <cell r="AK229" t="str">
            <v>-</v>
          </cell>
          <cell r="AL229" t="str">
            <v>-</v>
          </cell>
          <cell r="AM229" t="str">
            <v>-</v>
          </cell>
          <cell r="AN229" t="str">
            <v>-</v>
          </cell>
          <cell r="AO229" t="str">
            <v>-</v>
          </cell>
          <cell r="AP229" t="str">
            <v>-</v>
          </cell>
          <cell r="AQ229" t="str">
            <v>-</v>
          </cell>
          <cell r="AR229" t="str">
            <v>-</v>
          </cell>
          <cell r="AS229" t="str">
            <v>-</v>
          </cell>
          <cell r="AT229" t="str">
            <v>-</v>
          </cell>
          <cell r="AU229" t="str">
            <v>-</v>
          </cell>
          <cell r="AV229" t="str">
            <v>-</v>
          </cell>
          <cell r="AW229" t="str">
            <v>-</v>
          </cell>
          <cell r="AX229" t="str">
            <v>-</v>
          </cell>
          <cell r="AY229" t="str">
            <v>-</v>
          </cell>
          <cell r="AZ229" t="str">
            <v>-</v>
          </cell>
          <cell r="BA229" t="str">
            <v>-</v>
          </cell>
          <cell r="BB229" t="str">
            <v>-</v>
          </cell>
          <cell r="BC229" t="str">
            <v>-</v>
          </cell>
          <cell r="BD229" t="str">
            <v>-</v>
          </cell>
          <cell r="BE229" t="str">
            <v>-</v>
          </cell>
          <cell r="BF229" t="str">
            <v>-</v>
          </cell>
          <cell r="BG229" t="str">
            <v>-</v>
          </cell>
          <cell r="BH229" t="str">
            <v>-</v>
          </cell>
          <cell r="BI229" t="str">
            <v>-</v>
          </cell>
          <cell r="BJ229" t="str">
            <v>-</v>
          </cell>
          <cell r="BK229" t="str">
            <v>-</v>
          </cell>
          <cell r="BL229" t="str">
            <v>-</v>
          </cell>
          <cell r="BM229">
            <v>0</v>
          </cell>
          <cell r="BN229">
            <v>0</v>
          </cell>
          <cell r="BO229" t="str">
            <v>-</v>
          </cell>
          <cell r="BP229" t="str">
            <v>-</v>
          </cell>
          <cell r="BQ229">
            <v>0</v>
          </cell>
          <cell r="BR229">
            <v>0</v>
          </cell>
          <cell r="BS229">
            <v>0</v>
          </cell>
          <cell r="BT229">
            <v>0</v>
          </cell>
        </row>
        <row r="230">
          <cell r="A230" t="str">
            <v>Italy2020100 / 100</v>
          </cell>
          <cell r="B230" t="str">
            <v>Italy</v>
          </cell>
          <cell r="C230">
            <v>2020</v>
          </cell>
          <cell r="D230" t="str">
            <v>100 / 100</v>
          </cell>
          <cell r="E230">
            <v>32216</v>
          </cell>
          <cell r="F230">
            <v>2684.6666666666665</v>
          </cell>
          <cell r="G230">
            <v>619.54322725559416</v>
          </cell>
          <cell r="H230">
            <v>123.90864545111883</v>
          </cell>
          <cell r="I230">
            <v>32216</v>
          </cell>
          <cell r="J230">
            <v>2684.6666666666665</v>
          </cell>
          <cell r="K230">
            <v>619.54322725559416</v>
          </cell>
          <cell r="L230">
            <v>123.90864545111883</v>
          </cell>
          <cell r="M230" t="str">
            <v>..</v>
          </cell>
          <cell r="N230" t="str">
            <v>..</v>
          </cell>
          <cell r="O230" t="str">
            <v>..</v>
          </cell>
          <cell r="P230" t="str">
            <v>..</v>
          </cell>
          <cell r="Q230" t="str">
            <v>..</v>
          </cell>
          <cell r="R230" t="str">
            <v>..</v>
          </cell>
          <cell r="S230" t="str">
            <v>..</v>
          </cell>
          <cell r="T230" t="str">
            <v>..</v>
          </cell>
          <cell r="U230" t="str">
            <v>..</v>
          </cell>
          <cell r="V230">
            <v>21.7</v>
          </cell>
          <cell r="W230">
            <v>0</v>
          </cell>
          <cell r="X230">
            <v>21.7</v>
          </cell>
          <cell r="Y230" t="str">
            <v>-</v>
          </cell>
          <cell r="Z230"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30" t="str">
            <v>Gross</v>
          </cell>
          <cell r="AB230" t="str">
            <v>Y</v>
          </cell>
          <cell r="AC230">
            <v>0</v>
          </cell>
          <cell r="AD230" t="str">
            <v>-</v>
          </cell>
          <cell r="AE230" t="str">
            <v>-</v>
          </cell>
          <cell r="AF230" t="str">
            <v>-</v>
          </cell>
          <cell r="AG230" t="str">
            <v>-</v>
          </cell>
          <cell r="AH230" t="str">
            <v>-</v>
          </cell>
          <cell r="AI230" t="str">
            <v>-</v>
          </cell>
          <cell r="AJ230" t="str">
            <v>-</v>
          </cell>
          <cell r="AK230" t="str">
            <v>-</v>
          </cell>
          <cell r="AL230" t="str">
            <v>-</v>
          </cell>
          <cell r="AM230" t="str">
            <v>-</v>
          </cell>
          <cell r="AN230" t="str">
            <v>-</v>
          </cell>
          <cell r="AO230" t="str">
            <v>-</v>
          </cell>
          <cell r="AP230" t="str">
            <v>-</v>
          </cell>
          <cell r="AQ230" t="str">
            <v>-</v>
          </cell>
          <cell r="AR230" t="str">
            <v>-</v>
          </cell>
          <cell r="AS230" t="str">
            <v>-</v>
          </cell>
          <cell r="AT230" t="str">
            <v>-</v>
          </cell>
          <cell r="AU230" t="str">
            <v>-</v>
          </cell>
          <cell r="AV230" t="str">
            <v>-</v>
          </cell>
          <cell r="AW230" t="str">
            <v>-</v>
          </cell>
          <cell r="AX230" t="str">
            <v>-</v>
          </cell>
          <cell r="AY230" t="str">
            <v>-</v>
          </cell>
          <cell r="AZ230" t="str">
            <v>-</v>
          </cell>
          <cell r="BA230" t="str">
            <v>-</v>
          </cell>
          <cell r="BB230" t="str">
            <v>-</v>
          </cell>
          <cell r="BC230" t="str">
            <v>-</v>
          </cell>
          <cell r="BD230" t="str">
            <v>-</v>
          </cell>
          <cell r="BE230" t="str">
            <v>-</v>
          </cell>
          <cell r="BF230" t="str">
            <v>-</v>
          </cell>
          <cell r="BG230" t="str">
            <v>-</v>
          </cell>
          <cell r="BH230" t="str">
            <v>-</v>
          </cell>
          <cell r="BI230" t="str">
            <v>-</v>
          </cell>
          <cell r="BJ230" t="str">
            <v>-</v>
          </cell>
          <cell r="BK230" t="str">
            <v>-</v>
          </cell>
          <cell r="BL230" t="str">
            <v>-</v>
          </cell>
          <cell r="BM230">
            <v>0</v>
          </cell>
          <cell r="BN230">
            <v>0</v>
          </cell>
          <cell r="BO230" t="str">
            <v>-</v>
          </cell>
          <cell r="BP230" t="str">
            <v>-</v>
          </cell>
          <cell r="BQ230">
            <v>0</v>
          </cell>
          <cell r="BR230">
            <v>0</v>
          </cell>
          <cell r="BS230">
            <v>0</v>
          </cell>
          <cell r="BT230">
            <v>0</v>
          </cell>
        </row>
        <row r="231">
          <cell r="A231" t="str">
            <v>Italy2021100 / 100</v>
          </cell>
          <cell r="B231" t="str">
            <v>Italy</v>
          </cell>
          <cell r="C231">
            <v>2021</v>
          </cell>
          <cell r="D231" t="str">
            <v>100 / 100</v>
          </cell>
          <cell r="E231">
            <v>32029</v>
          </cell>
          <cell r="F231">
            <v>2669.0833333333335</v>
          </cell>
          <cell r="G231">
            <v>615.94704574650575</v>
          </cell>
          <cell r="H231">
            <v>123.18940914930116</v>
          </cell>
          <cell r="I231">
            <v>32029</v>
          </cell>
          <cell r="J231">
            <v>2669.0833333333335</v>
          </cell>
          <cell r="K231">
            <v>615.94704574650575</v>
          </cell>
          <cell r="L231">
            <v>123.18940914930116</v>
          </cell>
          <cell r="M231" t="str">
            <v>..</v>
          </cell>
          <cell r="N231" t="str">
            <v>..</v>
          </cell>
          <cell r="O231" t="str">
            <v>..</v>
          </cell>
          <cell r="P231" t="str">
            <v>..</v>
          </cell>
          <cell r="Q231" t="str">
            <v>..</v>
          </cell>
          <cell r="R231" t="str">
            <v>..</v>
          </cell>
          <cell r="S231" t="str">
            <v>..</v>
          </cell>
          <cell r="T231" t="str">
            <v>..</v>
          </cell>
          <cell r="U231" t="str">
            <v>..</v>
          </cell>
          <cell r="V231">
            <v>21.7</v>
          </cell>
          <cell r="W231">
            <v>0</v>
          </cell>
          <cell r="X231">
            <v>21.7</v>
          </cell>
          <cell r="Y231" t="str">
            <v>-</v>
          </cell>
          <cell r="Z231"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https://www.inps.it/portale/default.aspx?sID=%3b0%3b5673%3b5770%3b&amp;lastMenu=5770&amp;iMenu=1&amp;iNodo=5770&amp;p4=2</v>
          </cell>
          <cell r="AA231" t="str">
            <v>Gross</v>
          </cell>
          <cell r="AB231" t="str">
            <v>Y</v>
          </cell>
          <cell r="AC231">
            <v>0</v>
          </cell>
          <cell r="AD231" t="str">
            <v>-</v>
          </cell>
          <cell r="AE231" t="str">
            <v>-</v>
          </cell>
          <cell r="AF231" t="str">
            <v>-</v>
          </cell>
          <cell r="AG231" t="str">
            <v>-</v>
          </cell>
          <cell r="AH231" t="str">
            <v>-</v>
          </cell>
          <cell r="AI231" t="str">
            <v>-</v>
          </cell>
          <cell r="AJ231" t="str">
            <v>-</v>
          </cell>
          <cell r="AK231" t="str">
            <v>-</v>
          </cell>
          <cell r="AL231" t="str">
            <v>-</v>
          </cell>
          <cell r="AM231" t="str">
            <v>-</v>
          </cell>
          <cell r="AN231" t="str">
            <v>-</v>
          </cell>
          <cell r="AO231" t="str">
            <v>-</v>
          </cell>
          <cell r="AP231" t="str">
            <v>-</v>
          </cell>
          <cell r="AQ231" t="str">
            <v>-</v>
          </cell>
          <cell r="AR231" t="str">
            <v>-</v>
          </cell>
          <cell r="AS231" t="str">
            <v>-</v>
          </cell>
          <cell r="AT231" t="str">
            <v>-</v>
          </cell>
          <cell r="AU231" t="str">
            <v>-</v>
          </cell>
          <cell r="AV231" t="str">
            <v>-</v>
          </cell>
          <cell r="AW231" t="str">
            <v>-</v>
          </cell>
          <cell r="AX231" t="str">
            <v>-</v>
          </cell>
          <cell r="AY231" t="str">
            <v>-</v>
          </cell>
          <cell r="AZ231" t="str">
            <v>-</v>
          </cell>
          <cell r="BA231" t="str">
            <v>-</v>
          </cell>
          <cell r="BB231" t="str">
            <v>-</v>
          </cell>
          <cell r="BC231" t="str">
            <v>-</v>
          </cell>
          <cell r="BD231" t="str">
            <v>-</v>
          </cell>
          <cell r="BE231" t="str">
            <v>-</v>
          </cell>
          <cell r="BF231" t="str">
            <v>-</v>
          </cell>
          <cell r="BG231" t="str">
            <v>-</v>
          </cell>
          <cell r="BH231" t="str">
            <v>-</v>
          </cell>
          <cell r="BI231" t="str">
            <v>-</v>
          </cell>
          <cell r="BJ231" t="str">
            <v>-</v>
          </cell>
          <cell r="BK231" t="str">
            <v>-</v>
          </cell>
          <cell r="BL231" t="str">
            <v>-</v>
          </cell>
          <cell r="BM231">
            <v>0</v>
          </cell>
          <cell r="BN231">
            <v>0</v>
          </cell>
          <cell r="BO231" t="str">
            <v>-</v>
          </cell>
          <cell r="BP231" t="str">
            <v>-</v>
          </cell>
          <cell r="BQ231">
            <v>0</v>
          </cell>
          <cell r="BR231">
            <v>0</v>
          </cell>
          <cell r="BS231">
            <v>0</v>
          </cell>
          <cell r="BT231">
            <v>0</v>
          </cell>
        </row>
        <row r="232">
          <cell r="A232" t="str">
            <v>Italy2022100 / 100</v>
          </cell>
          <cell r="B232" t="str">
            <v>Italy</v>
          </cell>
          <cell r="C232">
            <v>2022</v>
          </cell>
          <cell r="D232" t="str">
            <v>100 / 100</v>
          </cell>
          <cell r="E232">
            <v>33606.385000000002</v>
          </cell>
          <cell r="F232">
            <v>2800.5320833333335</v>
          </cell>
          <cell r="G232">
            <v>646.2816060123539</v>
          </cell>
          <cell r="H232">
            <v>129.25632120247079</v>
          </cell>
          <cell r="I232">
            <v>33606.385000000002</v>
          </cell>
          <cell r="J232">
            <v>2800.5320833333335</v>
          </cell>
          <cell r="K232">
            <v>646.2816060123539</v>
          </cell>
          <cell r="L232">
            <v>129.25632120247079</v>
          </cell>
          <cell r="M232" t="str">
            <v>..</v>
          </cell>
          <cell r="N232" t="str">
            <v>..</v>
          </cell>
          <cell r="O232" t="str">
            <v>..</v>
          </cell>
          <cell r="P232" t="str">
            <v>..</v>
          </cell>
          <cell r="Q232" t="str">
            <v>..</v>
          </cell>
          <cell r="R232" t="str">
            <v>..</v>
          </cell>
          <cell r="S232" t="str">
            <v>..</v>
          </cell>
          <cell r="T232" t="str">
            <v>..</v>
          </cell>
          <cell r="U232" t="str">
            <v>..</v>
          </cell>
          <cell r="V232">
            <v>21.7</v>
          </cell>
          <cell r="W232">
            <v>0</v>
          </cell>
          <cell r="X232">
            <v>21.7</v>
          </cell>
          <cell r="Y232" t="str">
            <v>-</v>
          </cell>
          <cell r="Z232" t="str">
            <v>Assumed the entitlement to the parental leave allowance (6 months max) used entirely by the mother. Unpaid leave for (effectively) four months + one bonus month. NOTE: A payment is avialable for the remaining 4/5 months, but it is subject to a means-test. From MISSOC: "After expiry of the compulsory leave, a reduced paid leave may be claimed by either the mother or the father for a six-month period altogether till the child reaches the age of three (or within three years after the child’s adoption). Besides the 6-month leave, this benefit can be claimed for further 5 months, at most, till the child is 12 of age, but the relevant cash benefit can only be paid upon condition that the claimant parent’s salary does not exceed twice and a half times the minimum pension as established by law for the current year." According the INPS, the minimum pension in 2015 was EUR6531.07. As the annual income of a father on the average wage is well above 2.5 times this level (EUR16327), this is not considered a general allowance/payment and is not included in the main indicators. The father-specific period is thus left as 'unpaid'. See here for more details: https://www.inps.it/bussola/VisualizzaDOC.aspx?sVirtualURL=/circolari/Circolare%20numero%20139%20del%2017-07-2015.htm&amp;iIDDalPortale=5770 and here: https://www.inps.it/portale/default.aspx?sID=%3b0%3b5673%3b5770%3b&amp;lastMenu=5770&amp;iMenu=1&amp;iNodo=5770&amp;p4=3</v>
          </cell>
          <cell r="AA232" t="str">
            <v>Gross</v>
          </cell>
          <cell r="AB232" t="str">
            <v>Y</v>
          </cell>
          <cell r="AC232">
            <v>0</v>
          </cell>
          <cell r="AD232" t="str">
            <v>-</v>
          </cell>
          <cell r="AE232" t="str">
            <v>-</v>
          </cell>
          <cell r="AF232" t="str">
            <v>-</v>
          </cell>
          <cell r="AG232" t="str">
            <v>-</v>
          </cell>
          <cell r="AH232" t="str">
            <v>-</v>
          </cell>
          <cell r="AI232" t="str">
            <v>-</v>
          </cell>
          <cell r="AJ232" t="str">
            <v>-</v>
          </cell>
          <cell r="AK232" t="str">
            <v>-</v>
          </cell>
          <cell r="AL232" t="str">
            <v>-</v>
          </cell>
          <cell r="AM232" t="str">
            <v>-</v>
          </cell>
          <cell r="AN232" t="str">
            <v>-</v>
          </cell>
          <cell r="AO232" t="str">
            <v>-</v>
          </cell>
          <cell r="AP232" t="str">
            <v>-</v>
          </cell>
          <cell r="AQ232" t="str">
            <v>-</v>
          </cell>
          <cell r="AR232" t="str">
            <v>-</v>
          </cell>
          <cell r="AS232" t="str">
            <v>-</v>
          </cell>
          <cell r="AT232" t="str">
            <v>-</v>
          </cell>
          <cell r="AU232" t="str">
            <v>-</v>
          </cell>
          <cell r="AV232" t="str">
            <v>-</v>
          </cell>
          <cell r="AW232" t="str">
            <v>-</v>
          </cell>
          <cell r="AX232" t="str">
            <v>-</v>
          </cell>
          <cell r="AY232" t="str">
            <v>-</v>
          </cell>
          <cell r="AZ232" t="str">
            <v>-</v>
          </cell>
          <cell r="BA232" t="str">
            <v>-</v>
          </cell>
          <cell r="BB232" t="str">
            <v>-</v>
          </cell>
          <cell r="BC232" t="str">
            <v>-</v>
          </cell>
          <cell r="BD232" t="str">
            <v>-</v>
          </cell>
          <cell r="BE232" t="str">
            <v>-</v>
          </cell>
          <cell r="BF232" t="str">
            <v>-</v>
          </cell>
          <cell r="BG232" t="str">
            <v>-</v>
          </cell>
          <cell r="BH232" t="str">
            <v>-</v>
          </cell>
          <cell r="BI232" t="str">
            <v>-</v>
          </cell>
          <cell r="BJ232" t="str">
            <v>-</v>
          </cell>
          <cell r="BK232" t="str">
            <v>-</v>
          </cell>
          <cell r="BL232" t="str">
            <v>-</v>
          </cell>
          <cell r="BM232">
            <v>0</v>
          </cell>
          <cell r="BN232">
            <v>0</v>
          </cell>
          <cell r="BO232" t="str">
            <v>-</v>
          </cell>
          <cell r="BP232" t="str">
            <v>-</v>
          </cell>
          <cell r="BQ232">
            <v>0</v>
          </cell>
          <cell r="BR232">
            <v>0</v>
          </cell>
          <cell r="BS232">
            <v>0</v>
          </cell>
          <cell r="BT232">
            <v>0</v>
          </cell>
        </row>
        <row r="233">
          <cell r="A233" t="str">
            <v>Italy2023100 / 100</v>
          </cell>
          <cell r="B233" t="str">
            <v>Italy</v>
          </cell>
          <cell r="C233">
            <v>2023</v>
          </cell>
          <cell r="D233" t="str">
            <v>100 / 100</v>
          </cell>
          <cell r="E233">
            <v>34885.1</v>
          </cell>
          <cell r="F233">
            <v>2907.0916666666667</v>
          </cell>
          <cell r="G233">
            <v>670.87246824975568</v>
          </cell>
          <cell r="H233">
            <v>134.17449364995113</v>
          </cell>
          <cell r="I233">
            <v>34885.1</v>
          </cell>
          <cell r="J233">
            <v>2907.0916666666667</v>
          </cell>
          <cell r="K233">
            <v>670.87246824975568</v>
          </cell>
          <cell r="L233">
            <v>134.17449364995113</v>
          </cell>
          <cell r="M233" t="str">
            <v>..</v>
          </cell>
          <cell r="N233" t="str">
            <v>..</v>
          </cell>
          <cell r="O233" t="str">
            <v>..</v>
          </cell>
          <cell r="P233" t="str">
            <v>..</v>
          </cell>
          <cell r="Q233" t="str">
            <v>..</v>
          </cell>
          <cell r="R233" t="str">
            <v>..</v>
          </cell>
          <cell r="S233" t="str">
            <v>..</v>
          </cell>
          <cell r="T233" t="str">
            <v>..</v>
          </cell>
          <cell r="U233" t="str">
            <v>..</v>
          </cell>
          <cell r="V233">
            <v>21.666</v>
          </cell>
          <cell r="W233">
            <v>13</v>
          </cell>
          <cell r="X233">
            <v>8.6660000000000004</v>
          </cell>
          <cell r="Y233" t="str">
            <v>-</v>
          </cell>
          <cell r="Z233" t="str">
            <v>Father is entitled to 3 months paid leave at 30% of earnings when leave is taken for a child under twelve years of age. But 80% for one month by 2023 budget. If the father takes three months of leave, the total length of leave is 11 months, but only 9 months are paid (6 for the mother, 3 for the father). Parental leave benefit can be extended if the worker's individuals income is less than 2.5 times the amount of the minimum pension (in 2021 EUR 515.28)</v>
          </cell>
          <cell r="AA233" t="str">
            <v>Gross</v>
          </cell>
          <cell r="AB233" t="str">
            <v>Y</v>
          </cell>
          <cell r="AC233">
            <v>13</v>
          </cell>
          <cell r="AD233">
            <v>0.3</v>
          </cell>
          <cell r="AF233" t="str">
            <v>-</v>
          </cell>
          <cell r="AG233" t="str">
            <v>-</v>
          </cell>
          <cell r="AH233" t="str">
            <v>-</v>
          </cell>
          <cell r="AI233" t="str">
            <v>-</v>
          </cell>
          <cell r="AJ233" t="str">
            <v>-</v>
          </cell>
          <cell r="AK233" t="str">
            <v>-</v>
          </cell>
          <cell r="AL233" t="str">
            <v>-</v>
          </cell>
          <cell r="AM233" t="str">
            <v>-</v>
          </cell>
          <cell r="AN233" t="str">
            <v>-</v>
          </cell>
          <cell r="AO233" t="str">
            <v>-</v>
          </cell>
          <cell r="AP233" t="str">
            <v>-</v>
          </cell>
          <cell r="AQ233" t="str">
            <v>-</v>
          </cell>
          <cell r="AR233" t="str">
            <v>-</v>
          </cell>
          <cell r="AS233" t="str">
            <v>-</v>
          </cell>
          <cell r="AT233" t="str">
            <v>-</v>
          </cell>
          <cell r="AU233" t="str">
            <v>-</v>
          </cell>
          <cell r="AV233" t="str">
            <v>-</v>
          </cell>
          <cell r="AW233" t="str">
            <v>-</v>
          </cell>
          <cell r="AX233" t="str">
            <v>-</v>
          </cell>
          <cell r="AY233" t="str">
            <v>-</v>
          </cell>
          <cell r="AZ233" t="str">
            <v>-</v>
          </cell>
          <cell r="BA233" t="str">
            <v>-</v>
          </cell>
          <cell r="BB233" t="str">
            <v>-</v>
          </cell>
          <cell r="BC233" t="str">
            <v>-</v>
          </cell>
          <cell r="BD233" t="str">
            <v>-</v>
          </cell>
          <cell r="BE233" t="str">
            <v>-</v>
          </cell>
          <cell r="BF233" t="str">
            <v>-</v>
          </cell>
          <cell r="BG233" t="str">
            <v>-</v>
          </cell>
          <cell r="BH233" t="str">
            <v>-</v>
          </cell>
          <cell r="BI233" t="str">
            <v>-</v>
          </cell>
          <cell r="BJ233" t="str">
            <v>-</v>
          </cell>
          <cell r="BK233" t="str">
            <v>-</v>
          </cell>
          <cell r="BL233" t="str">
            <v>-</v>
          </cell>
          <cell r="BM233">
            <v>0.3</v>
          </cell>
          <cell r="BN233">
            <v>0.1800055386319579</v>
          </cell>
          <cell r="BO233" t="str">
            <v>-</v>
          </cell>
          <cell r="BP233" t="str">
            <v>-</v>
          </cell>
          <cell r="BQ233">
            <v>10465.529999999999</v>
          </cell>
          <cell r="BR233">
            <v>872.12749999999994</v>
          </cell>
          <cell r="BS233">
            <v>201.26174047492671</v>
          </cell>
          <cell r="BT233">
            <v>40.252348094985337</v>
          </cell>
        </row>
        <row r="234">
          <cell r="A234" t="str">
            <v>Italy2024100 / 100</v>
          </cell>
          <cell r="B234" t="str">
            <v>Italy</v>
          </cell>
          <cell r="C234">
            <v>2024</v>
          </cell>
          <cell r="D234" t="str">
            <v>100 / 100</v>
          </cell>
          <cell r="E234">
            <v>35615.879999999997</v>
          </cell>
          <cell r="F234">
            <v>2967.99</v>
          </cell>
          <cell r="G234">
            <v>684.92603789259908</v>
          </cell>
          <cell r="H234">
            <v>136.98520757851981</v>
          </cell>
          <cell r="I234">
            <v>35615.879999999997</v>
          </cell>
          <cell r="J234">
            <v>2967.99</v>
          </cell>
          <cell r="K234">
            <v>684.92603789259908</v>
          </cell>
          <cell r="L234">
            <v>136.98520757851981</v>
          </cell>
          <cell r="M234" t="str">
            <v>..</v>
          </cell>
          <cell r="N234" t="str">
            <v>..</v>
          </cell>
          <cell r="O234" t="str">
            <v>..</v>
          </cell>
          <cell r="P234" t="str">
            <v>..</v>
          </cell>
          <cell r="Q234" t="str">
            <v>..</v>
          </cell>
          <cell r="R234" t="str">
            <v>..</v>
          </cell>
          <cell r="S234" t="str">
            <v>..</v>
          </cell>
          <cell r="T234" t="str">
            <v>..</v>
          </cell>
          <cell r="U234" t="str">
            <v>..</v>
          </cell>
          <cell r="V234">
            <v>21.666</v>
          </cell>
          <cell r="W234">
            <v>13</v>
          </cell>
          <cell r="X234">
            <v>8.6660000000000004</v>
          </cell>
          <cell r="Y234" t="str">
            <v>-</v>
          </cell>
          <cell r="Z234" t="str">
            <v>Father is entitled to 3 months paid leave at 30% of earnings when leave is taken for a child under twelve years of age. But 80% for two month by 2023 budget.  If the father takes three months of leave, the total length of leave is 11 months, but only 9 months are paid (6 for the mother, 3 for the father). Parental leave benefit can be extended if the worker's individuals income is less than 2.5 times the amount of the minimum pension (in 2021 EUR 515.28)</v>
          </cell>
          <cell r="AA234" t="str">
            <v>Gross</v>
          </cell>
          <cell r="AB234" t="str">
            <v>Y</v>
          </cell>
          <cell r="AC234">
            <v>13</v>
          </cell>
          <cell r="AD234">
            <v>0.3</v>
          </cell>
          <cell r="AE234" t="str">
            <v>-</v>
          </cell>
          <cell r="AF234" t="str">
            <v>-</v>
          </cell>
          <cell r="AG234" t="str">
            <v>-</v>
          </cell>
          <cell r="AH234" t="str">
            <v>-</v>
          </cell>
          <cell r="AI234" t="str">
            <v>-</v>
          </cell>
          <cell r="AJ234" t="str">
            <v>-</v>
          </cell>
          <cell r="AK234" t="str">
            <v>-</v>
          </cell>
          <cell r="AL234" t="str">
            <v>-</v>
          </cell>
          <cell r="AM234" t="str">
            <v>-</v>
          </cell>
          <cell r="AN234" t="str">
            <v>-</v>
          </cell>
          <cell r="AO234" t="str">
            <v>-</v>
          </cell>
          <cell r="AP234" t="str">
            <v>-</v>
          </cell>
          <cell r="AQ234" t="str">
            <v>-</v>
          </cell>
          <cell r="AR234" t="str">
            <v>-</v>
          </cell>
          <cell r="AS234" t="str">
            <v>-</v>
          </cell>
          <cell r="AT234" t="str">
            <v>-</v>
          </cell>
          <cell r="AU234" t="str">
            <v>-</v>
          </cell>
          <cell r="AV234" t="str">
            <v>-</v>
          </cell>
          <cell r="AW234" t="str">
            <v>-</v>
          </cell>
          <cell r="AX234" t="str">
            <v>-</v>
          </cell>
          <cell r="AY234" t="str">
            <v>-</v>
          </cell>
          <cell r="AZ234" t="str">
            <v>-</v>
          </cell>
          <cell r="BA234" t="str">
            <v>-</v>
          </cell>
          <cell r="BB234" t="str">
            <v>-</v>
          </cell>
          <cell r="BC234" t="str">
            <v>-</v>
          </cell>
          <cell r="BD234" t="str">
            <v>-</v>
          </cell>
          <cell r="BE234" t="str">
            <v>-</v>
          </cell>
          <cell r="BF234" t="str">
            <v>-</v>
          </cell>
          <cell r="BG234" t="str">
            <v>-</v>
          </cell>
          <cell r="BH234" t="str">
            <v>-</v>
          </cell>
          <cell r="BI234" t="str">
            <v>-</v>
          </cell>
          <cell r="BJ234" t="str">
            <v>-</v>
          </cell>
          <cell r="BK234" t="str">
            <v>-</v>
          </cell>
          <cell r="BL234" t="str">
            <v>-</v>
          </cell>
          <cell r="BM234">
            <v>0.3</v>
          </cell>
          <cell r="BN234">
            <v>0.1800055386319579</v>
          </cell>
          <cell r="BO234" t="str">
            <v>-</v>
          </cell>
          <cell r="BP234" t="str">
            <v>-</v>
          </cell>
          <cell r="BQ234">
            <v>10684.763999999999</v>
          </cell>
          <cell r="BR234">
            <v>890.39699999999993</v>
          </cell>
          <cell r="BS234">
            <v>205.47781136777971</v>
          </cell>
          <cell r="BT234">
            <v>41.095562273555942</v>
          </cell>
        </row>
        <row r="235">
          <cell r="A235" t="str">
            <v>Italy2025100 / 100</v>
          </cell>
          <cell r="B235" t="str">
            <v>Italy</v>
          </cell>
          <cell r="C235">
            <v>2025</v>
          </cell>
          <cell r="D235" t="str">
            <v>100 / 100</v>
          </cell>
          <cell r="E235">
            <v>35615.879999999997</v>
          </cell>
          <cell r="F235">
            <v>2967.99</v>
          </cell>
          <cell r="G235">
            <v>684.92603789259908</v>
          </cell>
          <cell r="H235">
            <v>136.98520757851981</v>
          </cell>
          <cell r="I235">
            <v>35615.879999999997</v>
          </cell>
          <cell r="J235">
            <v>2967.99</v>
          </cell>
          <cell r="K235">
            <v>684.92603789259908</v>
          </cell>
          <cell r="L235">
            <v>136.98520757851981</v>
          </cell>
          <cell r="M235" t="str">
            <v>..</v>
          </cell>
          <cell r="N235" t="str">
            <v>..</v>
          </cell>
          <cell r="O235" t="str">
            <v>..</v>
          </cell>
          <cell r="P235" t="str">
            <v>..</v>
          </cell>
          <cell r="Q235" t="str">
            <v>..</v>
          </cell>
          <cell r="R235" t="str">
            <v>..</v>
          </cell>
          <cell r="S235" t="str">
            <v>..</v>
          </cell>
          <cell r="T235" t="str">
            <v>..</v>
          </cell>
          <cell r="U235" t="str">
            <v>..</v>
          </cell>
          <cell r="V235">
            <v>21.666</v>
          </cell>
          <cell r="W235">
            <v>13</v>
          </cell>
          <cell r="X235">
            <v>8.6660000000000004</v>
          </cell>
          <cell r="Y235" t="str">
            <v>-</v>
          </cell>
          <cell r="Z235" t="str">
            <v>Six months of paid parental leave are available. However, the total amount taken by two parents cannot exceed 10 months. If both parents use at least 3 months, the total length of leave can be extended to 11 months, with the additional month going to the father. But paid leave is only for 9 months. 80% of earnings for three months and 30% of earnings for six months when the leave is taken for a child under the age of six. There is no ceiling on the benefit. it is assumed that the mothers take three months of parental leave at 80% of earnings and three months of parental leave at 30%, while the father takes three months of parental leave at 30% of earnings and two months of unpaid leave.</v>
          </cell>
          <cell r="AA235" t="str">
            <v>Gross</v>
          </cell>
          <cell r="AB235" t="str">
            <v>Y</v>
          </cell>
          <cell r="AC235">
            <v>13</v>
          </cell>
          <cell r="AD235">
            <v>0.3</v>
          </cell>
          <cell r="AE235" t="str">
            <v>-</v>
          </cell>
          <cell r="AF235" t="str">
            <v>-</v>
          </cell>
          <cell r="AG235" t="str">
            <v>-</v>
          </cell>
          <cell r="AH235" t="str">
            <v>-</v>
          </cell>
          <cell r="AI235" t="str">
            <v>-</v>
          </cell>
          <cell r="AJ235" t="str">
            <v>-</v>
          </cell>
          <cell r="AK235" t="str">
            <v>-</v>
          </cell>
          <cell r="AL235" t="str">
            <v>-</v>
          </cell>
          <cell r="AM235" t="str">
            <v>-</v>
          </cell>
          <cell r="AN235" t="str">
            <v>-</v>
          </cell>
          <cell r="AO235" t="str">
            <v>-</v>
          </cell>
          <cell r="AP235" t="str">
            <v>-</v>
          </cell>
          <cell r="AQ235" t="str">
            <v>-</v>
          </cell>
          <cell r="AR235" t="str">
            <v>-</v>
          </cell>
          <cell r="AS235" t="str">
            <v>-</v>
          </cell>
          <cell r="AT235" t="str">
            <v>-</v>
          </cell>
          <cell r="AU235" t="str">
            <v>-</v>
          </cell>
          <cell r="AV235" t="str">
            <v>-</v>
          </cell>
          <cell r="AW235" t="str">
            <v>-</v>
          </cell>
          <cell r="AX235" t="str">
            <v>-</v>
          </cell>
          <cell r="AY235" t="str">
            <v>-</v>
          </cell>
          <cell r="AZ235" t="str">
            <v>-</v>
          </cell>
          <cell r="BA235" t="str">
            <v>-</v>
          </cell>
          <cell r="BB235" t="str">
            <v>-</v>
          </cell>
          <cell r="BC235" t="str">
            <v>-</v>
          </cell>
          <cell r="BD235" t="str">
            <v>-</v>
          </cell>
          <cell r="BE235" t="str">
            <v>-</v>
          </cell>
          <cell r="BF235" t="str">
            <v>-</v>
          </cell>
          <cell r="BG235" t="str">
            <v>-</v>
          </cell>
          <cell r="BH235" t="str">
            <v>-</v>
          </cell>
          <cell r="BI235" t="str">
            <v>-</v>
          </cell>
          <cell r="BJ235" t="str">
            <v>-</v>
          </cell>
          <cell r="BK235" t="str">
            <v>-</v>
          </cell>
          <cell r="BL235" t="str">
            <v>-</v>
          </cell>
          <cell r="BM235">
            <v>0.3</v>
          </cell>
          <cell r="BN235">
            <v>0.1800055386319579</v>
          </cell>
          <cell r="BO235" t="str">
            <v>-</v>
          </cell>
          <cell r="BP235" t="str">
            <v>-</v>
          </cell>
          <cell r="BQ235">
            <v>10684.763999999999</v>
          </cell>
          <cell r="BR235">
            <v>890.39699999999993</v>
          </cell>
          <cell r="BS235">
            <v>205.47781136777971</v>
          </cell>
          <cell r="BT235">
            <v>41.095562273555942</v>
          </cell>
        </row>
        <row r="236">
          <cell r="A236" t="str">
            <v>Japan2014100 / 100</v>
          </cell>
          <cell r="B236" t="str">
            <v>Japan</v>
          </cell>
          <cell r="C236">
            <v>2014</v>
          </cell>
          <cell r="D236" t="str">
            <v>100 / 100</v>
          </cell>
          <cell r="E236">
            <v>4972454.7</v>
          </cell>
          <cell r="F236">
            <v>414371.22500000003</v>
          </cell>
          <cell r="G236">
            <v>95624.864422034021</v>
          </cell>
          <cell r="H236">
            <v>19124.972884406805</v>
          </cell>
          <cell r="I236">
            <v>4972454.7</v>
          </cell>
          <cell r="J236">
            <v>414371.22500000003</v>
          </cell>
          <cell r="K236">
            <v>95624.864422034021</v>
          </cell>
          <cell r="L236">
            <v>19124.972884406805</v>
          </cell>
          <cell r="M236" t="str">
            <v>..</v>
          </cell>
          <cell r="N236" t="str">
            <v>..</v>
          </cell>
          <cell r="O236" t="str">
            <v>..</v>
          </cell>
          <cell r="P236" t="str">
            <v>..</v>
          </cell>
          <cell r="Q236" t="str">
            <v>..</v>
          </cell>
          <cell r="R236" t="str">
            <v>..</v>
          </cell>
          <cell r="S236" t="str">
            <v>..</v>
          </cell>
          <cell r="T236" t="str">
            <v>..</v>
          </cell>
          <cell r="U236" t="str">
            <v>..</v>
          </cell>
          <cell r="V236">
            <v>52</v>
          </cell>
          <cell r="W236">
            <v>52</v>
          </cell>
          <cell r="X236">
            <v>0</v>
          </cell>
          <cell r="Y236" t="str">
            <v>-</v>
          </cell>
          <cell r="Z236" t="str">
            <v>Until the child is one year old. Sixty-seven per cent of earnings for the first 180 days, up to a ceiling of JPY426,900 [€3,054] with a minimum payment of JPY46,431 [€332] a month and a maximum payment of JPY286,021 [€2,046] per month; then 50 per cent of earnings with a minimum payment of JPY34,650 [€248] a month and a maximum payment of JPY213,450 [€1,527] per month.</v>
          </cell>
          <cell r="AA236" t="str">
            <v>Gross</v>
          </cell>
          <cell r="AB236" t="str">
            <v>N</v>
          </cell>
          <cell r="AC236">
            <v>25.714285714285715</v>
          </cell>
          <cell r="AD236">
            <v>0.67</v>
          </cell>
          <cell r="AE236">
            <v>286021</v>
          </cell>
          <cell r="AF236" t="str">
            <v>month</v>
          </cell>
          <cell r="AG236">
            <v>46431</v>
          </cell>
          <cell r="AH236" t="str">
            <v>month</v>
          </cell>
          <cell r="AI236" t="str">
            <v>-</v>
          </cell>
          <cell r="AJ236" t="str">
            <v>-</v>
          </cell>
          <cell r="AK236" t="str">
            <v>-</v>
          </cell>
          <cell r="AL236" t="str">
            <v>-</v>
          </cell>
          <cell r="AM236" t="str">
            <v>-</v>
          </cell>
          <cell r="AN236" t="str">
            <v>-</v>
          </cell>
          <cell r="AO236">
            <v>26.285714285714285</v>
          </cell>
          <cell r="AP236">
            <v>0.5</v>
          </cell>
          <cell r="AQ236">
            <v>213450</v>
          </cell>
          <cell r="AR236" t="str">
            <v>month</v>
          </cell>
          <cell r="AS236">
            <v>34650</v>
          </cell>
          <cell r="AT236" t="str">
            <v>month</v>
          </cell>
          <cell r="AU236" t="str">
            <v>-</v>
          </cell>
          <cell r="AV236" t="str">
            <v>-</v>
          </cell>
          <cell r="AW236" t="str">
            <v>-</v>
          </cell>
          <cell r="AX236" t="str">
            <v>-</v>
          </cell>
          <cell r="AY236" t="str">
            <v>-</v>
          </cell>
          <cell r="AZ236" t="str">
            <v>-</v>
          </cell>
          <cell r="BA236" t="str">
            <v>-</v>
          </cell>
          <cell r="BB236" t="str">
            <v>-</v>
          </cell>
          <cell r="BC236" t="str">
            <v>-</v>
          </cell>
          <cell r="BD236" t="str">
            <v>-</v>
          </cell>
          <cell r="BE236" t="str">
            <v>-</v>
          </cell>
          <cell r="BF236" t="str">
            <v>-</v>
          </cell>
          <cell r="BG236" t="str">
            <v>-</v>
          </cell>
          <cell r="BH236" t="str">
            <v>-</v>
          </cell>
          <cell r="BI236" t="str">
            <v>-</v>
          </cell>
          <cell r="BJ236" t="str">
            <v>-</v>
          </cell>
          <cell r="BK236" t="str">
            <v>-</v>
          </cell>
          <cell r="BL236" t="str">
            <v>-</v>
          </cell>
          <cell r="BM236">
            <v>0.5840659340659341</v>
          </cell>
          <cell r="BN236">
            <v>0.5840659340659341</v>
          </cell>
          <cell r="BO236" t="str">
            <v>-</v>
          </cell>
          <cell r="BP236" t="str">
            <v>-</v>
          </cell>
          <cell r="BQ236">
            <v>2904241.3989560441</v>
          </cell>
          <cell r="BR236">
            <v>242020.11657967037</v>
          </cell>
          <cell r="BS236">
            <v>55851.225758583612</v>
          </cell>
          <cell r="BT236">
            <v>11170.245151716723</v>
          </cell>
        </row>
        <row r="237">
          <cell r="A237" t="str">
            <v>Japan2015100 / 100</v>
          </cell>
          <cell r="B237" t="str">
            <v>Japan</v>
          </cell>
          <cell r="C237">
            <v>2015</v>
          </cell>
          <cell r="D237" t="str">
            <v>100 / 100</v>
          </cell>
          <cell r="E237">
            <v>5083905.9000000004</v>
          </cell>
          <cell r="F237">
            <v>423658.82500000001</v>
          </cell>
          <cell r="G237">
            <v>97768.173216717041</v>
          </cell>
          <cell r="H237">
            <v>19553.634643343408</v>
          </cell>
          <cell r="I237">
            <v>5083905.9000000004</v>
          </cell>
          <cell r="J237">
            <v>423658.82500000001</v>
          </cell>
          <cell r="K237">
            <v>97768.173216717041</v>
          </cell>
          <cell r="L237">
            <v>19553.634643343408</v>
          </cell>
          <cell r="M237" t="str">
            <v>..</v>
          </cell>
          <cell r="N237" t="str">
            <v>..</v>
          </cell>
          <cell r="O237" t="str">
            <v>..</v>
          </cell>
          <cell r="P237" t="str">
            <v>..</v>
          </cell>
          <cell r="Q237" t="str">
            <v>..</v>
          </cell>
          <cell r="R237" t="str">
            <v>..</v>
          </cell>
          <cell r="S237" t="str">
            <v>..</v>
          </cell>
          <cell r="T237" t="str">
            <v>..</v>
          </cell>
          <cell r="U237" t="str">
            <v>..</v>
          </cell>
          <cell r="V237">
            <v>52</v>
          </cell>
          <cell r="W237">
            <v>52</v>
          </cell>
          <cell r="X237">
            <v>0</v>
          </cell>
          <cell r="Y237" t="str">
            <v>-</v>
          </cell>
          <cell r="Z237" t="str">
            <v>Until the child is one year old. Sixty-seven per cent of earnings for the first 180 calendar days, up to a ceiling of JPY426,000 [€3,149212], with a minimum payment of JPY46,230 [€342] a month and a maximum payment of JPY285,420 [€2,110] per month; then 50 per cent of earnings with a minimum payment of JPY34,500 [€XXX] a month and a maximum payment of JPY213,000 [€1,574] per month</v>
          </cell>
          <cell r="AA237" t="str">
            <v>Gross</v>
          </cell>
          <cell r="AB237" t="str">
            <v>N</v>
          </cell>
          <cell r="AC237">
            <v>25.714285714285715</v>
          </cell>
          <cell r="AD237">
            <v>0.67</v>
          </cell>
          <cell r="AE237">
            <v>285420</v>
          </cell>
          <cell r="AF237" t="str">
            <v>month</v>
          </cell>
          <cell r="AG237">
            <v>46230</v>
          </cell>
          <cell r="AH237" t="str">
            <v>month</v>
          </cell>
          <cell r="AI237" t="str">
            <v>-</v>
          </cell>
          <cell r="AJ237" t="str">
            <v>-</v>
          </cell>
          <cell r="AK237" t="str">
            <v>-</v>
          </cell>
          <cell r="AL237" t="str">
            <v>-</v>
          </cell>
          <cell r="AM237" t="str">
            <v>-</v>
          </cell>
          <cell r="AN237" t="str">
            <v>-</v>
          </cell>
          <cell r="AO237">
            <v>26.285714285714285</v>
          </cell>
          <cell r="AP237">
            <v>0.5</v>
          </cell>
          <cell r="AQ237">
            <v>213000</v>
          </cell>
          <cell r="AR237" t="str">
            <v>month</v>
          </cell>
          <cell r="AS237">
            <v>34500</v>
          </cell>
          <cell r="AT237" t="str">
            <v>month</v>
          </cell>
          <cell r="AU237" t="str">
            <v>-</v>
          </cell>
          <cell r="AV237" t="str">
            <v>-</v>
          </cell>
          <cell r="AW237" t="str">
            <v>-</v>
          </cell>
          <cell r="AX237" t="str">
            <v>-</v>
          </cell>
          <cell r="AY237" t="str">
            <v>-</v>
          </cell>
          <cell r="AZ237" t="str">
            <v>-</v>
          </cell>
          <cell r="BA237" t="str">
            <v>-</v>
          </cell>
          <cell r="BB237" t="str">
            <v>-</v>
          </cell>
          <cell r="BC237" t="str">
            <v>-</v>
          </cell>
          <cell r="BD237" t="str">
            <v>-</v>
          </cell>
          <cell r="BE237" t="str">
            <v>-</v>
          </cell>
          <cell r="BF237" t="str">
            <v>-</v>
          </cell>
          <cell r="BG237" t="str">
            <v>-</v>
          </cell>
          <cell r="BH237" t="str">
            <v>-</v>
          </cell>
          <cell r="BI237" t="str">
            <v>-</v>
          </cell>
          <cell r="BJ237" t="str">
            <v>-</v>
          </cell>
          <cell r="BK237" t="str">
            <v>-</v>
          </cell>
          <cell r="BL237" t="str">
            <v>-</v>
          </cell>
          <cell r="BM237">
            <v>0.5840659340659341</v>
          </cell>
          <cell r="BN237">
            <v>0.5840659340659341</v>
          </cell>
          <cell r="BO237" t="str">
            <v>-</v>
          </cell>
          <cell r="BP237" t="str">
            <v>-</v>
          </cell>
          <cell r="BQ237">
            <v>2969336.2481868137</v>
          </cell>
          <cell r="BR237">
            <v>247444.68734890112</v>
          </cell>
          <cell r="BS237">
            <v>57103.05941174188</v>
          </cell>
          <cell r="BT237">
            <v>11420.611882348376</v>
          </cell>
        </row>
        <row r="238">
          <cell r="A238" t="str">
            <v>Japan2016100 / 100</v>
          </cell>
          <cell r="B238" t="str">
            <v>Japan</v>
          </cell>
          <cell r="C238">
            <v>2016</v>
          </cell>
          <cell r="D238" t="str">
            <v>100 / 100</v>
          </cell>
          <cell r="E238">
            <v>5138692.4000000004</v>
          </cell>
          <cell r="F238">
            <v>428224.3666666667</v>
          </cell>
          <cell r="G238">
            <v>98821.76785975277</v>
          </cell>
          <cell r="H238">
            <v>19764.353571950553</v>
          </cell>
          <cell r="I238">
            <v>5138692.4000000004</v>
          </cell>
          <cell r="J238">
            <v>428224.3666666667</v>
          </cell>
          <cell r="K238">
            <v>98821.76785975277</v>
          </cell>
          <cell r="L238">
            <v>19764.353571950553</v>
          </cell>
          <cell r="M238" t="str">
            <v>..</v>
          </cell>
          <cell r="N238" t="str">
            <v>..</v>
          </cell>
          <cell r="O238" t="str">
            <v>..</v>
          </cell>
          <cell r="P238" t="str">
            <v>..</v>
          </cell>
          <cell r="Q238" t="str">
            <v>..</v>
          </cell>
          <cell r="R238" t="str">
            <v>..</v>
          </cell>
          <cell r="S238" t="str">
            <v>..</v>
          </cell>
          <cell r="T238" t="str">
            <v>..</v>
          </cell>
          <cell r="U238" t="str">
            <v>..</v>
          </cell>
          <cell r="V238">
            <v>52</v>
          </cell>
          <cell r="W238">
            <v>52</v>
          </cell>
          <cell r="X238">
            <v>0</v>
          </cell>
          <cell r="Y238" t="str">
            <v>-</v>
          </cell>
          <cell r="Z238" t="str">
            <v>Until the child is one year old. Sixty-seven per cent of earnings for the first 180 calendar days, up to a ceiling of JPY426,000, with a minimum payment of JPY46,230 a month and a maximum payment of JPY285,420 per month; then 50 per cent of earnings with a minimum payment of JPY34,500 a month and a maximum payment of JPY213,000 per month</v>
          </cell>
          <cell r="AA238" t="str">
            <v>Gross</v>
          </cell>
          <cell r="AB238" t="str">
            <v>N</v>
          </cell>
          <cell r="AC238">
            <v>25.714285714285715</v>
          </cell>
          <cell r="AD238">
            <v>0.67</v>
          </cell>
          <cell r="AE238">
            <v>285420</v>
          </cell>
          <cell r="AF238" t="str">
            <v>month</v>
          </cell>
          <cell r="AG238">
            <v>46230</v>
          </cell>
          <cell r="AH238" t="str">
            <v>month</v>
          </cell>
          <cell r="AI238" t="str">
            <v>-</v>
          </cell>
          <cell r="AJ238" t="str">
            <v>-</v>
          </cell>
          <cell r="AK238" t="str">
            <v>-</v>
          </cell>
          <cell r="AL238" t="str">
            <v>-</v>
          </cell>
          <cell r="AM238" t="str">
            <v>-</v>
          </cell>
          <cell r="AN238" t="str">
            <v>-</v>
          </cell>
          <cell r="AO238">
            <v>26.285714285714285</v>
          </cell>
          <cell r="AP238">
            <v>0.5</v>
          </cell>
          <cell r="AQ238">
            <v>213000</v>
          </cell>
          <cell r="AR238" t="str">
            <v>month</v>
          </cell>
          <cell r="AS238">
            <v>34500</v>
          </cell>
          <cell r="AT238" t="str">
            <v>month</v>
          </cell>
          <cell r="AU238" t="str">
            <v>-</v>
          </cell>
          <cell r="AV238" t="str">
            <v>-</v>
          </cell>
          <cell r="AW238" t="str">
            <v>-</v>
          </cell>
          <cell r="AX238" t="str">
            <v>-</v>
          </cell>
          <cell r="AY238" t="str">
            <v>-</v>
          </cell>
          <cell r="AZ238" t="str">
            <v>-</v>
          </cell>
          <cell r="BA238" t="str">
            <v>-</v>
          </cell>
          <cell r="BB238" t="str">
            <v>-</v>
          </cell>
          <cell r="BC238" t="str">
            <v>-</v>
          </cell>
          <cell r="BD238" t="str">
            <v>-</v>
          </cell>
          <cell r="BE238" t="str">
            <v>-</v>
          </cell>
          <cell r="BF238" t="str">
            <v>-</v>
          </cell>
          <cell r="BG238" t="str">
            <v>-</v>
          </cell>
          <cell r="BH238" t="str">
            <v>-</v>
          </cell>
          <cell r="BI238" t="str">
            <v>-</v>
          </cell>
          <cell r="BJ238" t="str">
            <v>-</v>
          </cell>
          <cell r="BK238" t="str">
            <v>-</v>
          </cell>
          <cell r="BL238" t="str">
            <v>-</v>
          </cell>
          <cell r="BM238">
            <v>0.58103206468343083</v>
          </cell>
          <cell r="BN238">
            <v>0.58103206468343083</v>
          </cell>
          <cell r="BO238" t="str">
            <v>-</v>
          </cell>
          <cell r="BP238" t="str">
            <v>-</v>
          </cell>
          <cell r="BQ238">
            <v>2985745.0549450545</v>
          </cell>
          <cell r="BR238">
            <v>248812.08791208788</v>
          </cell>
          <cell r="BS238">
            <v>57418.615815218858</v>
          </cell>
          <cell r="BT238">
            <v>11483.723163043771</v>
          </cell>
        </row>
        <row r="239">
          <cell r="A239" t="str">
            <v>Japan2017100 / 100</v>
          </cell>
          <cell r="B239" t="str">
            <v>Japan</v>
          </cell>
          <cell r="C239">
            <v>2017</v>
          </cell>
          <cell r="D239" t="str">
            <v>100 / 100</v>
          </cell>
          <cell r="E239">
            <v>5145307.2</v>
          </cell>
          <cell r="F239">
            <v>428775.60000000003</v>
          </cell>
          <cell r="G239">
            <v>98948.976530588698</v>
          </cell>
          <cell r="H239">
            <v>19789.79530611774</v>
          </cell>
          <cell r="I239">
            <v>5145307.2</v>
          </cell>
          <cell r="J239">
            <v>428775.60000000003</v>
          </cell>
          <cell r="K239">
            <v>98948.976530588698</v>
          </cell>
          <cell r="L239">
            <v>19789.79530611774</v>
          </cell>
          <cell r="M239" t="str">
            <v>..</v>
          </cell>
          <cell r="N239" t="str">
            <v>..</v>
          </cell>
          <cell r="O239" t="str">
            <v>..</v>
          </cell>
          <cell r="P239" t="str">
            <v>..</v>
          </cell>
          <cell r="Q239" t="str">
            <v>..</v>
          </cell>
          <cell r="R239" t="str">
            <v>..</v>
          </cell>
          <cell r="S239" t="str">
            <v>..</v>
          </cell>
          <cell r="T239" t="str">
            <v>..</v>
          </cell>
          <cell r="U239" t="str">
            <v>..</v>
          </cell>
          <cell r="V239">
            <v>52</v>
          </cell>
          <cell r="W239">
            <v>52</v>
          </cell>
          <cell r="X239">
            <v>0</v>
          </cell>
          <cell r="Y239" t="str">
            <v>-</v>
          </cell>
          <cell r="Z239" t="str">
            <v>Until the child is one year old. Sixty-seven per cent of earnings for the first 180 calendar days, up to a ceiling of JPY426,000, with a minimum payment of JPY46,230 a month and a maximum payment of JPY285,420 per month; then 50 per cent of earnings with a minimum payment of JPY34,500 a month and a maximum payment of JPY213,000 per month</v>
          </cell>
          <cell r="AA239" t="str">
            <v>Gross</v>
          </cell>
          <cell r="AB239" t="str">
            <v>N</v>
          </cell>
          <cell r="AC239">
            <v>25.714285714285715</v>
          </cell>
          <cell r="AD239">
            <v>0.67</v>
          </cell>
          <cell r="AE239">
            <v>285420</v>
          </cell>
          <cell r="AF239" t="str">
            <v>month</v>
          </cell>
          <cell r="AG239">
            <v>46230</v>
          </cell>
          <cell r="AH239" t="str">
            <v>month</v>
          </cell>
          <cell r="AI239" t="str">
            <v>-</v>
          </cell>
          <cell r="AJ239" t="str">
            <v>-</v>
          </cell>
          <cell r="AK239" t="str">
            <v>-</v>
          </cell>
          <cell r="AL239" t="str">
            <v>-</v>
          </cell>
          <cell r="AM239" t="str">
            <v>-</v>
          </cell>
          <cell r="AN239" t="str">
            <v>-</v>
          </cell>
          <cell r="AO239">
            <v>26.285714285714285</v>
          </cell>
          <cell r="AP239">
            <v>0.5</v>
          </cell>
          <cell r="AQ239">
            <v>213000</v>
          </cell>
          <cell r="AR239" t="str">
            <v>month</v>
          </cell>
          <cell r="AS239">
            <v>34500</v>
          </cell>
          <cell r="AT239" t="str">
            <v>month</v>
          </cell>
          <cell r="AU239" t="str">
            <v>-</v>
          </cell>
          <cell r="AV239" t="str">
            <v>-</v>
          </cell>
          <cell r="AW239" t="str">
            <v>-</v>
          </cell>
          <cell r="AX239" t="str">
            <v>-</v>
          </cell>
          <cell r="AY239" t="str">
            <v>-</v>
          </cell>
          <cell r="AZ239" t="str">
            <v>-</v>
          </cell>
          <cell r="BA239" t="str">
            <v>-</v>
          </cell>
          <cell r="BB239" t="str">
            <v>-</v>
          </cell>
          <cell r="BC239" t="str">
            <v>-</v>
          </cell>
          <cell r="BD239" t="str">
            <v>-</v>
          </cell>
          <cell r="BE239" t="str">
            <v>-</v>
          </cell>
          <cell r="BF239" t="str">
            <v>-</v>
          </cell>
          <cell r="BG239" t="str">
            <v>-</v>
          </cell>
          <cell r="BH239" t="str">
            <v>-</v>
          </cell>
          <cell r="BI239" t="str">
            <v>-</v>
          </cell>
          <cell r="BJ239" t="str">
            <v>-</v>
          </cell>
          <cell r="BK239" t="str">
            <v>-</v>
          </cell>
          <cell r="BL239" t="str">
            <v>-</v>
          </cell>
          <cell r="BM239">
            <v>0.58028509064435552</v>
          </cell>
          <cell r="BN239">
            <v>0.58028509064435552</v>
          </cell>
          <cell r="BO239" t="str">
            <v>-</v>
          </cell>
          <cell r="BP239" t="str">
            <v>-</v>
          </cell>
          <cell r="BQ239">
            <v>2985745.0549450554</v>
          </cell>
          <cell r="BR239">
            <v>248812.08791208794</v>
          </cell>
          <cell r="BS239">
            <v>57418.615815218865</v>
          </cell>
          <cell r="BT239">
            <v>11483.723163043775</v>
          </cell>
        </row>
        <row r="240">
          <cell r="A240" t="str">
            <v>Japan2018100 / 100</v>
          </cell>
          <cell r="B240" t="str">
            <v>Japan</v>
          </cell>
          <cell r="C240">
            <v>2018</v>
          </cell>
          <cell r="D240" t="str">
            <v>100 / 100</v>
          </cell>
          <cell r="E240">
            <v>5206931.4000000004</v>
          </cell>
          <cell r="F240">
            <v>433910.95</v>
          </cell>
          <cell r="G240">
            <v>100134.0664158955</v>
          </cell>
          <cell r="H240">
            <v>20026.813283179101</v>
          </cell>
          <cell r="I240">
            <v>5206931.4000000004</v>
          </cell>
          <cell r="J240">
            <v>433910.95</v>
          </cell>
          <cell r="K240">
            <v>100134.0664158955</v>
          </cell>
          <cell r="L240">
            <v>20026.813283179101</v>
          </cell>
          <cell r="M240" t="str">
            <v>..</v>
          </cell>
          <cell r="N240" t="str">
            <v>..</v>
          </cell>
          <cell r="O240" t="str">
            <v>..</v>
          </cell>
          <cell r="P240" t="str">
            <v>..</v>
          </cell>
          <cell r="Q240" t="str">
            <v>..</v>
          </cell>
          <cell r="R240" t="str">
            <v>..</v>
          </cell>
          <cell r="S240" t="str">
            <v>..</v>
          </cell>
          <cell r="T240" t="str">
            <v>..</v>
          </cell>
          <cell r="U240" t="str">
            <v>..</v>
          </cell>
          <cell r="V240">
            <v>52</v>
          </cell>
          <cell r="W240">
            <v>52</v>
          </cell>
          <cell r="X240">
            <v>0</v>
          </cell>
          <cell r="Y240" t="str">
            <v>-</v>
          </cell>
          <cell r="Z240" t="str">
            <v>Until the child is one year old. Sixty-seven per cent of earnings for the first 180 calendar days, up to a ceiling of JPY447,300, with a minimum payment of JPY49,647 a month and a maximum payment of JPY299,691 per month; then 50 per cent of earnings with a minimum payment of JPY37050 a month and a maximum payment of JPY223650 per month.</v>
          </cell>
          <cell r="AA240" t="str">
            <v>Gross</v>
          </cell>
          <cell r="AB240" t="str">
            <v>N</v>
          </cell>
          <cell r="AC240">
            <v>25.714285714285715</v>
          </cell>
          <cell r="AD240">
            <v>0.67</v>
          </cell>
          <cell r="AE240">
            <v>299691</v>
          </cell>
          <cell r="AF240" t="str">
            <v>month</v>
          </cell>
          <cell r="AG240">
            <v>49647</v>
          </cell>
          <cell r="AH240" t="str">
            <v>month</v>
          </cell>
          <cell r="AI240" t="str">
            <v>-</v>
          </cell>
          <cell r="AJ240" t="str">
            <v>-</v>
          </cell>
          <cell r="AK240" t="str">
            <v>-</v>
          </cell>
          <cell r="AL240" t="str">
            <v>-</v>
          </cell>
          <cell r="AM240" t="str">
            <v>-</v>
          </cell>
          <cell r="AN240" t="str">
            <v>-</v>
          </cell>
          <cell r="AO240">
            <v>26.285714285714299</v>
          </cell>
          <cell r="AP240">
            <v>0.5</v>
          </cell>
          <cell r="AQ240">
            <v>223650</v>
          </cell>
          <cell r="AR240" t="str">
            <v>month</v>
          </cell>
          <cell r="AS240">
            <v>37050</v>
          </cell>
          <cell r="AT240" t="str">
            <v>month</v>
          </cell>
          <cell r="AU240" t="str">
            <v>-</v>
          </cell>
          <cell r="AV240" t="str">
            <v>-</v>
          </cell>
          <cell r="AW240" t="str">
            <v>-</v>
          </cell>
          <cell r="AX240" t="str">
            <v>-</v>
          </cell>
          <cell r="AY240" t="str">
            <v>-</v>
          </cell>
          <cell r="AZ240" t="str">
            <v>-</v>
          </cell>
          <cell r="BA240" t="str">
            <v>-</v>
          </cell>
          <cell r="BB240" t="str">
            <v>-</v>
          </cell>
          <cell r="BC240" t="str">
            <v>-</v>
          </cell>
          <cell r="BD240" t="str">
            <v>-</v>
          </cell>
          <cell r="BE240" t="str">
            <v>-</v>
          </cell>
          <cell r="BF240" t="str">
            <v>-</v>
          </cell>
          <cell r="BG240" t="str">
            <v>-</v>
          </cell>
          <cell r="BH240" t="str">
            <v>-</v>
          </cell>
          <cell r="BI240" t="str">
            <v>-</v>
          </cell>
          <cell r="BJ240" t="str">
            <v>-</v>
          </cell>
          <cell r="BK240" t="str">
            <v>-</v>
          </cell>
          <cell r="BL240" t="str">
            <v>-</v>
          </cell>
          <cell r="BM240">
            <v>0.58406593406593421</v>
          </cell>
          <cell r="BN240">
            <v>0.58406593406593421</v>
          </cell>
          <cell r="BO240" t="str">
            <v>-</v>
          </cell>
          <cell r="BP240" t="str">
            <v>-</v>
          </cell>
          <cell r="BQ240">
            <v>3041191.251758243</v>
          </cell>
          <cell r="BR240">
            <v>253432.60431318689</v>
          </cell>
          <cell r="BS240">
            <v>58484.897033020301</v>
          </cell>
          <cell r="BT240">
            <v>11696.979406604059</v>
          </cell>
        </row>
        <row r="241">
          <cell r="A241" t="str">
            <v>Japan2019100 / 100</v>
          </cell>
          <cell r="B241" t="str">
            <v>Japan</v>
          </cell>
          <cell r="C241">
            <v>2019</v>
          </cell>
          <cell r="D241" t="str">
            <v>100 / 100</v>
          </cell>
          <cell r="E241">
            <v>5221759.5999999996</v>
          </cell>
          <cell r="F241">
            <v>435146.6333333333</v>
          </cell>
          <cell r="G241">
            <v>100419.22630174077</v>
          </cell>
          <cell r="H241">
            <v>20083.845260348153</v>
          </cell>
          <cell r="I241">
            <v>5221759.5999999996</v>
          </cell>
          <cell r="J241">
            <v>435146.6333333333</v>
          </cell>
          <cell r="K241">
            <v>100419.22630174077</v>
          </cell>
          <cell r="L241">
            <v>20083.845260348153</v>
          </cell>
          <cell r="M241" t="str">
            <v>..</v>
          </cell>
          <cell r="N241" t="str">
            <v>..</v>
          </cell>
          <cell r="O241" t="str">
            <v>..</v>
          </cell>
          <cell r="P241" t="str">
            <v>..</v>
          </cell>
          <cell r="Q241" t="str">
            <v>..</v>
          </cell>
          <cell r="R241" t="str">
            <v>..</v>
          </cell>
          <cell r="S241" t="str">
            <v>..</v>
          </cell>
          <cell r="T241" t="str">
            <v>..</v>
          </cell>
          <cell r="U241" t="str">
            <v>..</v>
          </cell>
          <cell r="V241">
            <v>52</v>
          </cell>
          <cell r="W241">
            <v>52</v>
          </cell>
          <cell r="X241">
            <v>0</v>
          </cell>
          <cell r="Y241" t="str">
            <v>-</v>
          </cell>
          <cell r="Z241" t="str">
            <v>Until the child is one year old (52 weeks less the 8 post-birth weeks of maternity leave). 67 per cent of previous earnings for the first 180 calendar days of Parental leave taken by each parent, with a minimum payment of JPY49,647 [€406.74] per month and a maximum payment of JPY299,691 [€2,455.25] per month; then 50 per cent of earnings with a minimum payment of JPY37,050 [€303.54] per month and a maximum payment of JPY223,650 [€1,832.28] per month.</v>
          </cell>
          <cell r="AA241" t="str">
            <v>Gross</v>
          </cell>
          <cell r="AB241" t="str">
            <v>N</v>
          </cell>
          <cell r="AC241">
            <v>25.714285714285715</v>
          </cell>
          <cell r="AD241">
            <v>0.67</v>
          </cell>
          <cell r="AE241">
            <v>299691</v>
          </cell>
          <cell r="AF241" t="str">
            <v>month</v>
          </cell>
          <cell r="AG241">
            <v>49647</v>
          </cell>
          <cell r="AH241" t="str">
            <v>month</v>
          </cell>
          <cell r="AI241" t="str">
            <v>-</v>
          </cell>
          <cell r="AJ241" t="str">
            <v>-</v>
          </cell>
          <cell r="AK241" t="str">
            <v>-</v>
          </cell>
          <cell r="AL241" t="str">
            <v>-</v>
          </cell>
          <cell r="AM241" t="str">
            <v>-</v>
          </cell>
          <cell r="AN241" t="str">
            <v>-</v>
          </cell>
          <cell r="AO241">
            <v>26.285714285714299</v>
          </cell>
          <cell r="AP241">
            <v>0.5</v>
          </cell>
          <cell r="AQ241">
            <v>223650</v>
          </cell>
          <cell r="AR241" t="str">
            <v>month</v>
          </cell>
          <cell r="AS241">
            <v>37050</v>
          </cell>
          <cell r="AT241" t="str">
            <v>month</v>
          </cell>
          <cell r="AU241" t="str">
            <v>-</v>
          </cell>
          <cell r="AV241" t="str">
            <v>-</v>
          </cell>
          <cell r="AW241" t="str">
            <v>-</v>
          </cell>
          <cell r="AX241" t="str">
            <v>-</v>
          </cell>
          <cell r="AY241" t="str">
            <v>-</v>
          </cell>
          <cell r="AZ241" t="str">
            <v>-</v>
          </cell>
          <cell r="BA241" t="str">
            <v>-</v>
          </cell>
          <cell r="BB241" t="str">
            <v>-</v>
          </cell>
          <cell r="BC241" t="str">
            <v>-</v>
          </cell>
          <cell r="BD241" t="str">
            <v>-</v>
          </cell>
          <cell r="BE241" t="str">
            <v>-</v>
          </cell>
          <cell r="BF241" t="str">
            <v>-</v>
          </cell>
          <cell r="BG241" t="str">
            <v>-</v>
          </cell>
          <cell r="BH241" t="str">
            <v>-</v>
          </cell>
          <cell r="BI241" t="str">
            <v>-</v>
          </cell>
          <cell r="BJ241" t="str">
            <v>-</v>
          </cell>
          <cell r="BK241" t="str">
            <v>-</v>
          </cell>
          <cell r="BL241" t="str">
            <v>-</v>
          </cell>
          <cell r="BM241">
            <v>0.58406593406593421</v>
          </cell>
          <cell r="BN241">
            <v>0.58406593406593421</v>
          </cell>
          <cell r="BO241" t="str">
            <v>-</v>
          </cell>
          <cell r="BP241" t="str">
            <v>-</v>
          </cell>
          <cell r="BQ241">
            <v>3049851.8982417588</v>
          </cell>
          <cell r="BR241">
            <v>254154.32485347989</v>
          </cell>
          <cell r="BS241">
            <v>58651.449208104648</v>
          </cell>
          <cell r="BT241">
            <v>11730.28984162093</v>
          </cell>
        </row>
        <row r="242">
          <cell r="A242" t="str">
            <v>Japan2020100 / 100</v>
          </cell>
          <cell r="B242" t="str">
            <v>Japan</v>
          </cell>
          <cell r="C242">
            <v>2020</v>
          </cell>
          <cell r="D242" t="str">
            <v>100 / 100</v>
          </cell>
          <cell r="E242">
            <v>5082721.9000000004</v>
          </cell>
          <cell r="F242">
            <v>423560.15833333338</v>
          </cell>
          <cell r="G242">
            <v>97745.403810798554</v>
          </cell>
          <cell r="H242">
            <v>19549.080762159712</v>
          </cell>
          <cell r="I242">
            <v>5082721.9000000004</v>
          </cell>
          <cell r="J242">
            <v>423560.15833333338</v>
          </cell>
          <cell r="K242">
            <v>97745.403810798554</v>
          </cell>
          <cell r="L242">
            <v>19549.080762159712</v>
          </cell>
          <cell r="M242" t="str">
            <v>..</v>
          </cell>
          <cell r="N242" t="str">
            <v>..</v>
          </cell>
          <cell r="O242" t="str">
            <v>..</v>
          </cell>
          <cell r="P242" t="str">
            <v>..</v>
          </cell>
          <cell r="Q242" t="str">
            <v>..</v>
          </cell>
          <cell r="R242" t="str">
            <v>..</v>
          </cell>
          <cell r="S242" t="str">
            <v>..</v>
          </cell>
          <cell r="T242" t="str">
            <v>..</v>
          </cell>
          <cell r="U242" t="str">
            <v>..</v>
          </cell>
          <cell r="V242">
            <v>52</v>
          </cell>
          <cell r="W242">
            <v>52</v>
          </cell>
          <cell r="X242">
            <v>0</v>
          </cell>
          <cell r="Y242" t="str">
            <v>-</v>
          </cell>
          <cell r="Z242" t="str">
            <v>Until the child is one year old (52 weeks less the 8 post-birth weeks of maternity leave). 67 per cent of previous earnings for the first 180 calendar days of Parental leave taken by each parent with a minimum payment of JPY 50,250 [€406,62]3 per month and a maximum payment of JPY 304,314 [€2,462.49] per month; then 50 per cent of earnings with a minimum payment of JPY37,500 [€303.45] per month and a maximum payment of JPY 227,100 [€1,837.68] per month.</v>
          </cell>
          <cell r="AA242" t="str">
            <v>Gross</v>
          </cell>
          <cell r="AB242" t="str">
            <v>N</v>
          </cell>
          <cell r="AC242">
            <v>25.714285714285715</v>
          </cell>
          <cell r="AD242">
            <v>0.67</v>
          </cell>
          <cell r="AE242">
            <v>304314</v>
          </cell>
          <cell r="AF242" t="str">
            <v>month</v>
          </cell>
          <cell r="AG242">
            <v>50250</v>
          </cell>
          <cell r="AH242" t="str">
            <v>month</v>
          </cell>
          <cell r="AI242" t="str">
            <v>-</v>
          </cell>
          <cell r="AJ242" t="str">
            <v>-</v>
          </cell>
          <cell r="AK242" t="str">
            <v>-</v>
          </cell>
          <cell r="AL242" t="str">
            <v>-</v>
          </cell>
          <cell r="AM242" t="str">
            <v>-</v>
          </cell>
          <cell r="AN242" t="str">
            <v>-</v>
          </cell>
          <cell r="AO242">
            <v>26.285714285714299</v>
          </cell>
          <cell r="AP242">
            <v>0.5</v>
          </cell>
          <cell r="AQ242">
            <v>227100</v>
          </cell>
          <cell r="AR242" t="str">
            <v>month</v>
          </cell>
          <cell r="AS242">
            <v>37500</v>
          </cell>
          <cell r="AT242" t="str">
            <v>month</v>
          </cell>
          <cell r="AU242" t="str">
            <v>-</v>
          </cell>
          <cell r="AV242" t="str">
            <v>-</v>
          </cell>
          <cell r="AW242" t="str">
            <v>-</v>
          </cell>
          <cell r="AX242" t="str">
            <v>-</v>
          </cell>
          <cell r="AY242" t="str">
            <v>-</v>
          </cell>
          <cell r="AZ242" t="str">
            <v>-</v>
          </cell>
          <cell r="BA242" t="str">
            <v>-</v>
          </cell>
          <cell r="BB242" t="str">
            <v>-</v>
          </cell>
          <cell r="BC242" t="str">
            <v>-</v>
          </cell>
          <cell r="BD242" t="str">
            <v>-</v>
          </cell>
          <cell r="BE242" t="str">
            <v>-</v>
          </cell>
          <cell r="BF242" t="str">
            <v>-</v>
          </cell>
          <cell r="BG242" t="str">
            <v>-</v>
          </cell>
          <cell r="BH242" t="str">
            <v>-</v>
          </cell>
          <cell r="BI242" t="str">
            <v>-</v>
          </cell>
          <cell r="BJ242" t="str">
            <v>-</v>
          </cell>
          <cell r="BK242" t="str">
            <v>-</v>
          </cell>
          <cell r="BL242" t="str">
            <v>-</v>
          </cell>
          <cell r="BM242">
            <v>0.58406593406593421</v>
          </cell>
          <cell r="BN242">
            <v>0.58406593406593421</v>
          </cell>
          <cell r="BO242" t="str">
            <v>-</v>
          </cell>
          <cell r="BP242" t="str">
            <v>-</v>
          </cell>
          <cell r="BQ242">
            <v>2968644.7141208802</v>
          </cell>
          <cell r="BR242">
            <v>247387.05951007336</v>
          </cell>
          <cell r="BS242">
            <v>57089.760577405985</v>
          </cell>
          <cell r="BT242">
            <v>11417.952115481197</v>
          </cell>
        </row>
        <row r="243">
          <cell r="A243" t="str">
            <v>Japan2021100 / 100</v>
          </cell>
          <cell r="B243" t="str">
            <v>Japan</v>
          </cell>
          <cell r="C243">
            <v>2021</v>
          </cell>
          <cell r="D243" t="str">
            <v>100 / 100</v>
          </cell>
          <cell r="E243">
            <v>5087487.5</v>
          </cell>
          <cell r="F243">
            <v>423957.29166666669</v>
          </cell>
          <cell r="G243">
            <v>97837.050669620527</v>
          </cell>
          <cell r="H243">
            <v>19567.410133924106</v>
          </cell>
          <cell r="I243">
            <v>5087487.5</v>
          </cell>
          <cell r="J243">
            <v>423957.29166666669</v>
          </cell>
          <cell r="K243">
            <v>97837.050669620527</v>
          </cell>
          <cell r="L243">
            <v>19567.410133924106</v>
          </cell>
          <cell r="M243" t="str">
            <v>..</v>
          </cell>
          <cell r="N243" t="str">
            <v>..</v>
          </cell>
          <cell r="O243" t="str">
            <v>..</v>
          </cell>
          <cell r="P243" t="str">
            <v>..</v>
          </cell>
          <cell r="Q243" t="str">
            <v>..</v>
          </cell>
          <cell r="R243" t="str">
            <v>..</v>
          </cell>
          <cell r="S243" t="str">
            <v>..</v>
          </cell>
          <cell r="T243" t="str">
            <v>..</v>
          </cell>
          <cell r="U243" t="str">
            <v>..</v>
          </cell>
          <cell r="V243">
            <v>52</v>
          </cell>
          <cell r="W243">
            <v>52</v>
          </cell>
          <cell r="X243">
            <v>0</v>
          </cell>
          <cell r="Y243" t="str">
            <v>-</v>
          </cell>
          <cell r="Z243" t="str">
            <v>Until the child is one year old (52 weeks less the 8 post-birth weeks of maternity leave). 67 per cent of previous earnings for the first 180 calendar days of Parental leave taken by each parent with a minimum payment of JPY50,250 [€383.85]3 per month and a maximum payment of JPY304,314 [€2,324.60] per month; then 50 per cent of earnings with a minimum payment of JPY37,500 [€286.46] per month and a maximum payment of JPY227,100 [€1,734.78] per month.</v>
          </cell>
          <cell r="AA243" t="str">
            <v>Gross</v>
          </cell>
          <cell r="AB243" t="str">
            <v>N</v>
          </cell>
          <cell r="AC243">
            <v>25.714285714285715</v>
          </cell>
          <cell r="AD243">
            <v>0.67</v>
          </cell>
          <cell r="AE243">
            <v>304314</v>
          </cell>
          <cell r="AF243" t="str">
            <v>month</v>
          </cell>
          <cell r="AG243">
            <v>50250</v>
          </cell>
          <cell r="AH243" t="str">
            <v>month</v>
          </cell>
          <cell r="AI243" t="str">
            <v>-</v>
          </cell>
          <cell r="AJ243" t="str">
            <v>-</v>
          </cell>
          <cell r="AK243" t="str">
            <v>-</v>
          </cell>
          <cell r="AL243" t="str">
            <v>-</v>
          </cell>
          <cell r="AM243" t="str">
            <v>-</v>
          </cell>
          <cell r="AN243" t="str">
            <v>-</v>
          </cell>
          <cell r="AO243">
            <v>26.285714285714299</v>
          </cell>
          <cell r="AP243">
            <v>0.5</v>
          </cell>
          <cell r="AQ243">
            <v>227100</v>
          </cell>
          <cell r="AR243" t="str">
            <v>month</v>
          </cell>
          <cell r="AS243">
            <v>37500</v>
          </cell>
          <cell r="AT243" t="str">
            <v>month</v>
          </cell>
          <cell r="AU243" t="str">
            <v>-</v>
          </cell>
          <cell r="AV243" t="str">
            <v>-</v>
          </cell>
          <cell r="AW243" t="str">
            <v>-</v>
          </cell>
          <cell r="AX243" t="str">
            <v>-</v>
          </cell>
          <cell r="AY243" t="str">
            <v>-</v>
          </cell>
          <cell r="AZ243" t="str">
            <v>-</v>
          </cell>
          <cell r="BA243" t="str">
            <v>-</v>
          </cell>
          <cell r="BB243" t="str">
            <v>-</v>
          </cell>
          <cell r="BC243" t="str">
            <v>-</v>
          </cell>
          <cell r="BD243" t="str">
            <v>-</v>
          </cell>
          <cell r="BE243" t="str">
            <v>-</v>
          </cell>
          <cell r="BF243" t="str">
            <v>-</v>
          </cell>
          <cell r="BG243" t="str">
            <v>-</v>
          </cell>
          <cell r="BH243" t="str">
            <v>-</v>
          </cell>
          <cell r="BI243" t="str">
            <v>-</v>
          </cell>
          <cell r="BJ243" t="str">
            <v>-</v>
          </cell>
          <cell r="BK243" t="str">
            <v>-</v>
          </cell>
          <cell r="BL243" t="str">
            <v>-</v>
          </cell>
          <cell r="BM243">
            <v>0.58406593406593421</v>
          </cell>
          <cell r="BN243">
            <v>0.58406593406593421</v>
          </cell>
          <cell r="BO243" t="str">
            <v>-</v>
          </cell>
          <cell r="BP243" t="str">
            <v>-</v>
          </cell>
          <cell r="BQ243">
            <v>2971428.1387362643</v>
          </cell>
          <cell r="BR243">
            <v>247619.01156135538</v>
          </cell>
          <cell r="BS243">
            <v>57143.288385608044</v>
          </cell>
          <cell r="BT243">
            <v>11428.65767712161</v>
          </cell>
        </row>
        <row r="244">
          <cell r="A244" t="str">
            <v>Japan2022100 / 100</v>
          </cell>
          <cell r="B244" t="str">
            <v>Japan</v>
          </cell>
          <cell r="C244">
            <v>2022</v>
          </cell>
          <cell r="D244" t="str">
            <v>100 / 100</v>
          </cell>
          <cell r="E244">
            <v>5165693.4000000004</v>
          </cell>
          <cell r="F244">
            <v>430474.45</v>
          </cell>
          <cell r="G244">
            <v>99341.021854014252</v>
          </cell>
          <cell r="H244">
            <v>19868.20437080285</v>
          </cell>
          <cell r="I244">
            <v>5165693.4000000004</v>
          </cell>
          <cell r="J244">
            <v>430474.45</v>
          </cell>
          <cell r="K244">
            <v>99341.021854014252</v>
          </cell>
          <cell r="L244">
            <v>19868.20437080285</v>
          </cell>
          <cell r="M244" t="str">
            <v>..</v>
          </cell>
          <cell r="N244" t="str">
            <v>..</v>
          </cell>
          <cell r="O244" t="str">
            <v>..</v>
          </cell>
          <cell r="P244" t="str">
            <v>..</v>
          </cell>
          <cell r="Q244" t="str">
            <v>..</v>
          </cell>
          <cell r="R244" t="str">
            <v>..</v>
          </cell>
          <cell r="S244" t="str">
            <v>..</v>
          </cell>
          <cell r="T244" t="str">
            <v>..</v>
          </cell>
          <cell r="U244" t="str">
            <v>..</v>
          </cell>
          <cell r="V244">
            <v>52</v>
          </cell>
          <cell r="W244">
            <v>52</v>
          </cell>
          <cell r="X244">
            <v>0</v>
          </cell>
          <cell r="Y244" t="str">
            <v>-</v>
          </cell>
          <cell r="Z244" t="str">
            <v>Until the child is one year old (52 weeks less the 8 post-birth weeks of maternity leave). 67 per cent of previous earnings for the first 180 calendar days of Parental leave taken by each parent with a minimum payment of JPY50,250 [€349.57] per month and a maximum payment of JPY304,314 [€2,116.97] per month; then 50 per cent of earnings with a minimum payment of JPY37,500 [€260.87] per month and a maximum payment of JPY227,100 [€1,579.83] per month.</v>
          </cell>
          <cell r="AA244" t="str">
            <v>Gross</v>
          </cell>
          <cell r="AB244" t="str">
            <v>N</v>
          </cell>
          <cell r="AC244">
            <v>25.714285714285715</v>
          </cell>
          <cell r="AD244">
            <v>0.67</v>
          </cell>
          <cell r="AE244">
            <v>304314</v>
          </cell>
          <cell r="AF244" t="str">
            <v>month</v>
          </cell>
          <cell r="AG244">
            <v>50250</v>
          </cell>
          <cell r="AH244" t="str">
            <v>month</v>
          </cell>
          <cell r="AI244" t="str">
            <v>-</v>
          </cell>
          <cell r="AJ244" t="str">
            <v>-</v>
          </cell>
          <cell r="AK244" t="str">
            <v>-</v>
          </cell>
          <cell r="AL244" t="str">
            <v>-</v>
          </cell>
          <cell r="AM244" t="str">
            <v>-</v>
          </cell>
          <cell r="AN244" t="str">
            <v>-</v>
          </cell>
          <cell r="AO244">
            <v>26.285714285714299</v>
          </cell>
          <cell r="AP244">
            <v>0.5</v>
          </cell>
          <cell r="AQ244">
            <v>227100</v>
          </cell>
          <cell r="AR244" t="str">
            <v>month</v>
          </cell>
          <cell r="AS244">
            <v>37500</v>
          </cell>
          <cell r="AT244" t="str">
            <v>month</v>
          </cell>
          <cell r="AU244" t="str">
            <v>-</v>
          </cell>
          <cell r="AV244" t="str">
            <v>-</v>
          </cell>
          <cell r="AW244" t="str">
            <v>-</v>
          </cell>
          <cell r="AX244" t="str">
            <v>-</v>
          </cell>
          <cell r="AY244" t="str">
            <v>-</v>
          </cell>
          <cell r="AZ244" t="str">
            <v>-</v>
          </cell>
          <cell r="BA244" t="str">
            <v>-</v>
          </cell>
          <cell r="BB244" t="str">
            <v>-</v>
          </cell>
          <cell r="BC244" t="str">
            <v>-</v>
          </cell>
          <cell r="BD244" t="str">
            <v>-</v>
          </cell>
          <cell r="BE244" t="str">
            <v>-</v>
          </cell>
          <cell r="BF244" t="str">
            <v>-</v>
          </cell>
          <cell r="BG244" t="str">
            <v>-</v>
          </cell>
          <cell r="BH244" t="str">
            <v>-</v>
          </cell>
          <cell r="BI244" t="str">
            <v>-</v>
          </cell>
          <cell r="BJ244" t="str">
            <v>-</v>
          </cell>
          <cell r="BK244" t="str">
            <v>-</v>
          </cell>
          <cell r="BL244" t="str">
            <v>-</v>
          </cell>
          <cell r="BM244">
            <v>0.58406593406593421</v>
          </cell>
          <cell r="BN244">
            <v>0.58406593406593421</v>
          </cell>
          <cell r="BO244" t="str">
            <v>-</v>
          </cell>
          <cell r="BP244" t="str">
            <v>-</v>
          </cell>
          <cell r="BQ244">
            <v>3017105.5407692315</v>
          </cell>
          <cell r="BR244">
            <v>251425.46173076931</v>
          </cell>
          <cell r="BS244">
            <v>58021.706720229216</v>
          </cell>
          <cell r="BT244">
            <v>11604.341344045844</v>
          </cell>
        </row>
        <row r="245">
          <cell r="A245" t="str">
            <v>Japan2023100 / 100</v>
          </cell>
          <cell r="B245" t="str">
            <v>Japan</v>
          </cell>
          <cell r="C245">
            <v>2023</v>
          </cell>
          <cell r="D245" t="str">
            <v>100 / 100</v>
          </cell>
          <cell r="E245">
            <v>5308053.0999999996</v>
          </cell>
          <cell r="F245">
            <v>442337.7583333333</v>
          </cell>
          <cell r="G245">
            <v>102078.729451765</v>
          </cell>
          <cell r="H245">
            <v>20415.745890352999</v>
          </cell>
          <cell r="I245">
            <v>5308053.0999999996</v>
          </cell>
          <cell r="J245">
            <v>442337.7583333333</v>
          </cell>
          <cell r="K245">
            <v>102078.729451765</v>
          </cell>
          <cell r="L245">
            <v>20415.745890352999</v>
          </cell>
          <cell r="M245" t="str">
            <v>..</v>
          </cell>
          <cell r="N245" t="str">
            <v>..</v>
          </cell>
          <cell r="O245" t="str">
            <v>..</v>
          </cell>
          <cell r="P245" t="str">
            <v>..</v>
          </cell>
          <cell r="Q245" t="str">
            <v>..</v>
          </cell>
          <cell r="R245" t="str">
            <v>..</v>
          </cell>
          <cell r="S245" t="str">
            <v>..</v>
          </cell>
          <cell r="T245" t="str">
            <v>..</v>
          </cell>
          <cell r="U245" t="str">
            <v>..</v>
          </cell>
          <cell r="V245">
            <v>48</v>
          </cell>
          <cell r="W245">
            <v>48</v>
          </cell>
          <cell r="X245">
            <v>0</v>
          </cell>
          <cell r="Y245" t="str">
            <v>-</v>
          </cell>
          <cell r="Z245" t="str">
            <v>Until the child is one year old (52 weeks less the 4 post-birth weeks of paternity leave). 67 per cent of previous earnings for the first 180 calendar days of Parental leave taken by each parent with a minimum payment of JPY53,405 [€341.09] per month and a maximum payment of JPY305,319 [€1,950.05] per month; then 50 per cent of earnings with a minimum payment of JPY39,855 [€254.55] per month and a maximum payment of JPY227,850 [€1,742.67] per month.</v>
          </cell>
          <cell r="AA245" t="str">
            <v>Gross</v>
          </cell>
          <cell r="AB245" t="str">
            <v>N</v>
          </cell>
          <cell r="AC245">
            <v>25.714285714285715</v>
          </cell>
          <cell r="AD245">
            <v>0.67</v>
          </cell>
          <cell r="AE245">
            <v>305319</v>
          </cell>
          <cell r="AF245" t="str">
            <v>month</v>
          </cell>
          <cell r="AG245">
            <v>53405</v>
          </cell>
          <cell r="AH245" t="str">
            <v>month</v>
          </cell>
          <cell r="AI245" t="str">
            <v>-</v>
          </cell>
          <cell r="AJ245" t="str">
            <v>-</v>
          </cell>
          <cell r="AK245" t="str">
            <v>-</v>
          </cell>
          <cell r="AL245" t="str">
            <v>-</v>
          </cell>
          <cell r="AM245" t="str">
            <v>-</v>
          </cell>
          <cell r="AN245" t="str">
            <v>-</v>
          </cell>
          <cell r="AO245">
            <v>22.285714285714299</v>
          </cell>
          <cell r="AP245">
            <v>0.5</v>
          </cell>
          <cell r="AQ245">
            <v>227850</v>
          </cell>
          <cell r="AR245" t="str">
            <v>month</v>
          </cell>
          <cell r="AS245">
            <v>39855</v>
          </cell>
          <cell r="AT245" t="str">
            <v>month</v>
          </cell>
          <cell r="AU245" t="str">
            <v>-</v>
          </cell>
          <cell r="AV245" t="str">
            <v>-</v>
          </cell>
          <cell r="AW245" t="str">
            <v>-</v>
          </cell>
          <cell r="AX245" t="str">
            <v>-</v>
          </cell>
          <cell r="AY245" t="str">
            <v>-</v>
          </cell>
          <cell r="AZ245" t="str">
            <v>-</v>
          </cell>
          <cell r="BA245" t="str">
            <v>-</v>
          </cell>
          <cell r="BB245" t="str">
            <v>-</v>
          </cell>
          <cell r="BC245" t="str">
            <v>-</v>
          </cell>
          <cell r="BD245" t="str">
            <v>-</v>
          </cell>
          <cell r="BE245" t="str">
            <v>-</v>
          </cell>
          <cell r="BF245" t="str">
            <v>-</v>
          </cell>
          <cell r="BG245" t="str">
            <v>-</v>
          </cell>
          <cell r="BH245" t="str">
            <v>-</v>
          </cell>
          <cell r="BI245" t="str">
            <v>-</v>
          </cell>
          <cell r="BJ245" t="str">
            <v>-</v>
          </cell>
          <cell r="BK245" t="str">
            <v>-</v>
          </cell>
          <cell r="BL245" t="str">
            <v>-</v>
          </cell>
          <cell r="BM245">
            <v>0.5910714285714288</v>
          </cell>
          <cell r="BN245">
            <v>0.5910714285714288</v>
          </cell>
          <cell r="BO245" t="str">
            <v>-</v>
          </cell>
          <cell r="BP245" t="str">
            <v>-</v>
          </cell>
          <cell r="BQ245">
            <v>3137438.528750001</v>
          </cell>
          <cell r="BR245">
            <v>261453.21072916675</v>
          </cell>
          <cell r="BS245">
            <v>60335.820443811121</v>
          </cell>
          <cell r="BT245">
            <v>12067.164088762223</v>
          </cell>
        </row>
        <row r="246">
          <cell r="A246" t="str">
            <v>Japan2024100 / 100</v>
          </cell>
          <cell r="B246" t="str">
            <v>Japan</v>
          </cell>
          <cell r="C246">
            <v>2024</v>
          </cell>
          <cell r="D246" t="str">
            <v>100 / 100</v>
          </cell>
          <cell r="E246">
            <v>5426969.5</v>
          </cell>
          <cell r="F246">
            <v>452247.45833333331</v>
          </cell>
          <cell r="G246">
            <v>104365.6008892376</v>
          </cell>
          <cell r="H246">
            <v>20873.120177847519</v>
          </cell>
          <cell r="I246">
            <v>5426969.5</v>
          </cell>
          <cell r="J246">
            <v>452247.45833333331</v>
          </cell>
          <cell r="K246">
            <v>104365.6008892376</v>
          </cell>
          <cell r="L246">
            <v>20873.120177847519</v>
          </cell>
          <cell r="M246" t="str">
            <v>..</v>
          </cell>
          <cell r="N246" t="str">
            <v>..</v>
          </cell>
          <cell r="O246" t="str">
            <v>..</v>
          </cell>
          <cell r="P246" t="str">
            <v>..</v>
          </cell>
          <cell r="Q246" t="str">
            <v>..</v>
          </cell>
          <cell r="R246" t="str">
            <v>..</v>
          </cell>
          <cell r="S246" t="str">
            <v>..</v>
          </cell>
          <cell r="T246" t="str">
            <v>..</v>
          </cell>
          <cell r="U246" t="str">
            <v>..</v>
          </cell>
          <cell r="V246">
            <v>48</v>
          </cell>
          <cell r="W246">
            <v>48</v>
          </cell>
          <cell r="X246">
            <v>0</v>
          </cell>
          <cell r="Y246" t="str">
            <v>-</v>
          </cell>
          <cell r="Z246" t="str">
            <v>Until the child is one year old (52 weeks less the 8 post-birth weeks of maternity leave). 67 per cent of previous earnings for the first 180 calendar days of Parental leave taken by each parent with a minimum payment of JPY55,194 [€319.28] per month and a maximum payment of JPY310,143 [€1794.08] per month; then 50 per cent of earnings with a minimum payment of JPY41,190 [€238.27] per month and a maximum payment of JPY231,450 [€1,338.87] per month.</v>
          </cell>
          <cell r="AA246" t="str">
            <v>Gross</v>
          </cell>
          <cell r="AB246" t="str">
            <v>N</v>
          </cell>
          <cell r="AC246">
            <v>25.714285714285715</v>
          </cell>
          <cell r="AD246">
            <v>0.67</v>
          </cell>
          <cell r="AE246">
            <v>310143</v>
          </cell>
          <cell r="AF246" t="str">
            <v>month</v>
          </cell>
          <cell r="AG246">
            <v>55194</v>
          </cell>
          <cell r="AH246" t="str">
            <v>month</v>
          </cell>
          <cell r="AO246">
            <v>22.285714285714299</v>
          </cell>
          <cell r="AP246">
            <v>0.5</v>
          </cell>
          <cell r="AQ246">
            <v>231450</v>
          </cell>
          <cell r="AR246" t="str">
            <v>month</v>
          </cell>
          <cell r="AS246">
            <v>41190</v>
          </cell>
          <cell r="AT246" t="str">
            <v>month</v>
          </cell>
          <cell r="AU246" t="str">
            <v>-</v>
          </cell>
          <cell r="AV246" t="str">
            <v>-</v>
          </cell>
          <cell r="AW246" t="str">
            <v>-</v>
          </cell>
          <cell r="AX246" t="str">
            <v>-</v>
          </cell>
          <cell r="AY246" t="str">
            <v>-</v>
          </cell>
          <cell r="AZ246" t="str">
            <v>-</v>
          </cell>
          <cell r="BA246" t="str">
            <v>-</v>
          </cell>
          <cell r="BB246" t="str">
            <v>-</v>
          </cell>
          <cell r="BC246" t="str">
            <v>-</v>
          </cell>
          <cell r="BD246" t="str">
            <v>-</v>
          </cell>
          <cell r="BE246" t="str">
            <v>-</v>
          </cell>
          <cell r="BF246" t="str">
            <v>-</v>
          </cell>
          <cell r="BG246" t="str">
            <v>-</v>
          </cell>
          <cell r="BH246" t="str">
            <v>-</v>
          </cell>
          <cell r="BI246" t="str">
            <v>-</v>
          </cell>
          <cell r="BJ246" t="str">
            <v>-</v>
          </cell>
          <cell r="BK246" t="str">
            <v>-</v>
          </cell>
          <cell r="BL246" t="str">
            <v>-</v>
          </cell>
          <cell r="BM246">
            <v>0.5910714285714288</v>
          </cell>
          <cell r="BN246">
            <v>0.5910714285714288</v>
          </cell>
          <cell r="BO246" t="str">
            <v>-</v>
          </cell>
          <cell r="BP246" t="str">
            <v>-</v>
          </cell>
          <cell r="BQ246">
            <v>3207726.6151785725</v>
          </cell>
          <cell r="BR246">
            <v>267310.55126488104</v>
          </cell>
          <cell r="BS246">
            <v>61687.524811317249</v>
          </cell>
          <cell r="BT246">
            <v>12337.504962263449</v>
          </cell>
        </row>
        <row r="247">
          <cell r="A247" t="str">
            <v>Japan2025100 / 100</v>
          </cell>
          <cell r="B247" t="str">
            <v>Japan</v>
          </cell>
          <cell r="C247">
            <v>2025</v>
          </cell>
          <cell r="D247" t="str">
            <v>100 / 100</v>
          </cell>
          <cell r="E247">
            <v>5426969.5</v>
          </cell>
          <cell r="F247">
            <v>452247.45833333331</v>
          </cell>
          <cell r="G247">
            <v>104365.6008892376</v>
          </cell>
          <cell r="H247">
            <v>20873.120177847519</v>
          </cell>
          <cell r="I247">
            <v>5426969.5</v>
          </cell>
          <cell r="J247">
            <v>452247.45833333331</v>
          </cell>
          <cell r="K247">
            <v>104365.6008892376</v>
          </cell>
          <cell r="L247">
            <v>20873.120177847519</v>
          </cell>
          <cell r="M247" t="str">
            <v>..</v>
          </cell>
          <cell r="N247" t="str">
            <v>..</v>
          </cell>
          <cell r="O247" t="str">
            <v>..</v>
          </cell>
          <cell r="P247" t="str">
            <v>..</v>
          </cell>
          <cell r="Q247" t="str">
            <v>..</v>
          </cell>
          <cell r="R247" t="str">
            <v>..</v>
          </cell>
          <cell r="S247" t="str">
            <v>..</v>
          </cell>
          <cell r="T247" t="str">
            <v>..</v>
          </cell>
          <cell r="U247" t="str">
            <v>..</v>
          </cell>
          <cell r="V247">
            <v>48</v>
          </cell>
          <cell r="W247">
            <v>48</v>
          </cell>
          <cell r="X247">
            <v>0</v>
          </cell>
          <cell r="Y247" t="str">
            <v>-</v>
          </cell>
          <cell r="Z247" t="str">
            <v>Until the child is one year old (52 weeks less the 8 post-birth weeks of maternity leave). 67 per cent of previous earnings for the first 180 calendar days of Parental leave taken by each parent with a minimum payment of JPY57,666 [€334.18] per month and a maximum payment of JPY315,369 [€1827.59] per month; then 50 per cent of earnings with a minimum payment of JPY43,035[€249.39] per month and a maximum payment of JPY235,350 [€1,363.87] per month.Since the postnatal leave support benefit applies only to paternity or parental leave benefits for fathers (cannot apply both), it can be disregarded here (see paternity sheet).</v>
          </cell>
          <cell r="AA247" t="str">
            <v>Gross</v>
          </cell>
          <cell r="AB247" t="str">
            <v>N</v>
          </cell>
          <cell r="AC247">
            <v>25.714285714285715</v>
          </cell>
          <cell r="AD247">
            <v>0.67</v>
          </cell>
          <cell r="AE247">
            <v>310143</v>
          </cell>
          <cell r="AF247" t="str">
            <v>month</v>
          </cell>
          <cell r="AG247">
            <v>55194</v>
          </cell>
          <cell r="AH247" t="str">
            <v>month</v>
          </cell>
          <cell r="AO247">
            <v>22.285714285714299</v>
          </cell>
          <cell r="AP247">
            <v>0.5</v>
          </cell>
          <cell r="AQ247">
            <v>231450</v>
          </cell>
          <cell r="AR247" t="str">
            <v>month</v>
          </cell>
          <cell r="AS247">
            <v>41190</v>
          </cell>
          <cell r="AT247" t="str">
            <v>month</v>
          </cell>
          <cell r="AU247" t="str">
            <v>-</v>
          </cell>
          <cell r="AV247" t="str">
            <v>-</v>
          </cell>
          <cell r="AW247" t="str">
            <v>-</v>
          </cell>
          <cell r="AX247" t="str">
            <v>-</v>
          </cell>
          <cell r="AY247" t="str">
            <v>-</v>
          </cell>
          <cell r="AZ247" t="str">
            <v>-</v>
          </cell>
          <cell r="BA247" t="str">
            <v>-</v>
          </cell>
          <cell r="BB247" t="str">
            <v>-</v>
          </cell>
          <cell r="BC247" t="str">
            <v>-</v>
          </cell>
          <cell r="BD247" t="str">
            <v>-</v>
          </cell>
          <cell r="BE247" t="str">
            <v>-</v>
          </cell>
          <cell r="BF247" t="str">
            <v>-</v>
          </cell>
          <cell r="BG247" t="str">
            <v>-</v>
          </cell>
          <cell r="BH247" t="str">
            <v>-</v>
          </cell>
          <cell r="BI247" t="str">
            <v>-</v>
          </cell>
          <cell r="BJ247" t="str">
            <v>-</v>
          </cell>
          <cell r="BK247" t="str">
            <v>-</v>
          </cell>
          <cell r="BL247" t="str">
            <v>-</v>
          </cell>
          <cell r="BM247">
            <v>0.5910714285714288</v>
          </cell>
          <cell r="BN247">
            <v>0.5910714285714288</v>
          </cell>
          <cell r="BO247" t="str">
            <v>-</v>
          </cell>
          <cell r="BP247" t="str">
            <v>-</v>
          </cell>
          <cell r="BQ247">
            <v>3207726.6151785725</v>
          </cell>
          <cell r="BR247">
            <v>267310.55126488104</v>
          </cell>
          <cell r="BS247">
            <v>61687.524811317249</v>
          </cell>
          <cell r="BT247">
            <v>12337.504962263449</v>
          </cell>
        </row>
        <row r="248">
          <cell r="A248" t="str">
            <v>Korea2014100 / 100</v>
          </cell>
          <cell r="B248" t="str">
            <v>Korea</v>
          </cell>
          <cell r="C248">
            <v>2014</v>
          </cell>
          <cell r="D248" t="str">
            <v>100 / 100</v>
          </cell>
          <cell r="E248">
            <v>38560932</v>
          </cell>
          <cell r="F248">
            <v>3213411</v>
          </cell>
          <cell r="G248">
            <v>741562.08893914567</v>
          </cell>
          <cell r="H248">
            <v>148312.41778782912</v>
          </cell>
          <cell r="I248">
            <v>38560932</v>
          </cell>
          <cell r="J248">
            <v>3213411</v>
          </cell>
          <cell r="K248">
            <v>741562.08893914567</v>
          </cell>
          <cell r="L248">
            <v>148312.41778782912</v>
          </cell>
          <cell r="M248" t="str">
            <v>..</v>
          </cell>
          <cell r="N248" t="str">
            <v>..</v>
          </cell>
          <cell r="O248" t="str">
            <v>..</v>
          </cell>
          <cell r="P248" t="str">
            <v>..</v>
          </cell>
          <cell r="Q248" t="str">
            <v>..</v>
          </cell>
          <cell r="R248" t="str">
            <v>..</v>
          </cell>
          <cell r="S248" t="str">
            <v>..</v>
          </cell>
          <cell r="T248" t="str">
            <v>..</v>
          </cell>
          <cell r="U248" t="str">
            <v>..</v>
          </cell>
          <cell r="V248">
            <v>52</v>
          </cell>
          <cell r="W248">
            <v>52</v>
          </cell>
          <cell r="X248">
            <v>0</v>
          </cell>
          <cell r="Y248" t="str">
            <v>-</v>
          </cell>
          <cell r="Z248" t="str">
            <v xml:space="preserve">One year of parental leave. Paid at 40% of normal income with a lower limit at WON 500,000 (US$ 460) and an upper limit at WON 1,000,000 per month. </v>
          </cell>
          <cell r="AA248" t="str">
            <v>Gross</v>
          </cell>
          <cell r="AB248" t="str">
            <v>N</v>
          </cell>
          <cell r="AC248">
            <v>52</v>
          </cell>
          <cell r="AD248">
            <v>0.4</v>
          </cell>
          <cell r="AE248">
            <v>1000000</v>
          </cell>
          <cell r="AF248" t="str">
            <v>month</v>
          </cell>
          <cell r="AG248">
            <v>500000</v>
          </cell>
          <cell r="AH248" t="str">
            <v>month</v>
          </cell>
          <cell r="AI248" t="str">
            <v>-</v>
          </cell>
          <cell r="AJ248" t="str">
            <v>-</v>
          </cell>
          <cell r="AK248" t="str">
            <v>-</v>
          </cell>
          <cell r="AL248" t="str">
            <v>-</v>
          </cell>
          <cell r="AM248" t="str">
            <v>-</v>
          </cell>
          <cell r="AN248" t="str">
            <v>-</v>
          </cell>
          <cell r="AO248" t="str">
            <v>-</v>
          </cell>
          <cell r="AP248" t="str">
            <v>-</v>
          </cell>
          <cell r="AQ248" t="str">
            <v>-</v>
          </cell>
          <cell r="AR248" t="str">
            <v>-</v>
          </cell>
          <cell r="AS248" t="str">
            <v>-</v>
          </cell>
          <cell r="AT248" t="str">
            <v>-</v>
          </cell>
          <cell r="AU248" t="str">
            <v>-</v>
          </cell>
          <cell r="AV248" t="str">
            <v>-</v>
          </cell>
          <cell r="AW248" t="str">
            <v>-</v>
          </cell>
          <cell r="AX248" t="str">
            <v>-</v>
          </cell>
          <cell r="AY248" t="str">
            <v>-</v>
          </cell>
          <cell r="AZ248" t="str">
            <v>-</v>
          </cell>
          <cell r="BA248" t="str">
            <v>-</v>
          </cell>
          <cell r="BB248" t="str">
            <v>-</v>
          </cell>
          <cell r="BC248" t="str">
            <v>-</v>
          </cell>
          <cell r="BD248" t="str">
            <v>-</v>
          </cell>
          <cell r="BE248" t="str">
            <v>-</v>
          </cell>
          <cell r="BF248" t="str">
            <v>-</v>
          </cell>
          <cell r="BG248" t="str">
            <v>-</v>
          </cell>
          <cell r="BH248" t="str">
            <v>-</v>
          </cell>
          <cell r="BI248" t="str">
            <v>-</v>
          </cell>
          <cell r="BJ248" t="str">
            <v>-</v>
          </cell>
          <cell r="BK248" t="str">
            <v>-</v>
          </cell>
          <cell r="BL248" t="str">
            <v>-</v>
          </cell>
          <cell r="BM248">
            <v>0.31119579786090235</v>
          </cell>
          <cell r="BN248">
            <v>0.31119579786090235</v>
          </cell>
          <cell r="BO248" t="str">
            <v>-</v>
          </cell>
          <cell r="BP248" t="str">
            <v>-</v>
          </cell>
          <cell r="BQ248">
            <v>12000000</v>
          </cell>
          <cell r="BR248">
            <v>1000000.0000000001</v>
          </cell>
          <cell r="BS248">
            <v>230771.00593081486</v>
          </cell>
          <cell r="BT248">
            <v>46154.201186162973</v>
          </cell>
        </row>
        <row r="249">
          <cell r="A249" t="str">
            <v>Korea2015100 / 100</v>
          </cell>
          <cell r="B249" t="str">
            <v>Korea</v>
          </cell>
          <cell r="C249">
            <v>2015</v>
          </cell>
          <cell r="D249" t="str">
            <v>100 / 100</v>
          </cell>
          <cell r="E249">
            <v>39695196</v>
          </cell>
          <cell r="F249">
            <v>3307933</v>
          </cell>
          <cell r="G249">
            <v>763375.02596173808</v>
          </cell>
          <cell r="H249">
            <v>152675.00519234763</v>
          </cell>
          <cell r="I249">
            <v>39695196</v>
          </cell>
          <cell r="J249">
            <v>3307933</v>
          </cell>
          <cell r="K249">
            <v>763375.02596173808</v>
          </cell>
          <cell r="L249">
            <v>152675.00519234763</v>
          </cell>
          <cell r="M249" t="str">
            <v>..</v>
          </cell>
          <cell r="N249" t="str">
            <v>..</v>
          </cell>
          <cell r="O249" t="str">
            <v>..</v>
          </cell>
          <cell r="P249" t="str">
            <v>..</v>
          </cell>
          <cell r="Q249" t="str">
            <v>..</v>
          </cell>
          <cell r="R249" t="str">
            <v>..</v>
          </cell>
          <cell r="S249" t="str">
            <v>..</v>
          </cell>
          <cell r="T249" t="str">
            <v>..</v>
          </cell>
          <cell r="U249" t="str">
            <v>..</v>
          </cell>
          <cell r="V249">
            <v>52</v>
          </cell>
          <cell r="W249">
            <v>52</v>
          </cell>
          <cell r="X249">
            <v>0</v>
          </cell>
          <cell r="Y249" t="str">
            <v>-</v>
          </cell>
          <cell r="Z249" t="str">
            <v xml:space="preserve">One year of parental leave. First month is paid at 100% of ordinary earnings with an upper limit at WON 1,500,000 per month, the remainder is paid 40% of normal income with a lower limit at WON 500,000 (US$ 460) and an upper limit at WON 1,000,000 per month. </v>
          </cell>
          <cell r="AA249" t="str">
            <v>Gross</v>
          </cell>
          <cell r="AB249" t="str">
            <v>N</v>
          </cell>
          <cell r="AC249">
            <v>4.3333000000000004</v>
          </cell>
          <cell r="AD249">
            <v>1</v>
          </cell>
          <cell r="AE249">
            <v>1500000</v>
          </cell>
          <cell r="AF249" t="str">
            <v>month</v>
          </cell>
          <cell r="AG249">
            <v>500000</v>
          </cell>
          <cell r="AH249" t="str">
            <v>month</v>
          </cell>
          <cell r="AI249" t="str">
            <v>-</v>
          </cell>
          <cell r="AJ249" t="str">
            <v>-</v>
          </cell>
          <cell r="AK249" t="str">
            <v>-</v>
          </cell>
          <cell r="AL249" t="str">
            <v>-</v>
          </cell>
          <cell r="AM249" t="str">
            <v>-</v>
          </cell>
          <cell r="AN249" t="str">
            <v>-</v>
          </cell>
          <cell r="AO249">
            <v>47.666699999999999</v>
          </cell>
          <cell r="AP249">
            <v>0.4</v>
          </cell>
          <cell r="AQ249">
            <v>1000000</v>
          </cell>
          <cell r="AR249" t="str">
            <v>month</v>
          </cell>
          <cell r="AS249">
            <v>500000</v>
          </cell>
          <cell r="AT249" t="str">
            <v>month</v>
          </cell>
          <cell r="AU249" t="str">
            <v>-</v>
          </cell>
          <cell r="AV249" t="str">
            <v>-</v>
          </cell>
          <cell r="AW249" t="str">
            <v>-</v>
          </cell>
          <cell r="AX249" t="str">
            <v>-</v>
          </cell>
          <cell r="AY249" t="str">
            <v>-</v>
          </cell>
          <cell r="AZ249" t="str">
            <v>-</v>
          </cell>
          <cell r="BA249" t="str">
            <v>-</v>
          </cell>
          <cell r="BB249" t="str">
            <v>-</v>
          </cell>
          <cell r="BC249" t="str">
            <v>-</v>
          </cell>
          <cell r="BD249" t="str">
            <v>-</v>
          </cell>
          <cell r="BE249" t="str">
            <v>-</v>
          </cell>
          <cell r="BF249" t="str">
            <v>-</v>
          </cell>
          <cell r="BG249" t="str">
            <v>-</v>
          </cell>
          <cell r="BH249" t="str">
            <v>-</v>
          </cell>
          <cell r="BI249" t="str">
            <v>-</v>
          </cell>
          <cell r="BJ249" t="str">
            <v>-</v>
          </cell>
          <cell r="BK249" t="str">
            <v>-</v>
          </cell>
          <cell r="BL249" t="str">
            <v>-</v>
          </cell>
          <cell r="BM249">
            <v>0.31489946929210666</v>
          </cell>
          <cell r="BN249">
            <v>0.31489946929210666</v>
          </cell>
          <cell r="BO249" t="str">
            <v>-</v>
          </cell>
          <cell r="BP249" t="str">
            <v>-</v>
          </cell>
          <cell r="BQ249">
            <v>12499996.153846156</v>
          </cell>
          <cell r="BR249">
            <v>1041666.3461538462</v>
          </cell>
          <cell r="BS249">
            <v>240386.39054619946</v>
          </cell>
          <cell r="BT249">
            <v>48077.278109239895</v>
          </cell>
        </row>
        <row r="250">
          <cell r="A250" t="str">
            <v>Korea2016100 / 100</v>
          </cell>
          <cell r="B250" t="str">
            <v>Korea</v>
          </cell>
          <cell r="C250">
            <v>2016</v>
          </cell>
          <cell r="D250" t="str">
            <v>100 / 100</v>
          </cell>
          <cell r="E250">
            <v>41398692</v>
          </cell>
          <cell r="F250">
            <v>3449891</v>
          </cell>
          <cell r="G250">
            <v>796134.81642166467</v>
          </cell>
          <cell r="H250">
            <v>159226.96328433295</v>
          </cell>
          <cell r="I250">
            <v>41398692</v>
          </cell>
          <cell r="J250">
            <v>3449891</v>
          </cell>
          <cell r="K250">
            <v>796134.81642166467</v>
          </cell>
          <cell r="L250">
            <v>159226.96328433295</v>
          </cell>
          <cell r="M250" t="str">
            <v>..</v>
          </cell>
          <cell r="N250" t="str">
            <v>..</v>
          </cell>
          <cell r="O250" t="str">
            <v>..</v>
          </cell>
          <cell r="P250" t="str">
            <v>..</v>
          </cell>
          <cell r="Q250" t="str">
            <v>..</v>
          </cell>
          <cell r="R250" t="str">
            <v>..</v>
          </cell>
          <cell r="S250" t="str">
            <v>..</v>
          </cell>
          <cell r="T250" t="str">
            <v>..</v>
          </cell>
          <cell r="U250" t="str">
            <v>..</v>
          </cell>
          <cell r="V250">
            <v>52</v>
          </cell>
          <cell r="W250">
            <v>52</v>
          </cell>
          <cell r="X250">
            <v>0</v>
          </cell>
          <cell r="Y250" t="str">
            <v>-</v>
          </cell>
          <cell r="Z250" t="str">
            <v xml:space="preserve">One year of parental leave. First three months paid at 100% of ordinary earnings with an upper limit at WON 1,500,000 per month, the remainder is paid 40% of normal income with a lower limit at WON 500,000 and an upper limit at WON 1,000,000 per month. </v>
          </cell>
          <cell r="AA250" t="str">
            <v>Gross</v>
          </cell>
          <cell r="AB250" t="str">
            <v>N</v>
          </cell>
          <cell r="AC250">
            <v>13</v>
          </cell>
          <cell r="AD250">
            <v>1</v>
          </cell>
          <cell r="AE250">
            <v>1500000</v>
          </cell>
          <cell r="AF250" t="str">
            <v>month</v>
          </cell>
          <cell r="AG250">
            <v>500000</v>
          </cell>
          <cell r="AH250" t="str">
            <v>month</v>
          </cell>
          <cell r="AI250" t="str">
            <v>-</v>
          </cell>
          <cell r="AJ250" t="str">
            <v>-</v>
          </cell>
          <cell r="AK250" t="str">
            <v>-</v>
          </cell>
          <cell r="AL250" t="str">
            <v>-</v>
          </cell>
          <cell r="AM250" t="str">
            <v>-</v>
          </cell>
          <cell r="AN250" t="str">
            <v>-</v>
          </cell>
          <cell r="AO250">
            <v>39</v>
          </cell>
          <cell r="AP250">
            <v>0.4</v>
          </cell>
          <cell r="AQ250">
            <v>1000000</v>
          </cell>
          <cell r="AR250" t="str">
            <v>month</v>
          </cell>
          <cell r="AS250">
            <v>500000</v>
          </cell>
          <cell r="AT250" t="str">
            <v>month</v>
          </cell>
          <cell r="AU250" t="str">
            <v>-</v>
          </cell>
          <cell r="AV250" t="str">
            <v>-</v>
          </cell>
          <cell r="AW250" t="str">
            <v>-</v>
          </cell>
          <cell r="AX250" t="str">
            <v>-</v>
          </cell>
          <cell r="AY250" t="str">
            <v>-</v>
          </cell>
          <cell r="AZ250" t="str">
            <v>-</v>
          </cell>
          <cell r="BA250" t="str">
            <v>-</v>
          </cell>
          <cell r="BB250" t="str">
            <v>-</v>
          </cell>
          <cell r="BC250" t="str">
            <v>-</v>
          </cell>
          <cell r="BD250" t="str">
            <v>-</v>
          </cell>
          <cell r="BE250" t="str">
            <v>-</v>
          </cell>
          <cell r="BF250" t="str">
            <v>-</v>
          </cell>
          <cell r="BG250" t="str">
            <v>-</v>
          </cell>
          <cell r="BH250" t="str">
            <v>-</v>
          </cell>
          <cell r="BI250" t="str">
            <v>-</v>
          </cell>
          <cell r="BJ250" t="str">
            <v>-</v>
          </cell>
          <cell r="BK250" t="str">
            <v>-</v>
          </cell>
          <cell r="BL250" t="str">
            <v>-</v>
          </cell>
          <cell r="BM250">
            <v>0.32609725930471423</v>
          </cell>
          <cell r="BN250">
            <v>0.32609725930471423</v>
          </cell>
          <cell r="BO250" t="str">
            <v>-</v>
          </cell>
          <cell r="BP250" t="str">
            <v>-</v>
          </cell>
          <cell r="BQ250">
            <v>13499999.999999998</v>
          </cell>
          <cell r="BR250">
            <v>1124999.9999999998</v>
          </cell>
          <cell r="BS250">
            <v>259617.38167216664</v>
          </cell>
          <cell r="BT250">
            <v>51923.476334433333</v>
          </cell>
        </row>
        <row r="251">
          <cell r="A251" t="str">
            <v>Korea2017100 / 100</v>
          </cell>
          <cell r="B251" t="str">
            <v>Korea</v>
          </cell>
          <cell r="C251">
            <v>2017</v>
          </cell>
          <cell r="D251" t="str">
            <v>100 / 100</v>
          </cell>
          <cell r="E251">
            <v>42601944</v>
          </cell>
          <cell r="F251">
            <v>3550162</v>
          </cell>
          <cell r="G251">
            <v>819274.45595735346</v>
          </cell>
          <cell r="H251">
            <v>163854.8911914707</v>
          </cell>
          <cell r="I251">
            <v>42601944</v>
          </cell>
          <cell r="J251">
            <v>3550162</v>
          </cell>
          <cell r="K251">
            <v>819274.45595735346</v>
          </cell>
          <cell r="L251">
            <v>163854.8911914707</v>
          </cell>
          <cell r="M251" t="str">
            <v>..</v>
          </cell>
          <cell r="N251" t="str">
            <v>..</v>
          </cell>
          <cell r="O251" t="str">
            <v>..</v>
          </cell>
          <cell r="P251" t="str">
            <v>..</v>
          </cell>
          <cell r="Q251" t="str">
            <v>..</v>
          </cell>
          <cell r="R251" t="str">
            <v>..</v>
          </cell>
          <cell r="S251" t="str">
            <v>..</v>
          </cell>
          <cell r="T251" t="str">
            <v>..</v>
          </cell>
          <cell r="U251" t="str">
            <v>..</v>
          </cell>
          <cell r="V251">
            <v>52</v>
          </cell>
          <cell r="W251">
            <v>52</v>
          </cell>
          <cell r="X251">
            <v>0</v>
          </cell>
          <cell r="Y251" t="str">
            <v>-</v>
          </cell>
          <cell r="Z251" t="str">
            <v xml:space="preserve">One year of parental leave. First three months paid at 100% of ordinary earnings with an upper limit at WON 1,500,000 per month, the remainder is paid 40% of normal income with a lower limit at WON 500,000 and an upper limit at WON 1,000,000 per month. </v>
          </cell>
          <cell r="AA251" t="str">
            <v>Gross</v>
          </cell>
          <cell r="AB251" t="str">
            <v>N</v>
          </cell>
          <cell r="AC251">
            <v>13</v>
          </cell>
          <cell r="AD251">
            <v>1</v>
          </cell>
          <cell r="AE251">
            <v>1500000</v>
          </cell>
          <cell r="AF251" t="str">
            <v>month</v>
          </cell>
          <cell r="AG251">
            <v>500000</v>
          </cell>
          <cell r="AH251" t="str">
            <v>month</v>
          </cell>
          <cell r="AI251" t="str">
            <v>-</v>
          </cell>
          <cell r="AJ251" t="str">
            <v>-</v>
          </cell>
          <cell r="AK251" t="str">
            <v>-</v>
          </cell>
          <cell r="AL251" t="str">
            <v>-</v>
          </cell>
          <cell r="AM251" t="str">
            <v>-</v>
          </cell>
          <cell r="AN251" t="str">
            <v>-</v>
          </cell>
          <cell r="AO251">
            <v>39</v>
          </cell>
          <cell r="AP251">
            <v>0.4</v>
          </cell>
          <cell r="AQ251">
            <v>1000000</v>
          </cell>
          <cell r="AR251" t="str">
            <v>month</v>
          </cell>
          <cell r="AS251">
            <v>500000</v>
          </cell>
          <cell r="AT251" t="str">
            <v>month</v>
          </cell>
          <cell r="AU251" t="str">
            <v>-</v>
          </cell>
          <cell r="AV251" t="str">
            <v>-</v>
          </cell>
          <cell r="AW251" t="str">
            <v>-</v>
          </cell>
          <cell r="AX251" t="str">
            <v>-</v>
          </cell>
          <cell r="AY251" t="str">
            <v>-</v>
          </cell>
          <cell r="AZ251" t="str">
            <v>-</v>
          </cell>
          <cell r="BA251" t="str">
            <v>-</v>
          </cell>
          <cell r="BB251" t="str">
            <v>-</v>
          </cell>
          <cell r="BC251" t="str">
            <v>-</v>
          </cell>
          <cell r="BD251" t="str">
            <v>-</v>
          </cell>
          <cell r="BE251" t="str">
            <v>-</v>
          </cell>
          <cell r="BF251" t="str">
            <v>-</v>
          </cell>
          <cell r="BG251" t="str">
            <v>-</v>
          </cell>
          <cell r="BH251" t="str">
            <v>-</v>
          </cell>
          <cell r="BI251" t="str">
            <v>-</v>
          </cell>
          <cell r="BJ251" t="str">
            <v>-</v>
          </cell>
          <cell r="BK251" t="str">
            <v>-</v>
          </cell>
          <cell r="BL251" t="str">
            <v>-</v>
          </cell>
          <cell r="BM251">
            <v>0.31688694769421788</v>
          </cell>
          <cell r="BN251">
            <v>0.31688694769421788</v>
          </cell>
          <cell r="BO251" t="str">
            <v>-</v>
          </cell>
          <cell r="BP251" t="str">
            <v>-</v>
          </cell>
          <cell r="BQ251">
            <v>13500000</v>
          </cell>
          <cell r="BR251">
            <v>1125000</v>
          </cell>
          <cell r="BS251">
            <v>259617.38167216667</v>
          </cell>
          <cell r="BT251">
            <v>51923.476334433341</v>
          </cell>
        </row>
        <row r="252">
          <cell r="A252" t="str">
            <v>Korea2018100 / 100</v>
          </cell>
          <cell r="B252" t="str">
            <v>Korea</v>
          </cell>
          <cell r="C252">
            <v>2018</v>
          </cell>
          <cell r="D252" t="str">
            <v>100 / 100</v>
          </cell>
          <cell r="E252">
            <v>44893176</v>
          </cell>
          <cell r="F252">
            <v>3741098</v>
          </cell>
          <cell r="G252">
            <v>863336.94874575955</v>
          </cell>
          <cell r="H252">
            <v>172667.38974915192</v>
          </cell>
          <cell r="I252">
            <v>44893176</v>
          </cell>
          <cell r="J252">
            <v>3741098</v>
          </cell>
          <cell r="K252">
            <v>863336.94874575955</v>
          </cell>
          <cell r="L252">
            <v>172667.38974915192</v>
          </cell>
          <cell r="M252" t="str">
            <v>..</v>
          </cell>
          <cell r="N252" t="str">
            <v>..</v>
          </cell>
          <cell r="O252" t="str">
            <v>..</v>
          </cell>
          <cell r="P252" t="str">
            <v>..</v>
          </cell>
          <cell r="Q252" t="str">
            <v>..</v>
          </cell>
          <cell r="R252" t="str">
            <v>..</v>
          </cell>
          <cell r="S252" t="str">
            <v>..</v>
          </cell>
          <cell r="T252" t="str">
            <v>..</v>
          </cell>
          <cell r="U252" t="str">
            <v>..</v>
          </cell>
          <cell r="V252">
            <v>52</v>
          </cell>
          <cell r="W252">
            <v>52</v>
          </cell>
          <cell r="X252">
            <v>0</v>
          </cell>
          <cell r="Y252" t="str">
            <v>-</v>
          </cell>
          <cell r="Z252" t="str">
            <v xml:space="preserve">One year of parental leave. First three months paid at 100% of ordinary earnings with an upper limit at WON 2,000,000 per month, the remainder is paid 40% of normal income with a lower limit at WON 500,000 and an upper limit at WON 1,000,000 per month. </v>
          </cell>
          <cell r="AA252" t="str">
            <v>Gross</v>
          </cell>
          <cell r="AB252" t="str">
            <v>N</v>
          </cell>
          <cell r="AC252">
            <v>13</v>
          </cell>
          <cell r="AD252">
            <v>1</v>
          </cell>
          <cell r="AE252">
            <v>2000000</v>
          </cell>
          <cell r="AF252" t="str">
            <v>month</v>
          </cell>
          <cell r="AG252">
            <v>700000</v>
          </cell>
          <cell r="AH252" t="str">
            <v>month</v>
          </cell>
          <cell r="AI252" t="str">
            <v>-</v>
          </cell>
          <cell r="AJ252" t="str">
            <v>-</v>
          </cell>
          <cell r="AK252" t="str">
            <v>-</v>
          </cell>
          <cell r="AL252" t="str">
            <v>-</v>
          </cell>
          <cell r="AM252" t="str">
            <v>-</v>
          </cell>
          <cell r="AN252" t="str">
            <v>-</v>
          </cell>
          <cell r="AO252">
            <v>39</v>
          </cell>
          <cell r="AP252">
            <v>0.4</v>
          </cell>
          <cell r="AQ252">
            <v>1000000</v>
          </cell>
          <cell r="AR252" t="str">
            <v>month</v>
          </cell>
          <cell r="AS252">
            <v>500000</v>
          </cell>
          <cell r="AT252" t="str">
            <v>month</v>
          </cell>
          <cell r="AU252" t="str">
            <v>-</v>
          </cell>
          <cell r="AV252" t="str">
            <v>-</v>
          </cell>
          <cell r="AW252" t="str">
            <v>-</v>
          </cell>
          <cell r="AX252" t="str">
            <v>-</v>
          </cell>
          <cell r="AY252" t="str">
            <v>-</v>
          </cell>
          <cell r="AZ252" t="str">
            <v>-</v>
          </cell>
          <cell r="BA252" t="str">
            <v>-</v>
          </cell>
          <cell r="BB252" t="str">
            <v>-</v>
          </cell>
          <cell r="BC252" t="str">
            <v>-</v>
          </cell>
          <cell r="BD252" t="str">
            <v>-</v>
          </cell>
          <cell r="BE252" t="str">
            <v>-</v>
          </cell>
          <cell r="BF252" t="str">
            <v>-</v>
          </cell>
          <cell r="BG252" t="str">
            <v>-</v>
          </cell>
          <cell r="BH252" t="str">
            <v>-</v>
          </cell>
          <cell r="BI252" t="str">
            <v>-</v>
          </cell>
          <cell r="BJ252" t="str">
            <v>-</v>
          </cell>
          <cell r="BK252" t="str">
            <v>-</v>
          </cell>
          <cell r="BL252" t="str">
            <v>-</v>
          </cell>
          <cell r="BM252">
            <v>0.33412650510625491</v>
          </cell>
          <cell r="BN252">
            <v>0.33412650510625491</v>
          </cell>
          <cell r="BO252" t="str">
            <v>-</v>
          </cell>
          <cell r="BP252" t="str">
            <v>-</v>
          </cell>
          <cell r="BQ252">
            <v>15000000</v>
          </cell>
          <cell r="BR252">
            <v>1250000</v>
          </cell>
          <cell r="BS252">
            <v>288463.75741351856</v>
          </cell>
          <cell r="BT252">
            <v>57692.751482703716</v>
          </cell>
        </row>
        <row r="253">
          <cell r="A253" t="str">
            <v>Korea2019100 / 100</v>
          </cell>
          <cell r="B253" t="str">
            <v>Korea</v>
          </cell>
          <cell r="C253">
            <v>2019</v>
          </cell>
          <cell r="D253" t="str">
            <v>100 / 100</v>
          </cell>
          <cell r="E253">
            <v>46285248</v>
          </cell>
          <cell r="F253">
            <v>3857104</v>
          </cell>
          <cell r="G253">
            <v>890107.77005976962</v>
          </cell>
          <cell r="H253">
            <v>178021.55401195394</v>
          </cell>
          <cell r="I253">
            <v>46285248</v>
          </cell>
          <cell r="J253">
            <v>3857104</v>
          </cell>
          <cell r="K253">
            <v>890107.77005976962</v>
          </cell>
          <cell r="L253">
            <v>178021.55401195394</v>
          </cell>
          <cell r="M253" t="str">
            <v>..</v>
          </cell>
          <cell r="N253" t="str">
            <v>..</v>
          </cell>
          <cell r="O253" t="str">
            <v>..</v>
          </cell>
          <cell r="P253" t="str">
            <v>..</v>
          </cell>
          <cell r="Q253" t="str">
            <v>..</v>
          </cell>
          <cell r="R253" t="str">
            <v>..</v>
          </cell>
          <cell r="S253" t="str">
            <v>..</v>
          </cell>
          <cell r="T253" t="str">
            <v>..</v>
          </cell>
          <cell r="U253" t="str">
            <v>..</v>
          </cell>
          <cell r="V253">
            <v>52</v>
          </cell>
          <cell r="W253">
            <v>52</v>
          </cell>
          <cell r="X253">
            <v>0</v>
          </cell>
          <cell r="Y253" t="str">
            <v>-</v>
          </cell>
          <cell r="Z253" t="str">
            <v>One year of parental leave. First three months paid at 100% of ordinary earnings, with a minimum of KRW700,000 [€560.20] a month and a ceiling of KRW2,500,000 [€1,200.43] a month. For the remaining nine months, 50 per cent of ordinary earnings, with a minimum of KRW500,000 [€400.14] a month and a ceiling of KRW1,200,000 [€800.29] a month.</v>
          </cell>
          <cell r="AA253" t="str">
            <v>Gross</v>
          </cell>
          <cell r="AB253" t="str">
            <v>N</v>
          </cell>
          <cell r="AC253">
            <v>13</v>
          </cell>
          <cell r="AD253">
            <v>1</v>
          </cell>
          <cell r="AE253">
            <v>2500000</v>
          </cell>
          <cell r="AF253" t="str">
            <v>month</v>
          </cell>
          <cell r="AG253">
            <v>700000</v>
          </cell>
          <cell r="AH253" t="str">
            <v>month</v>
          </cell>
          <cell r="AI253" t="str">
            <v>-</v>
          </cell>
          <cell r="AJ253" t="str">
            <v>-</v>
          </cell>
          <cell r="AK253" t="str">
            <v>-</v>
          </cell>
          <cell r="AL253" t="str">
            <v>-</v>
          </cell>
          <cell r="AM253" t="str">
            <v>-</v>
          </cell>
          <cell r="AN253" t="str">
            <v>-</v>
          </cell>
          <cell r="AO253">
            <v>39</v>
          </cell>
          <cell r="AP253">
            <v>0.5</v>
          </cell>
          <cell r="AQ253">
            <v>1200000</v>
          </cell>
          <cell r="AR253" t="str">
            <v>month</v>
          </cell>
          <cell r="AS253">
            <v>500000</v>
          </cell>
          <cell r="AT253" t="str">
            <v>month</v>
          </cell>
          <cell r="AU253" t="str">
            <v>-</v>
          </cell>
          <cell r="AV253" t="str">
            <v>-</v>
          </cell>
          <cell r="AW253" t="str">
            <v>-</v>
          </cell>
          <cell r="AX253" t="str">
            <v>-</v>
          </cell>
          <cell r="AY253" t="str">
            <v>-</v>
          </cell>
          <cell r="AZ253" t="str">
            <v>-</v>
          </cell>
          <cell r="BA253" t="str">
            <v>-</v>
          </cell>
          <cell r="BB253" t="str">
            <v>-</v>
          </cell>
          <cell r="BC253" t="str">
            <v>-</v>
          </cell>
          <cell r="BD253" t="str">
            <v>-</v>
          </cell>
          <cell r="BE253" t="str">
            <v>-</v>
          </cell>
          <cell r="BF253" t="str">
            <v>-</v>
          </cell>
          <cell r="BG253" t="str">
            <v>-</v>
          </cell>
          <cell r="BH253" t="str">
            <v>-</v>
          </cell>
          <cell r="BI253" t="str">
            <v>-</v>
          </cell>
          <cell r="BJ253" t="str">
            <v>-</v>
          </cell>
          <cell r="BK253" t="str">
            <v>-</v>
          </cell>
          <cell r="BL253" t="str">
            <v>-</v>
          </cell>
          <cell r="BM253">
            <v>0.3953743534008935</v>
          </cell>
          <cell r="BN253">
            <v>0.3953743534008935</v>
          </cell>
          <cell r="BO253" t="str">
            <v>-</v>
          </cell>
          <cell r="BP253" t="str">
            <v>-</v>
          </cell>
          <cell r="BQ253">
            <v>18300000</v>
          </cell>
          <cell r="BR253">
            <v>1525000</v>
          </cell>
          <cell r="BS253">
            <v>351925.78404449258</v>
          </cell>
          <cell r="BT253">
            <v>70385.156808898522</v>
          </cell>
        </row>
        <row r="254">
          <cell r="A254" t="str">
            <v>Korea2020100 / 100</v>
          </cell>
          <cell r="B254" t="str">
            <v>Korea</v>
          </cell>
          <cell r="C254">
            <v>2020</v>
          </cell>
          <cell r="D254" t="str">
            <v>100 / 100</v>
          </cell>
          <cell r="E254">
            <v>46753752</v>
          </cell>
          <cell r="F254">
            <v>3896146</v>
          </cell>
          <cell r="G254">
            <v>899117.53167332045</v>
          </cell>
          <cell r="H254">
            <v>179823.5063346641</v>
          </cell>
          <cell r="I254">
            <v>46753752</v>
          </cell>
          <cell r="J254">
            <v>3896146</v>
          </cell>
          <cell r="K254">
            <v>899117.53167332045</v>
          </cell>
          <cell r="L254">
            <v>179823.5063346641</v>
          </cell>
          <cell r="M254" t="str">
            <v>..</v>
          </cell>
          <cell r="N254" t="str">
            <v>..</v>
          </cell>
          <cell r="O254" t="str">
            <v>..</v>
          </cell>
          <cell r="P254" t="str">
            <v>..</v>
          </cell>
          <cell r="Q254" t="str">
            <v>..</v>
          </cell>
          <cell r="R254" t="str">
            <v>..</v>
          </cell>
          <cell r="S254" t="str">
            <v>..</v>
          </cell>
          <cell r="T254" t="str">
            <v>..</v>
          </cell>
          <cell r="U254" t="str">
            <v>..</v>
          </cell>
          <cell r="V254">
            <v>52</v>
          </cell>
          <cell r="W254">
            <v>52</v>
          </cell>
          <cell r="X254">
            <v>0</v>
          </cell>
          <cell r="Y254" t="str">
            <v>-</v>
          </cell>
          <cell r="Z254" t="str">
            <v>One year of parental leave.  First three months paid at 100% of ordinary earnings, with a minimum of KRW700,000 [€498.52] per month and an upper limit of KRW2,500,000 [€1,068.25] per month. For the remaining nine months, 50 per cent of ordinary earnings, with a minimum of KRW700,000 [€498.52] per month and a maximum of KRW1,200,000 [€854.60] per month.</v>
          </cell>
          <cell r="AA254" t="str">
            <v>Gross</v>
          </cell>
          <cell r="AB254" t="str">
            <v>N</v>
          </cell>
          <cell r="AC254">
            <v>13</v>
          </cell>
          <cell r="AD254">
            <v>1</v>
          </cell>
          <cell r="AE254">
            <v>2500000</v>
          </cell>
          <cell r="AF254" t="str">
            <v>month</v>
          </cell>
          <cell r="AG254">
            <v>700000</v>
          </cell>
          <cell r="AH254" t="str">
            <v>month</v>
          </cell>
          <cell r="AI254" t="str">
            <v>-</v>
          </cell>
          <cell r="AJ254" t="str">
            <v>-</v>
          </cell>
          <cell r="AK254" t="str">
            <v>-</v>
          </cell>
          <cell r="AL254" t="str">
            <v>-</v>
          </cell>
          <cell r="AM254" t="str">
            <v>-</v>
          </cell>
          <cell r="AN254" t="str">
            <v>-</v>
          </cell>
          <cell r="AO254">
            <v>39</v>
          </cell>
          <cell r="AP254">
            <v>0.5</v>
          </cell>
          <cell r="AQ254">
            <v>1200000</v>
          </cell>
          <cell r="AR254" t="str">
            <v>month</v>
          </cell>
          <cell r="AS254">
            <v>500000</v>
          </cell>
          <cell r="AT254" t="str">
            <v>month</v>
          </cell>
          <cell r="AU254" t="str">
            <v>-</v>
          </cell>
          <cell r="AV254" t="str">
            <v>-</v>
          </cell>
          <cell r="AW254" t="str">
            <v>-</v>
          </cell>
          <cell r="AX254" t="str">
            <v>-</v>
          </cell>
          <cell r="AY254" t="str">
            <v>-</v>
          </cell>
          <cell r="AZ254" t="str">
            <v>-</v>
          </cell>
          <cell r="BA254" t="str">
            <v>-</v>
          </cell>
          <cell r="BB254" t="str">
            <v>-</v>
          </cell>
          <cell r="BC254" t="str">
            <v>-</v>
          </cell>
          <cell r="BD254" t="str">
            <v>-</v>
          </cell>
          <cell r="BE254" t="str">
            <v>-</v>
          </cell>
          <cell r="BF254" t="str">
            <v>-</v>
          </cell>
          <cell r="BG254" t="str">
            <v>-</v>
          </cell>
          <cell r="BH254" t="str">
            <v>-</v>
          </cell>
          <cell r="BI254" t="str">
            <v>-</v>
          </cell>
          <cell r="BJ254" t="str">
            <v>-</v>
          </cell>
          <cell r="BK254" t="str">
            <v>-</v>
          </cell>
          <cell r="BL254" t="str">
            <v>-</v>
          </cell>
          <cell r="BM254">
            <v>0.39141243680293297</v>
          </cell>
          <cell r="BN254">
            <v>0.39141243680293297</v>
          </cell>
          <cell r="BO254" t="str">
            <v>-</v>
          </cell>
          <cell r="BP254" t="str">
            <v>-</v>
          </cell>
          <cell r="BQ254">
            <v>18300000</v>
          </cell>
          <cell r="BR254">
            <v>1525000</v>
          </cell>
          <cell r="BS254">
            <v>351925.78404449264</v>
          </cell>
          <cell r="BT254">
            <v>70385.156808898522</v>
          </cell>
        </row>
        <row r="255">
          <cell r="A255" t="str">
            <v>Korea2021100 / 100</v>
          </cell>
          <cell r="B255" t="str">
            <v>Korea</v>
          </cell>
          <cell r="C255">
            <v>2021</v>
          </cell>
          <cell r="D255" t="str">
            <v>100 / 100</v>
          </cell>
          <cell r="E255">
            <v>49272372</v>
          </cell>
          <cell r="F255">
            <v>4106031</v>
          </cell>
          <cell r="G255">
            <v>947552.90425310959</v>
          </cell>
          <cell r="H255">
            <v>189510.58085062192</v>
          </cell>
          <cell r="I255">
            <v>49272372</v>
          </cell>
          <cell r="J255">
            <v>4106031</v>
          </cell>
          <cell r="K255">
            <v>947552.90425310959</v>
          </cell>
          <cell r="L255">
            <v>189510.58085062192</v>
          </cell>
          <cell r="M255" t="str">
            <v>..</v>
          </cell>
          <cell r="N255" t="str">
            <v>..</v>
          </cell>
          <cell r="O255" t="str">
            <v>..</v>
          </cell>
          <cell r="P255" t="str">
            <v>..</v>
          </cell>
          <cell r="Q255" t="str">
            <v>..</v>
          </cell>
          <cell r="R255" t="str">
            <v>..</v>
          </cell>
          <cell r="S255" t="str">
            <v>..</v>
          </cell>
          <cell r="T255" t="str">
            <v>..</v>
          </cell>
          <cell r="U255" t="str">
            <v>..</v>
          </cell>
          <cell r="V255">
            <v>52</v>
          </cell>
          <cell r="W255">
            <v>52</v>
          </cell>
          <cell r="X255">
            <v>0</v>
          </cell>
          <cell r="Y255" t="str">
            <v>-</v>
          </cell>
          <cell r="Z255" t="str">
            <v>One year of parental leave.  First three months paid at 100% of ordinary earnings, with a minimum of KRW700,000 [€560.20] a month and a ceiling of KRW2,500,000 [€1,200.43] a month. For the remaining nine months, 50 per cent of ordinary earnings, with a minimum of KRW500,000 [€400.14] a month and a ceiling of KRW1,200,000 [€800.29] a month.</v>
          </cell>
          <cell r="AA255" t="str">
            <v>Gross</v>
          </cell>
          <cell r="AB255" t="str">
            <v>N</v>
          </cell>
          <cell r="AC255">
            <v>13</v>
          </cell>
          <cell r="AD255">
            <v>1</v>
          </cell>
          <cell r="AE255">
            <v>2500000</v>
          </cell>
          <cell r="AF255" t="str">
            <v>month</v>
          </cell>
          <cell r="AG255">
            <v>700000</v>
          </cell>
          <cell r="AH255" t="str">
            <v>month</v>
          </cell>
          <cell r="AI255" t="str">
            <v>-</v>
          </cell>
          <cell r="AJ255" t="str">
            <v>-</v>
          </cell>
          <cell r="AK255" t="str">
            <v>-</v>
          </cell>
          <cell r="AL255" t="str">
            <v>-</v>
          </cell>
          <cell r="AM255" t="str">
            <v>-</v>
          </cell>
          <cell r="AN255" t="str">
            <v>-</v>
          </cell>
          <cell r="AO255">
            <v>39</v>
          </cell>
          <cell r="AP255">
            <v>0.5</v>
          </cell>
          <cell r="AQ255">
            <v>1200000</v>
          </cell>
          <cell r="AR255" t="str">
            <v>month</v>
          </cell>
          <cell r="AS255">
            <v>500000</v>
          </cell>
          <cell r="AT255" t="str">
            <v>month</v>
          </cell>
          <cell r="AU255" t="str">
            <v>-</v>
          </cell>
          <cell r="AV255" t="str">
            <v>-</v>
          </cell>
          <cell r="AW255" t="str">
            <v>-</v>
          </cell>
          <cell r="AX255" t="str">
            <v>-</v>
          </cell>
          <cell r="AY255" t="str">
            <v>-</v>
          </cell>
          <cell r="AZ255" t="str">
            <v>-</v>
          </cell>
          <cell r="BA255" t="str">
            <v>-</v>
          </cell>
          <cell r="BB255" t="str">
            <v>-</v>
          </cell>
          <cell r="BC255" t="str">
            <v>-</v>
          </cell>
          <cell r="BD255" t="str">
            <v>-</v>
          </cell>
          <cell r="BE255" t="str">
            <v>-</v>
          </cell>
          <cell r="BF255" t="str">
            <v>-</v>
          </cell>
          <cell r="BG255" t="str">
            <v>-</v>
          </cell>
          <cell r="BH255" t="str">
            <v>-</v>
          </cell>
          <cell r="BI255" t="str">
            <v>-</v>
          </cell>
          <cell r="BJ255" t="str">
            <v>-</v>
          </cell>
          <cell r="BK255" t="str">
            <v>-</v>
          </cell>
          <cell r="BL255" t="str">
            <v>-</v>
          </cell>
          <cell r="BM255">
            <v>0.37140489197475612</v>
          </cell>
          <cell r="BN255">
            <v>0.37140489197475612</v>
          </cell>
          <cell r="BO255" t="str">
            <v>-</v>
          </cell>
          <cell r="BP255" t="str">
            <v>-</v>
          </cell>
          <cell r="BQ255">
            <v>18300000</v>
          </cell>
          <cell r="BR255">
            <v>1524999.9999999998</v>
          </cell>
          <cell r="BS255">
            <v>351925.78404449258</v>
          </cell>
          <cell r="BT255">
            <v>70385.156808898522</v>
          </cell>
        </row>
        <row r="256">
          <cell r="A256" t="str">
            <v>Korea2022100 / 100</v>
          </cell>
          <cell r="B256" t="str">
            <v>Korea</v>
          </cell>
          <cell r="C256">
            <v>2022</v>
          </cell>
          <cell r="D256" t="str">
            <v>100 / 100</v>
          </cell>
          <cell r="E256">
            <v>52055568</v>
          </cell>
          <cell r="F256">
            <v>4337964</v>
          </cell>
          <cell r="G256">
            <v>1001076.3159716612</v>
          </cell>
          <cell r="H256">
            <v>200215.26319433225</v>
          </cell>
          <cell r="I256">
            <v>52055568</v>
          </cell>
          <cell r="J256">
            <v>4337964</v>
          </cell>
          <cell r="K256">
            <v>1001076.3159716612</v>
          </cell>
          <cell r="L256">
            <v>200215.26319433225</v>
          </cell>
          <cell r="M256" t="str">
            <v>..</v>
          </cell>
          <cell r="N256" t="str">
            <v>..</v>
          </cell>
          <cell r="O256" t="str">
            <v>..</v>
          </cell>
          <cell r="P256" t="str">
            <v>..</v>
          </cell>
          <cell r="Q256" t="str">
            <v>..</v>
          </cell>
          <cell r="R256" t="str">
            <v>..</v>
          </cell>
          <cell r="S256" t="str">
            <v>..</v>
          </cell>
          <cell r="T256" t="str">
            <v>..</v>
          </cell>
          <cell r="U256" t="str">
            <v>..</v>
          </cell>
          <cell r="V256">
            <v>52</v>
          </cell>
          <cell r="W256">
            <v>52</v>
          </cell>
          <cell r="X256">
            <v>0</v>
          </cell>
          <cell r="Y256" t="str">
            <v>-</v>
          </cell>
          <cell r="Z256" t="str">
            <v>Twelve months. 80 per cent of ordinary earnings, with a minimum of KRW700,000 [€512.79] a month and a ceiling of KRW1,500,000 [€1,098.83] a month. Using the ‘3+3 Parents’ Parental Leave Scheme (3+3 부모 육아휴직), if parents take Parental leave simultaneously or sequentially for a child under 12 months of age (including leave during the pregnancy), then each parent’s Parental leave benefit is increased for the first three months from 80 per cent of ordinary earnings to 100 per cent, with escalating ceilings for each additional month on leave. That is: 1) if both parents take Parental leave for one month, the upper limit is KRW2,000,000 [€1,465.10]; 2) if both parents take Parental leave for two months, the upper limit is KRW2,000,000 [€1,465.10 for the 1st month, and KRW2,500,000 [€1,831.38 for the 2nd 
month; 3) if both parents take Parental leave for three months, the upper limit is KRW2,000,000 [€1,465.10] for the 1st month, KRW2,500,000 [€1,831.38] for the 2nd month, and KRW3,000,000 [€2,197.66] for the 3rd month.</v>
          </cell>
          <cell r="AA256" t="str">
            <v>Gross</v>
          </cell>
          <cell r="AB256" t="str">
            <v>N</v>
          </cell>
          <cell r="AC256">
            <v>39</v>
          </cell>
          <cell r="AD256">
            <v>0.8</v>
          </cell>
          <cell r="AE256">
            <v>1500000</v>
          </cell>
          <cell r="AF256" t="str">
            <v>month</v>
          </cell>
          <cell r="AG256">
            <v>700000</v>
          </cell>
          <cell r="AH256" t="str">
            <v>month</v>
          </cell>
          <cell r="AI256" t="str">
            <v>-</v>
          </cell>
          <cell r="AJ256" t="str">
            <v>-</v>
          </cell>
          <cell r="AK256" t="str">
            <v>-</v>
          </cell>
          <cell r="AL256" t="str">
            <v>-</v>
          </cell>
          <cell r="AM256" t="str">
            <v>-</v>
          </cell>
          <cell r="AN256" t="str">
            <v>-</v>
          </cell>
          <cell r="AO256">
            <v>4.33</v>
          </cell>
          <cell r="AP256">
            <v>1</v>
          </cell>
          <cell r="AQ256">
            <v>2000000</v>
          </cell>
          <cell r="AR256" t="str">
            <v>month</v>
          </cell>
          <cell r="AS256">
            <v>700000</v>
          </cell>
          <cell r="AT256" t="str">
            <v>month</v>
          </cell>
          <cell r="AU256" t="str">
            <v>-</v>
          </cell>
          <cell r="AV256" t="str">
            <v>-</v>
          </cell>
          <cell r="AW256" t="str">
            <v>-</v>
          </cell>
          <cell r="AX256" t="str">
            <v>-</v>
          </cell>
          <cell r="AY256" t="str">
            <v>-</v>
          </cell>
          <cell r="AZ256" t="str">
            <v>-</v>
          </cell>
          <cell r="BA256">
            <v>4.33</v>
          </cell>
          <cell r="BB256">
            <v>1</v>
          </cell>
          <cell r="BC256">
            <v>2500000</v>
          </cell>
          <cell r="BD256" t="str">
            <v>month</v>
          </cell>
          <cell r="BE256">
            <v>700000</v>
          </cell>
          <cell r="BF256" t="str">
            <v>month</v>
          </cell>
          <cell r="BG256" t="str">
            <v>-</v>
          </cell>
          <cell r="BH256" t="str">
            <v>-</v>
          </cell>
          <cell r="BI256" t="str">
            <v>-</v>
          </cell>
          <cell r="BJ256" t="str">
            <v>-</v>
          </cell>
          <cell r="BK256" t="str">
            <v>-</v>
          </cell>
          <cell r="BL256" t="str">
            <v>-</v>
          </cell>
          <cell r="BM256">
            <v>0.40330422999573778</v>
          </cell>
          <cell r="BN256">
            <v>0.40330422999573778</v>
          </cell>
          <cell r="BO256" t="str">
            <v>-</v>
          </cell>
          <cell r="BP256" t="str">
            <v>-</v>
          </cell>
          <cell r="BQ256">
            <v>20994230.769230768</v>
          </cell>
          <cell r="BR256">
            <v>1749519.2307692308</v>
          </cell>
          <cell r="BS256">
            <v>403738.31277992076</v>
          </cell>
          <cell r="BT256">
            <v>80747.662555984149</v>
          </cell>
        </row>
        <row r="257">
          <cell r="A257" t="str">
            <v>Korea2023100 / 100</v>
          </cell>
          <cell r="B257" t="str">
            <v>Korea</v>
          </cell>
          <cell r="C257">
            <v>2023</v>
          </cell>
          <cell r="D257" t="str">
            <v>100 / 100</v>
          </cell>
          <cell r="E257">
            <v>54368425</v>
          </cell>
          <cell r="F257">
            <v>4530702.083333333</v>
          </cell>
          <cell r="G257">
            <v>1045554.6773436717</v>
          </cell>
          <cell r="H257">
            <v>209110.93546873433</v>
          </cell>
          <cell r="I257">
            <v>54368425</v>
          </cell>
          <cell r="J257">
            <v>4530702.083333333</v>
          </cell>
          <cell r="K257">
            <v>1045554.6773436717</v>
          </cell>
          <cell r="L257">
            <v>209110.93546873433</v>
          </cell>
          <cell r="M257" t="str">
            <v>..</v>
          </cell>
          <cell r="N257" t="str">
            <v>..</v>
          </cell>
          <cell r="O257" t="str">
            <v>..</v>
          </cell>
          <cell r="P257" t="str">
            <v>..</v>
          </cell>
          <cell r="Q257" t="str">
            <v>..</v>
          </cell>
          <cell r="R257" t="str">
            <v>..</v>
          </cell>
          <cell r="S257" t="str">
            <v>..</v>
          </cell>
          <cell r="T257" t="str">
            <v>..</v>
          </cell>
          <cell r="U257" t="str">
            <v>..</v>
          </cell>
          <cell r="V257">
            <v>52</v>
          </cell>
          <cell r="W257">
            <v>52</v>
          </cell>
          <cell r="X257">
            <v>0</v>
          </cell>
          <cell r="Y257" t="str">
            <v>-</v>
          </cell>
          <cell r="Z257" t="str">
            <v>Twelve months. 80 per cent of ordinary earnings, with a minimum of KRW700,000 [€512.79] a month and a ceiling of KRW1,500,000 [€1,098.83] a month. Using the ‘3+3 Parents’ Parental Leave Scheme (3+3 부모 육아휴직), if parents take Parental leave simultaneously or sequentially for a child under 12 months of age (including leave during the pregnancy), then each parent’s Parental leave benefit is increased for the first three months from 80 per cent of ordinary earnings to 100 per cent, with escalating ceilings for each additional month on leave. That is: 1) if both parents take Parental leave for one month, the upper limit is KRW2,000,000 [€1,465.10]; 2) if both parents take Parental leave for two months, the upper limit is KRW2,000,000 [€1,465.10 for the 1st month, and KRW2,500,000 [€1,831.38 for the 2nd 
month; 3) if both parents take Parental leave for three months, the upper limit is KRW2,000,000 [€1,465.10] for the 1st month, KRW2,500,000 [€1,831.38] for the 2nd month, and KRW3,000,000 [€2,197.66] for the 3rd month.</v>
          </cell>
          <cell r="AA257" t="str">
            <v>Gross</v>
          </cell>
          <cell r="AB257" t="str">
            <v>N</v>
          </cell>
          <cell r="AC257">
            <v>39</v>
          </cell>
          <cell r="AD257">
            <v>0.8</v>
          </cell>
          <cell r="AE257">
            <v>1500000</v>
          </cell>
          <cell r="AF257" t="str">
            <v>month</v>
          </cell>
          <cell r="AG257">
            <v>700000</v>
          </cell>
          <cell r="AH257" t="str">
            <v>month</v>
          </cell>
          <cell r="AI257" t="str">
            <v>-</v>
          </cell>
          <cell r="AJ257" t="str">
            <v>-</v>
          </cell>
          <cell r="AK257" t="str">
            <v>-</v>
          </cell>
          <cell r="AL257" t="str">
            <v>-</v>
          </cell>
          <cell r="AM257" t="str">
            <v>-</v>
          </cell>
          <cell r="AN257" t="str">
            <v>-</v>
          </cell>
          <cell r="AO257">
            <v>4.33</v>
          </cell>
          <cell r="AP257">
            <v>1</v>
          </cell>
          <cell r="AQ257">
            <v>2000000</v>
          </cell>
          <cell r="AR257" t="str">
            <v>month</v>
          </cell>
          <cell r="AS257">
            <v>700000</v>
          </cell>
          <cell r="AT257" t="str">
            <v>month</v>
          </cell>
          <cell r="AU257" t="str">
            <v>-</v>
          </cell>
          <cell r="AV257" t="str">
            <v>-</v>
          </cell>
          <cell r="AW257" t="str">
            <v>-</v>
          </cell>
          <cell r="AX257" t="str">
            <v>-</v>
          </cell>
          <cell r="AY257" t="str">
            <v>-</v>
          </cell>
          <cell r="AZ257" t="str">
            <v>-</v>
          </cell>
          <cell r="BA257">
            <v>4.33</v>
          </cell>
          <cell r="BB257">
            <v>1</v>
          </cell>
          <cell r="BC257">
            <v>2500000</v>
          </cell>
          <cell r="BD257" t="str">
            <v>month</v>
          </cell>
          <cell r="BE257">
            <v>700000</v>
          </cell>
          <cell r="BF257" t="str">
            <v>month</v>
          </cell>
          <cell r="BG257" t="str">
            <v>-</v>
          </cell>
          <cell r="BH257" t="str">
            <v>-</v>
          </cell>
          <cell r="BI257" t="str">
            <v>-</v>
          </cell>
          <cell r="BJ257" t="str">
            <v>-</v>
          </cell>
          <cell r="BK257" t="str">
            <v>-</v>
          </cell>
          <cell r="BL257" t="str">
            <v>-</v>
          </cell>
          <cell r="BM257">
            <v>0.3861474885327425</v>
          </cell>
          <cell r="BN257">
            <v>0.3861474885327425</v>
          </cell>
          <cell r="BO257" t="str">
            <v>-</v>
          </cell>
          <cell r="BP257" t="str">
            <v>-</v>
          </cell>
          <cell r="BQ257">
            <v>20994230.769230772</v>
          </cell>
          <cell r="BR257">
            <v>1749519.2307692308</v>
          </cell>
          <cell r="BS257">
            <v>403738.31277992076</v>
          </cell>
          <cell r="BT257">
            <v>80747.662555984149</v>
          </cell>
        </row>
        <row r="258">
          <cell r="A258" t="str">
            <v>Korea2024100 / 100</v>
          </cell>
          <cell r="B258" t="str">
            <v>Korea</v>
          </cell>
          <cell r="C258">
            <v>2024</v>
          </cell>
          <cell r="D258" t="str">
            <v>100 / 100</v>
          </cell>
          <cell r="E258">
            <v>55002302</v>
          </cell>
          <cell r="F258">
            <v>4583525.166666667</v>
          </cell>
          <cell r="G258">
            <v>1057744.7134208723</v>
          </cell>
          <cell r="H258">
            <v>211548.94268417446</v>
          </cell>
          <cell r="I258">
            <v>55002302</v>
          </cell>
          <cell r="J258">
            <v>4583525.166666667</v>
          </cell>
          <cell r="K258">
            <v>1057744.7134208723</v>
          </cell>
          <cell r="L258">
            <v>211548.94268417446</v>
          </cell>
          <cell r="M258" t="str">
            <v>..</v>
          </cell>
          <cell r="N258" t="str">
            <v>..</v>
          </cell>
          <cell r="O258" t="str">
            <v>..</v>
          </cell>
          <cell r="P258" t="str">
            <v>..</v>
          </cell>
          <cell r="Q258" t="str">
            <v>..</v>
          </cell>
          <cell r="R258" t="str">
            <v>..</v>
          </cell>
          <cell r="S258" t="str">
            <v>..</v>
          </cell>
          <cell r="T258" t="str">
            <v>..</v>
          </cell>
          <cell r="U258" t="str">
            <v>..</v>
          </cell>
          <cell r="V258">
            <v>52</v>
          </cell>
          <cell r="W258">
            <v>52</v>
          </cell>
          <cell r="X258">
            <v>0</v>
          </cell>
          <cell r="Y258" t="str">
            <v>-</v>
          </cell>
          <cell r="Z258" t="str">
            <v xml:space="preserve">Twelve months. 80 per cent of ordinary earnings, with a minimum of KRW700,000 [€467.32] per month and an upper limit of KRW1,500,000 [€1,001.41] per month. Using the ‘6+6 Parents’ Parental Leave Scheme (6+6 부모 육아휴직), if both parents take Parental leave simultaneously or sequentially for a child under 18 months of age (including leave during the pregnancy), then each parent’s Parental leave benefit is increased for the first 6 months from 80 per cent of ordinary earnings to 100 per cent, with escalating ceilings by KRW500,000 [€333.80] for each additional month on leave. That is: 1) if both parents take Parental leave for one month, the upper limit is KRW2,000,000 [€1,335.21]; 2) if both parents take Parental leave for two months, the upper limit is KRW2,000,000 [€1,335.21] for the 1st month, and KRW2,500,000 [€1,669.01] for the 2nd month; 3) if both parents take Parental leave for six months, the upper limit is KRW2,000,000 [€1,335.21] for the 1st month, KRW2,500,000 [€1,669.01] for the 2nd month, KRW3,000,000 [€2,002.82] for the 3rd month, KRW3,500,000 [€2,336.62] for the 4th month, KRW4,000,000 [€2,670.42] for the 5th month, and KRW4,500,000 [€3,004.23]. </v>
          </cell>
          <cell r="AA258" t="str">
            <v>Gross</v>
          </cell>
          <cell r="AB258" t="str">
            <v>N</v>
          </cell>
          <cell r="AC258">
            <v>26</v>
          </cell>
          <cell r="AD258">
            <v>0.8</v>
          </cell>
          <cell r="AE258">
            <v>1500000</v>
          </cell>
          <cell r="AF258" t="str">
            <v>month</v>
          </cell>
          <cell r="AG258">
            <v>700000</v>
          </cell>
          <cell r="AH258" t="str">
            <v>month</v>
          </cell>
          <cell r="AI258" t="str">
            <v>-</v>
          </cell>
          <cell r="AJ258" t="str">
            <v>-</v>
          </cell>
          <cell r="AK258" t="str">
            <v>-</v>
          </cell>
          <cell r="AL258" t="str">
            <v>-</v>
          </cell>
          <cell r="AM258" t="str">
            <v>-</v>
          </cell>
          <cell r="AN258" t="str">
            <v>-</v>
          </cell>
          <cell r="AO258">
            <v>4.33</v>
          </cell>
          <cell r="AP258">
            <v>1</v>
          </cell>
          <cell r="AQ258">
            <v>2000000</v>
          </cell>
          <cell r="AR258" t="str">
            <v>month</v>
          </cell>
          <cell r="AS258">
            <v>700000</v>
          </cell>
          <cell r="AT258" t="str">
            <v>month</v>
          </cell>
          <cell r="AU258" t="str">
            <v>-</v>
          </cell>
          <cell r="AV258" t="str">
            <v>-</v>
          </cell>
          <cell r="AW258" t="str">
            <v>-</v>
          </cell>
          <cell r="AX258" t="str">
            <v>-</v>
          </cell>
          <cell r="AY258" t="str">
            <v>-</v>
          </cell>
          <cell r="AZ258" t="str">
            <v>-</v>
          </cell>
          <cell r="BA258">
            <v>4.33</v>
          </cell>
          <cell r="BB258">
            <v>1</v>
          </cell>
          <cell r="BC258">
            <v>2500000</v>
          </cell>
          <cell r="BD258" t="str">
            <v>month</v>
          </cell>
          <cell r="BE258">
            <v>700000</v>
          </cell>
          <cell r="BF258" t="str">
            <v>month</v>
          </cell>
          <cell r="BG258" t="str">
            <v>-</v>
          </cell>
          <cell r="BH258" t="str">
            <v>-</v>
          </cell>
          <cell r="BI258" t="str">
            <v>-</v>
          </cell>
          <cell r="BJ258" t="str">
            <v>-</v>
          </cell>
          <cell r="BK258" t="str">
            <v>-</v>
          </cell>
          <cell r="BL258" t="str">
            <v>-</v>
          </cell>
          <cell r="BM258">
            <v>0.51788741496674073</v>
          </cell>
          <cell r="BN258">
            <v>0.51788741496674073</v>
          </cell>
          <cell r="BO258" t="str">
            <v>-</v>
          </cell>
          <cell r="BP258" t="str">
            <v>-</v>
          </cell>
          <cell r="BQ258">
            <v>28484999.999999993</v>
          </cell>
          <cell r="BR258">
            <v>2373749.9999999995</v>
          </cell>
          <cell r="BS258">
            <v>547792.67532827158</v>
          </cell>
          <cell r="BT258">
            <v>109558.5350656543</v>
          </cell>
        </row>
        <row r="259">
          <cell r="A259" t="str">
            <v>Korea2025100 / 100</v>
          </cell>
          <cell r="B259" t="str">
            <v>Korea</v>
          </cell>
          <cell r="C259">
            <v>2025</v>
          </cell>
          <cell r="D259" t="str">
            <v>100 / 100</v>
          </cell>
          <cell r="E259">
            <v>55002302</v>
          </cell>
          <cell r="F259">
            <v>4583525.166666667</v>
          </cell>
          <cell r="G259">
            <v>1057744.7134208723</v>
          </cell>
          <cell r="H259">
            <v>211548.94268417446</v>
          </cell>
          <cell r="I259">
            <v>55002302</v>
          </cell>
          <cell r="J259">
            <v>4583525.166666667</v>
          </cell>
          <cell r="K259">
            <v>1057744.7134208723</v>
          </cell>
          <cell r="L259">
            <v>211548.94268417446</v>
          </cell>
          <cell r="M259" t="str">
            <v>..</v>
          </cell>
          <cell r="N259" t="str">
            <v>..</v>
          </cell>
          <cell r="O259" t="str">
            <v>..</v>
          </cell>
          <cell r="P259" t="str">
            <v>..</v>
          </cell>
          <cell r="Q259" t="str">
            <v>..</v>
          </cell>
          <cell r="R259" t="str">
            <v>..</v>
          </cell>
          <cell r="S259" t="str">
            <v>..</v>
          </cell>
          <cell r="T259" t="str">
            <v>..</v>
          </cell>
          <cell r="U259" t="str">
            <v>..</v>
          </cell>
          <cell r="V259">
            <v>78</v>
          </cell>
          <cell r="W259">
            <v>78</v>
          </cell>
          <cell r="X259">
            <v>0</v>
          </cell>
          <cell r="Y259" t="str">
            <v>-</v>
          </cell>
          <cell r="Z259" t="str">
            <v>Eighteen months. If both parents take more than 3 months of parental leave, their individual entitlement extends to 18 months. 100 per cent of ordinary earnings for the first six months, with a minimum of KRW700,000 per month and an upper limit of KRW 2,500,000 per month for the first three months and KRW 2,000,000 per month for the following three months. From the seventh month onward, 80% of earnings are paid, up to a maximum of KRW 1,600,000 per month. Using the ‘6+6 Parents’ Parental Leave Scheme (6+6 부모 육아휴직), if both parents take Parental leave simultaneously or sequentially for a child under 18 months of age (including leave during the pregnancy), then each parent’s benefit ceilings is increased for each additional month on leave (KRW3,000,000 for the 3rd month, KRW 3,500,000 for the 4th month, KRW 4,000,000 for the 5th month, KRW 4,500,000 for the last month).</v>
          </cell>
          <cell r="AA259" t="str">
            <v>Gross</v>
          </cell>
          <cell r="AB259" t="str">
            <v>N</v>
          </cell>
          <cell r="AC259">
            <v>52</v>
          </cell>
          <cell r="AD259">
            <v>0.8</v>
          </cell>
          <cell r="AE259">
            <v>1600000</v>
          </cell>
          <cell r="AF259" t="str">
            <v>month</v>
          </cell>
          <cell r="AG259">
            <v>700000</v>
          </cell>
          <cell r="AH259" t="str">
            <v>month</v>
          </cell>
          <cell r="AI259" t="str">
            <v>-</v>
          </cell>
          <cell r="AJ259" t="str">
            <v>-</v>
          </cell>
          <cell r="AK259" t="str">
            <v>-</v>
          </cell>
          <cell r="AL259" t="str">
            <v>-</v>
          </cell>
          <cell r="AM259" t="str">
            <v>-</v>
          </cell>
          <cell r="AN259" t="str">
            <v>-</v>
          </cell>
          <cell r="AO259">
            <v>4.33</v>
          </cell>
          <cell r="AP259">
            <v>1</v>
          </cell>
          <cell r="AQ259">
            <v>2500000</v>
          </cell>
          <cell r="AR259" t="str">
            <v>month</v>
          </cell>
          <cell r="AS259">
            <v>700000</v>
          </cell>
          <cell r="AT259" t="str">
            <v>month</v>
          </cell>
          <cell r="AU259" t="str">
            <v>-</v>
          </cell>
          <cell r="AV259" t="str">
            <v>-</v>
          </cell>
          <cell r="AW259" t="str">
            <v>-</v>
          </cell>
          <cell r="AX259" t="str">
            <v>-</v>
          </cell>
          <cell r="AY259" t="str">
            <v>-</v>
          </cell>
          <cell r="AZ259" t="str">
            <v>-</v>
          </cell>
          <cell r="BA259">
            <v>4.33</v>
          </cell>
          <cell r="BB259">
            <v>1</v>
          </cell>
          <cell r="BC259">
            <v>2500000</v>
          </cell>
          <cell r="BD259" t="str">
            <v>month</v>
          </cell>
          <cell r="BE259">
            <v>700000</v>
          </cell>
          <cell r="BF259" t="str">
            <v>month</v>
          </cell>
          <cell r="BG259" t="str">
            <v>-</v>
          </cell>
          <cell r="BH259" t="str">
            <v>-</v>
          </cell>
          <cell r="BI259" t="str">
            <v>-</v>
          </cell>
          <cell r="BJ259" t="str">
            <v>-</v>
          </cell>
          <cell r="BK259" t="str">
            <v>-</v>
          </cell>
          <cell r="BL259" t="str">
            <v>-</v>
          </cell>
          <cell r="BM259">
            <v>0.47494515635140006</v>
          </cell>
          <cell r="BN259">
            <v>0.47494515635140006</v>
          </cell>
          <cell r="BO259" t="str">
            <v>-</v>
          </cell>
          <cell r="BP259" t="str">
            <v>-</v>
          </cell>
          <cell r="BQ259">
            <v>26123076.923076924</v>
          </cell>
          <cell r="BR259">
            <v>2176923.076923077</v>
          </cell>
          <cell r="BS259">
            <v>502370.72829554306</v>
          </cell>
          <cell r="BT259">
            <v>100474.1456591086</v>
          </cell>
        </row>
        <row r="260">
          <cell r="A260" t="str">
            <v>Latvia2014100 / 100</v>
          </cell>
          <cell r="B260" t="str">
            <v>Latvia</v>
          </cell>
          <cell r="C260">
            <v>2014</v>
          </cell>
          <cell r="D260" t="str">
            <v>100 / 100</v>
          </cell>
          <cell r="E260">
            <v>8892</v>
          </cell>
          <cell r="F260">
            <v>741</v>
          </cell>
          <cell r="G260">
            <v>171.00131539473378</v>
          </cell>
          <cell r="H260">
            <v>34.200263078946755</v>
          </cell>
          <cell r="I260">
            <v>8892</v>
          </cell>
          <cell r="J260">
            <v>741</v>
          </cell>
          <cell r="K260">
            <v>171.00131539473378</v>
          </cell>
          <cell r="L260">
            <v>34.200263078946755</v>
          </cell>
          <cell r="M260" t="str">
            <v>..</v>
          </cell>
          <cell r="N260" t="str">
            <v>..</v>
          </cell>
          <cell r="O260" t="str">
            <v>..</v>
          </cell>
          <cell r="P260" t="str">
            <v>..</v>
          </cell>
          <cell r="Q260" t="str">
            <v>..</v>
          </cell>
          <cell r="R260" t="str">
            <v>..</v>
          </cell>
          <cell r="S260" t="str">
            <v>..</v>
          </cell>
          <cell r="T260" t="str">
            <v>..</v>
          </cell>
          <cell r="U260" t="str">
            <v>..</v>
          </cell>
          <cell r="V260">
            <v>78</v>
          </cell>
          <cell r="W260">
            <v>0</v>
          </cell>
          <cell r="X260">
            <v>78</v>
          </cell>
          <cell r="Y260" t="str">
            <v>-</v>
          </cell>
          <cell r="Z260" t="str">
            <v>Unpaid. Parental/child care benefit is a family entitlement - assumed used by the mother</v>
          </cell>
          <cell r="AA260" t="str">
            <v>-</v>
          </cell>
          <cell r="AB260" t="str">
            <v>-</v>
          </cell>
          <cell r="AC260" t="str">
            <v>-</v>
          </cell>
          <cell r="AD260" t="str">
            <v>-</v>
          </cell>
          <cell r="AE260" t="str">
            <v>-</v>
          </cell>
          <cell r="AF260" t="str">
            <v>-</v>
          </cell>
          <cell r="AG260" t="str">
            <v>-</v>
          </cell>
          <cell r="AH260" t="str">
            <v>-</v>
          </cell>
          <cell r="AI260" t="str">
            <v>-</v>
          </cell>
          <cell r="AJ260" t="str">
            <v>-</v>
          </cell>
          <cell r="AK260" t="str">
            <v>-</v>
          </cell>
          <cell r="AL260" t="str">
            <v>-</v>
          </cell>
          <cell r="AM260" t="str">
            <v>-</v>
          </cell>
          <cell r="AN260" t="str">
            <v>-</v>
          </cell>
          <cell r="AO260" t="str">
            <v>-</v>
          </cell>
          <cell r="AP260" t="str">
            <v>-</v>
          </cell>
          <cell r="AQ260" t="str">
            <v>-</v>
          </cell>
          <cell r="AR260" t="str">
            <v>-</v>
          </cell>
          <cell r="AS260" t="str">
            <v>-</v>
          </cell>
          <cell r="AT260" t="str">
            <v>-</v>
          </cell>
          <cell r="AU260" t="str">
            <v>-</v>
          </cell>
          <cell r="AV260" t="str">
            <v>-</v>
          </cell>
          <cell r="AW260" t="str">
            <v>-</v>
          </cell>
          <cell r="AX260" t="str">
            <v>-</v>
          </cell>
          <cell r="AY260" t="str">
            <v>-</v>
          </cell>
          <cell r="AZ260" t="str">
            <v>-</v>
          </cell>
          <cell r="BA260" t="str">
            <v>-</v>
          </cell>
          <cell r="BB260" t="str">
            <v>-</v>
          </cell>
          <cell r="BC260" t="str">
            <v>-</v>
          </cell>
          <cell r="BD260" t="str">
            <v>-</v>
          </cell>
          <cell r="BE260" t="str">
            <v>-</v>
          </cell>
          <cell r="BF260" t="str">
            <v>-</v>
          </cell>
          <cell r="BG260" t="str">
            <v>-</v>
          </cell>
          <cell r="BH260" t="str">
            <v>-</v>
          </cell>
          <cell r="BI260" t="str">
            <v>-</v>
          </cell>
          <cell r="BJ260" t="str">
            <v>-</v>
          </cell>
          <cell r="BK260" t="str">
            <v>-</v>
          </cell>
          <cell r="BL260" t="str">
            <v>-</v>
          </cell>
          <cell r="BM260">
            <v>0</v>
          </cell>
          <cell r="BN260">
            <v>0</v>
          </cell>
          <cell r="BO260" t="str">
            <v>-</v>
          </cell>
          <cell r="BP260" t="str">
            <v>-</v>
          </cell>
          <cell r="BQ260">
            <v>0</v>
          </cell>
          <cell r="BR260">
            <v>0</v>
          </cell>
          <cell r="BS260">
            <v>0</v>
          </cell>
          <cell r="BT260">
            <v>0</v>
          </cell>
        </row>
        <row r="261">
          <cell r="A261" t="str">
            <v>Latvia2015100 / 100</v>
          </cell>
          <cell r="B261" t="str">
            <v>Latvia</v>
          </cell>
          <cell r="C261">
            <v>2015</v>
          </cell>
          <cell r="D261" t="str">
            <v>100 / 100</v>
          </cell>
          <cell r="E261">
            <v>9588</v>
          </cell>
          <cell r="F261">
            <v>799</v>
          </cell>
          <cell r="G261">
            <v>184.38603373872104</v>
          </cell>
          <cell r="H261">
            <v>36.877206747744211</v>
          </cell>
          <cell r="I261">
            <v>9588</v>
          </cell>
          <cell r="J261">
            <v>799</v>
          </cell>
          <cell r="K261">
            <v>184.38603373872104</v>
          </cell>
          <cell r="L261">
            <v>36.877206747744211</v>
          </cell>
          <cell r="M261" t="str">
            <v>..</v>
          </cell>
          <cell r="N261" t="str">
            <v>..</v>
          </cell>
          <cell r="O261" t="str">
            <v>..</v>
          </cell>
          <cell r="P261" t="str">
            <v>..</v>
          </cell>
          <cell r="Q261" t="str">
            <v>..</v>
          </cell>
          <cell r="R261" t="str">
            <v>..</v>
          </cell>
          <cell r="S261" t="str">
            <v>..</v>
          </cell>
          <cell r="T261" t="str">
            <v>..</v>
          </cell>
          <cell r="U261" t="str">
            <v>..</v>
          </cell>
          <cell r="V261">
            <v>78</v>
          </cell>
          <cell r="W261">
            <v>0</v>
          </cell>
          <cell r="X261">
            <v>78</v>
          </cell>
          <cell r="Y261" t="str">
            <v>-</v>
          </cell>
          <cell r="Z261" t="str">
            <v>Unpaid. Parental/child care benefit is a family entitlement - assumed used by the mother</v>
          </cell>
          <cell r="AA261" t="str">
            <v>-</v>
          </cell>
          <cell r="AB261" t="str">
            <v>-</v>
          </cell>
          <cell r="AC261" t="str">
            <v>-</v>
          </cell>
          <cell r="AD261" t="str">
            <v>-</v>
          </cell>
          <cell r="AE261" t="str">
            <v>-</v>
          </cell>
          <cell r="AF261" t="str">
            <v>-</v>
          </cell>
          <cell r="AG261" t="str">
            <v>-</v>
          </cell>
          <cell r="AH261" t="str">
            <v>-</v>
          </cell>
          <cell r="AI261" t="str">
            <v>-</v>
          </cell>
          <cell r="AJ261" t="str">
            <v>-</v>
          </cell>
          <cell r="AK261" t="str">
            <v>-</v>
          </cell>
          <cell r="AL261" t="str">
            <v>-</v>
          </cell>
          <cell r="AM261" t="str">
            <v>-</v>
          </cell>
          <cell r="AN261" t="str">
            <v>-</v>
          </cell>
          <cell r="AO261" t="str">
            <v>-</v>
          </cell>
          <cell r="AP261" t="str">
            <v>-</v>
          </cell>
          <cell r="AQ261" t="str">
            <v>-</v>
          </cell>
          <cell r="AR261" t="str">
            <v>-</v>
          </cell>
          <cell r="AS261" t="str">
            <v>-</v>
          </cell>
          <cell r="AT261" t="str">
            <v>-</v>
          </cell>
          <cell r="AU261" t="str">
            <v>-</v>
          </cell>
          <cell r="AV261" t="str">
            <v>-</v>
          </cell>
          <cell r="AW261" t="str">
            <v>-</v>
          </cell>
          <cell r="AX261" t="str">
            <v>-</v>
          </cell>
          <cell r="AY261" t="str">
            <v>-</v>
          </cell>
          <cell r="AZ261" t="str">
            <v>-</v>
          </cell>
          <cell r="BA261" t="str">
            <v>-</v>
          </cell>
          <cell r="BB261" t="str">
            <v>-</v>
          </cell>
          <cell r="BC261" t="str">
            <v>-</v>
          </cell>
          <cell r="BD261" t="str">
            <v>-</v>
          </cell>
          <cell r="BE261" t="str">
            <v>-</v>
          </cell>
          <cell r="BF261" t="str">
            <v>-</v>
          </cell>
          <cell r="BG261" t="str">
            <v>-</v>
          </cell>
          <cell r="BH261" t="str">
            <v>-</v>
          </cell>
          <cell r="BI261" t="str">
            <v>-</v>
          </cell>
          <cell r="BJ261" t="str">
            <v>-</v>
          </cell>
          <cell r="BK261" t="str">
            <v>-</v>
          </cell>
          <cell r="BL261" t="str">
            <v>-</v>
          </cell>
          <cell r="BM261">
            <v>0</v>
          </cell>
          <cell r="BN261">
            <v>0</v>
          </cell>
          <cell r="BO261" t="str">
            <v>-</v>
          </cell>
          <cell r="BP261" t="str">
            <v>-</v>
          </cell>
          <cell r="BQ261">
            <v>0</v>
          </cell>
          <cell r="BR261">
            <v>0</v>
          </cell>
          <cell r="BS261">
            <v>0</v>
          </cell>
          <cell r="BT261">
            <v>0</v>
          </cell>
        </row>
        <row r="262">
          <cell r="A262" t="str">
            <v>Latvia2016100 / 100</v>
          </cell>
          <cell r="B262" t="str">
            <v>Latvia</v>
          </cell>
          <cell r="C262">
            <v>2016</v>
          </cell>
          <cell r="D262" t="str">
            <v>100 / 100</v>
          </cell>
          <cell r="E262">
            <v>10140</v>
          </cell>
          <cell r="F262">
            <v>845</v>
          </cell>
          <cell r="G262">
            <v>195.00150001153852</v>
          </cell>
          <cell r="H262">
            <v>39.000300002307704</v>
          </cell>
          <cell r="I262">
            <v>10140</v>
          </cell>
          <cell r="J262">
            <v>845</v>
          </cell>
          <cell r="K262">
            <v>195.00150001153852</v>
          </cell>
          <cell r="L262">
            <v>39.000300002307704</v>
          </cell>
          <cell r="M262" t="str">
            <v>..</v>
          </cell>
          <cell r="N262" t="str">
            <v>..</v>
          </cell>
          <cell r="O262" t="str">
            <v>..</v>
          </cell>
          <cell r="P262" t="str">
            <v>..</v>
          </cell>
          <cell r="Q262" t="str">
            <v>..</v>
          </cell>
          <cell r="R262" t="str">
            <v>..</v>
          </cell>
          <cell r="S262" t="str">
            <v>..</v>
          </cell>
          <cell r="T262" t="str">
            <v>..</v>
          </cell>
          <cell r="U262" t="str">
            <v>..</v>
          </cell>
          <cell r="V262">
            <v>78</v>
          </cell>
          <cell r="W262">
            <v>0</v>
          </cell>
          <cell r="X262">
            <v>78</v>
          </cell>
          <cell r="Y262" t="str">
            <v>-</v>
          </cell>
          <cell r="Z262" t="str">
            <v>Unpaid. Parental/child care benefit is a family entitlement - assumed used by the mother</v>
          </cell>
          <cell r="AA262" t="str">
            <v>-</v>
          </cell>
          <cell r="AB262" t="str">
            <v>-</v>
          </cell>
          <cell r="AC262" t="str">
            <v>-</v>
          </cell>
          <cell r="AD262" t="str">
            <v>-</v>
          </cell>
          <cell r="AE262" t="str">
            <v>-</v>
          </cell>
          <cell r="AF262" t="str">
            <v>-</v>
          </cell>
          <cell r="AG262" t="str">
            <v>-</v>
          </cell>
          <cell r="AH262" t="str">
            <v>-</v>
          </cell>
          <cell r="AI262" t="str">
            <v>-</v>
          </cell>
          <cell r="AJ262" t="str">
            <v>-</v>
          </cell>
          <cell r="AK262" t="str">
            <v>-</v>
          </cell>
          <cell r="AL262" t="str">
            <v>-</v>
          </cell>
          <cell r="AM262" t="str">
            <v>-</v>
          </cell>
          <cell r="AN262" t="str">
            <v>-</v>
          </cell>
          <cell r="AO262" t="str">
            <v>-</v>
          </cell>
          <cell r="AP262" t="str">
            <v>-</v>
          </cell>
          <cell r="AQ262" t="str">
            <v>-</v>
          </cell>
          <cell r="AR262" t="str">
            <v>-</v>
          </cell>
          <cell r="AS262" t="str">
            <v>-</v>
          </cell>
          <cell r="AT262" t="str">
            <v>-</v>
          </cell>
          <cell r="AU262" t="str">
            <v>-</v>
          </cell>
          <cell r="AV262" t="str">
            <v>-</v>
          </cell>
          <cell r="AW262" t="str">
            <v>-</v>
          </cell>
          <cell r="AX262" t="str">
            <v>-</v>
          </cell>
          <cell r="AY262" t="str">
            <v>-</v>
          </cell>
          <cell r="AZ262" t="str">
            <v>-</v>
          </cell>
          <cell r="BA262" t="str">
            <v>-</v>
          </cell>
          <cell r="BB262" t="str">
            <v>-</v>
          </cell>
          <cell r="BC262" t="str">
            <v>-</v>
          </cell>
          <cell r="BD262" t="str">
            <v>-</v>
          </cell>
          <cell r="BE262" t="str">
            <v>-</v>
          </cell>
          <cell r="BF262" t="str">
            <v>-</v>
          </cell>
          <cell r="BG262" t="str">
            <v>-</v>
          </cell>
          <cell r="BH262" t="str">
            <v>-</v>
          </cell>
          <cell r="BI262" t="str">
            <v>-</v>
          </cell>
          <cell r="BJ262" t="str">
            <v>-</v>
          </cell>
          <cell r="BK262" t="str">
            <v>-</v>
          </cell>
          <cell r="BL262" t="str">
            <v>-</v>
          </cell>
          <cell r="BM262">
            <v>0</v>
          </cell>
          <cell r="BN262">
            <v>0</v>
          </cell>
          <cell r="BO262" t="str">
            <v>-</v>
          </cell>
          <cell r="BP262" t="str">
            <v>-</v>
          </cell>
          <cell r="BQ262">
            <v>0</v>
          </cell>
          <cell r="BR262">
            <v>0</v>
          </cell>
          <cell r="BS262">
            <v>0</v>
          </cell>
          <cell r="BT262">
            <v>0</v>
          </cell>
        </row>
        <row r="263">
          <cell r="A263" t="str">
            <v>Latvia2017100 / 100</v>
          </cell>
          <cell r="B263" t="str">
            <v>Latvia</v>
          </cell>
          <cell r="C263">
            <v>2017</v>
          </cell>
          <cell r="D263" t="str">
            <v>100 / 100</v>
          </cell>
          <cell r="E263">
            <v>10980</v>
          </cell>
          <cell r="F263">
            <v>915</v>
          </cell>
          <cell r="G263">
            <v>211.15547042669556</v>
          </cell>
          <cell r="H263">
            <v>42.231094085339109</v>
          </cell>
          <cell r="I263">
            <v>10980</v>
          </cell>
          <cell r="J263">
            <v>915</v>
          </cell>
          <cell r="K263">
            <v>211.15547042669556</v>
          </cell>
          <cell r="L263">
            <v>42.231094085339109</v>
          </cell>
          <cell r="M263" t="str">
            <v>..</v>
          </cell>
          <cell r="N263" t="str">
            <v>..</v>
          </cell>
          <cell r="O263" t="str">
            <v>..</v>
          </cell>
          <cell r="P263" t="str">
            <v>..</v>
          </cell>
          <cell r="Q263" t="str">
            <v>..</v>
          </cell>
          <cell r="R263" t="str">
            <v>..</v>
          </cell>
          <cell r="S263" t="str">
            <v>..</v>
          </cell>
          <cell r="T263" t="str">
            <v>..</v>
          </cell>
          <cell r="U263" t="str">
            <v>..</v>
          </cell>
          <cell r="V263">
            <v>78</v>
          </cell>
          <cell r="W263">
            <v>0</v>
          </cell>
          <cell r="X263">
            <v>78</v>
          </cell>
          <cell r="Y263" t="str">
            <v>-</v>
          </cell>
          <cell r="Z263" t="str">
            <v>Unpaid. Parental/child care benefit is a family entitlement - assumed used by the mother</v>
          </cell>
          <cell r="AA263" t="str">
            <v>-</v>
          </cell>
          <cell r="AB263" t="str">
            <v>-</v>
          </cell>
          <cell r="AC263" t="str">
            <v>-</v>
          </cell>
          <cell r="AD263" t="str">
            <v>-</v>
          </cell>
          <cell r="AE263" t="str">
            <v>-</v>
          </cell>
          <cell r="AF263" t="str">
            <v>-</v>
          </cell>
          <cell r="AG263" t="str">
            <v>-</v>
          </cell>
          <cell r="AH263" t="str">
            <v>-</v>
          </cell>
          <cell r="AI263" t="str">
            <v>-</v>
          </cell>
          <cell r="AJ263" t="str">
            <v>-</v>
          </cell>
          <cell r="AK263" t="str">
            <v>-</v>
          </cell>
          <cell r="AL263" t="str">
            <v>-</v>
          </cell>
          <cell r="AM263" t="str">
            <v>-</v>
          </cell>
          <cell r="AN263" t="str">
            <v>-</v>
          </cell>
          <cell r="AO263" t="str">
            <v>-</v>
          </cell>
          <cell r="AP263" t="str">
            <v>-</v>
          </cell>
          <cell r="AQ263" t="str">
            <v>-</v>
          </cell>
          <cell r="AR263" t="str">
            <v>-</v>
          </cell>
          <cell r="AS263" t="str">
            <v>-</v>
          </cell>
          <cell r="AT263" t="str">
            <v>-</v>
          </cell>
          <cell r="AU263" t="str">
            <v>-</v>
          </cell>
          <cell r="AV263" t="str">
            <v>-</v>
          </cell>
          <cell r="AW263" t="str">
            <v>-</v>
          </cell>
          <cell r="AX263" t="str">
            <v>-</v>
          </cell>
          <cell r="AY263" t="str">
            <v>-</v>
          </cell>
          <cell r="AZ263" t="str">
            <v>-</v>
          </cell>
          <cell r="BA263" t="str">
            <v>-</v>
          </cell>
          <cell r="BB263" t="str">
            <v>-</v>
          </cell>
          <cell r="BC263" t="str">
            <v>-</v>
          </cell>
          <cell r="BD263" t="str">
            <v>-</v>
          </cell>
          <cell r="BE263" t="str">
            <v>-</v>
          </cell>
          <cell r="BF263" t="str">
            <v>-</v>
          </cell>
          <cell r="BG263" t="str">
            <v>-</v>
          </cell>
          <cell r="BH263" t="str">
            <v>-</v>
          </cell>
          <cell r="BI263" t="str">
            <v>-</v>
          </cell>
          <cell r="BJ263" t="str">
            <v>-</v>
          </cell>
          <cell r="BK263" t="str">
            <v>-</v>
          </cell>
          <cell r="BL263" t="str">
            <v>-</v>
          </cell>
          <cell r="BM263">
            <v>0</v>
          </cell>
          <cell r="BN263">
            <v>0</v>
          </cell>
          <cell r="BO263" t="str">
            <v>-</v>
          </cell>
          <cell r="BP263" t="str">
            <v>-</v>
          </cell>
          <cell r="BQ263">
            <v>0</v>
          </cell>
          <cell r="BR263">
            <v>0</v>
          </cell>
          <cell r="BS263">
            <v>0</v>
          </cell>
          <cell r="BT263">
            <v>0</v>
          </cell>
        </row>
        <row r="264">
          <cell r="A264" t="str">
            <v>Latvia2018100 / 100</v>
          </cell>
          <cell r="B264" t="str">
            <v>Latvia</v>
          </cell>
          <cell r="C264">
            <v>2018</v>
          </cell>
          <cell r="D264" t="str">
            <v>100 / 100</v>
          </cell>
          <cell r="E264">
            <v>11892</v>
          </cell>
          <cell r="F264">
            <v>991</v>
          </cell>
          <cell r="G264">
            <v>228.69406687743751</v>
          </cell>
          <cell r="H264">
            <v>45.738813375487503</v>
          </cell>
          <cell r="I264">
            <v>11892</v>
          </cell>
          <cell r="J264">
            <v>991</v>
          </cell>
          <cell r="K264">
            <v>228.69406687743751</v>
          </cell>
          <cell r="L264">
            <v>45.738813375487503</v>
          </cell>
          <cell r="M264" t="str">
            <v>..</v>
          </cell>
          <cell r="N264" t="str">
            <v>..</v>
          </cell>
          <cell r="O264" t="str">
            <v>..</v>
          </cell>
          <cell r="P264" t="str">
            <v>..</v>
          </cell>
          <cell r="Q264" t="str">
            <v>..</v>
          </cell>
          <cell r="R264" t="str">
            <v>..</v>
          </cell>
          <cell r="S264" t="str">
            <v>..</v>
          </cell>
          <cell r="T264" t="str">
            <v>..</v>
          </cell>
          <cell r="U264" t="str">
            <v>..</v>
          </cell>
          <cell r="V264">
            <v>78</v>
          </cell>
          <cell r="W264">
            <v>0</v>
          </cell>
          <cell r="X264">
            <v>78</v>
          </cell>
          <cell r="Y264" t="str">
            <v>-</v>
          </cell>
          <cell r="Z264" t="str">
            <v>Unpaid. Parental/child care benefit is a family entitlement - assumed used by the mother</v>
          </cell>
          <cell r="AA264" t="str">
            <v>-</v>
          </cell>
          <cell r="AB264" t="str">
            <v>-</v>
          </cell>
          <cell r="AC264" t="str">
            <v>-</v>
          </cell>
          <cell r="AD264" t="str">
            <v>-</v>
          </cell>
          <cell r="AE264" t="str">
            <v>-</v>
          </cell>
          <cell r="AF264" t="str">
            <v>-</v>
          </cell>
          <cell r="AG264" t="str">
            <v>-</v>
          </cell>
          <cell r="AH264" t="str">
            <v>-</v>
          </cell>
          <cell r="AI264" t="str">
            <v>-</v>
          </cell>
          <cell r="AJ264" t="str">
            <v>-</v>
          </cell>
          <cell r="AK264" t="str">
            <v>-</v>
          </cell>
          <cell r="AL264" t="str">
            <v>-</v>
          </cell>
          <cell r="AM264" t="str">
            <v>-</v>
          </cell>
          <cell r="AN264" t="str">
            <v>-</v>
          </cell>
          <cell r="AO264" t="str">
            <v>-</v>
          </cell>
          <cell r="AP264" t="str">
            <v>-</v>
          </cell>
          <cell r="AQ264" t="str">
            <v>-</v>
          </cell>
          <cell r="AR264" t="str">
            <v>-</v>
          </cell>
          <cell r="AS264" t="str">
            <v>-</v>
          </cell>
          <cell r="AT264" t="str">
            <v>-</v>
          </cell>
          <cell r="AU264" t="str">
            <v>-</v>
          </cell>
          <cell r="AV264" t="str">
            <v>-</v>
          </cell>
          <cell r="AW264" t="str">
            <v>-</v>
          </cell>
          <cell r="AX264" t="str">
            <v>-</v>
          </cell>
          <cell r="AY264" t="str">
            <v>-</v>
          </cell>
          <cell r="AZ264" t="str">
            <v>-</v>
          </cell>
          <cell r="BA264" t="str">
            <v>-</v>
          </cell>
          <cell r="BB264" t="str">
            <v>-</v>
          </cell>
          <cell r="BC264" t="str">
            <v>-</v>
          </cell>
          <cell r="BD264" t="str">
            <v>-</v>
          </cell>
          <cell r="BE264" t="str">
            <v>-</v>
          </cell>
          <cell r="BF264" t="str">
            <v>-</v>
          </cell>
          <cell r="BG264" t="str">
            <v>-</v>
          </cell>
          <cell r="BH264" t="str">
            <v>-</v>
          </cell>
          <cell r="BI264" t="str">
            <v>-</v>
          </cell>
          <cell r="BJ264" t="str">
            <v>-</v>
          </cell>
          <cell r="BK264" t="str">
            <v>-</v>
          </cell>
          <cell r="BL264" t="str">
            <v>-</v>
          </cell>
          <cell r="BM264">
            <v>0</v>
          </cell>
          <cell r="BN264">
            <v>0</v>
          </cell>
          <cell r="BO264" t="str">
            <v>-</v>
          </cell>
          <cell r="BP264" t="str">
            <v>-</v>
          </cell>
          <cell r="BQ264">
            <v>0</v>
          </cell>
          <cell r="BR264">
            <v>0</v>
          </cell>
          <cell r="BS264">
            <v>0</v>
          </cell>
          <cell r="BT264">
            <v>0</v>
          </cell>
        </row>
        <row r="265">
          <cell r="A265" t="str">
            <v>Latvia2019100 / 100</v>
          </cell>
          <cell r="B265" t="str">
            <v>Latvia</v>
          </cell>
          <cell r="C265">
            <v>2019</v>
          </cell>
          <cell r="D265" t="str">
            <v>100 / 100</v>
          </cell>
          <cell r="E265">
            <v>12804</v>
          </cell>
          <cell r="F265">
            <v>1067</v>
          </cell>
          <cell r="G265">
            <v>246.23266332817943</v>
          </cell>
          <cell r="H265">
            <v>49.246532665635883</v>
          </cell>
          <cell r="I265">
            <v>12804</v>
          </cell>
          <cell r="J265">
            <v>1067</v>
          </cell>
          <cell r="K265">
            <v>246.23266332817943</v>
          </cell>
          <cell r="L265">
            <v>49.246532665635883</v>
          </cell>
          <cell r="M265" t="str">
            <v>..</v>
          </cell>
          <cell r="N265" t="str">
            <v>..</v>
          </cell>
          <cell r="O265" t="str">
            <v>..</v>
          </cell>
          <cell r="P265" t="str">
            <v>..</v>
          </cell>
          <cell r="Q265" t="str">
            <v>..</v>
          </cell>
          <cell r="R265" t="str">
            <v>..</v>
          </cell>
          <cell r="S265" t="str">
            <v>..</v>
          </cell>
          <cell r="T265" t="str">
            <v>..</v>
          </cell>
          <cell r="U265" t="str">
            <v>..</v>
          </cell>
          <cell r="V265">
            <v>78</v>
          </cell>
          <cell r="W265">
            <v>0</v>
          </cell>
          <cell r="X265">
            <v>78</v>
          </cell>
          <cell r="Y265" t="str">
            <v>-</v>
          </cell>
          <cell r="Z265" t="str">
            <v>Unpaid. Parental/child care benefit is a family entitlement - assumed used by the mother</v>
          </cell>
          <cell r="AA265" t="str">
            <v>-</v>
          </cell>
          <cell r="AB265" t="str">
            <v>-</v>
          </cell>
          <cell r="AC265" t="str">
            <v>-</v>
          </cell>
          <cell r="AD265" t="str">
            <v>-</v>
          </cell>
          <cell r="AE265" t="str">
            <v>-</v>
          </cell>
          <cell r="AF265" t="str">
            <v>-</v>
          </cell>
          <cell r="AG265" t="str">
            <v>-</v>
          </cell>
          <cell r="AH265" t="str">
            <v>-</v>
          </cell>
          <cell r="AI265" t="str">
            <v>-</v>
          </cell>
          <cell r="AJ265" t="str">
            <v>-</v>
          </cell>
          <cell r="AK265" t="str">
            <v>-</v>
          </cell>
          <cell r="AL265" t="str">
            <v>-</v>
          </cell>
          <cell r="AM265" t="str">
            <v>-</v>
          </cell>
          <cell r="AN265" t="str">
            <v>-</v>
          </cell>
          <cell r="AO265" t="str">
            <v>-</v>
          </cell>
          <cell r="AP265" t="str">
            <v>-</v>
          </cell>
          <cell r="AQ265" t="str">
            <v>-</v>
          </cell>
          <cell r="AR265" t="str">
            <v>-</v>
          </cell>
          <cell r="AS265" t="str">
            <v>-</v>
          </cell>
          <cell r="AT265" t="str">
            <v>-</v>
          </cell>
          <cell r="AU265" t="str">
            <v>-</v>
          </cell>
          <cell r="AV265" t="str">
            <v>-</v>
          </cell>
          <cell r="AW265" t="str">
            <v>-</v>
          </cell>
          <cell r="AX265" t="str">
            <v>-</v>
          </cell>
          <cell r="AY265" t="str">
            <v>-</v>
          </cell>
          <cell r="AZ265" t="str">
            <v>-</v>
          </cell>
          <cell r="BA265" t="str">
            <v>-</v>
          </cell>
          <cell r="BB265" t="str">
            <v>-</v>
          </cell>
          <cell r="BC265" t="str">
            <v>-</v>
          </cell>
          <cell r="BD265" t="str">
            <v>-</v>
          </cell>
          <cell r="BE265" t="str">
            <v>-</v>
          </cell>
          <cell r="BF265" t="str">
            <v>-</v>
          </cell>
          <cell r="BG265" t="str">
            <v>-</v>
          </cell>
          <cell r="BH265" t="str">
            <v>-</v>
          </cell>
          <cell r="BI265" t="str">
            <v>-</v>
          </cell>
          <cell r="BJ265" t="str">
            <v>-</v>
          </cell>
          <cell r="BK265" t="str">
            <v>-</v>
          </cell>
          <cell r="BL265" t="str">
            <v>-</v>
          </cell>
          <cell r="BM265">
            <v>0</v>
          </cell>
          <cell r="BN265">
            <v>0</v>
          </cell>
          <cell r="BO265" t="str">
            <v>-</v>
          </cell>
          <cell r="BP265" t="str">
            <v>-</v>
          </cell>
          <cell r="BQ265">
            <v>0</v>
          </cell>
          <cell r="BR265">
            <v>0</v>
          </cell>
          <cell r="BS265">
            <v>0</v>
          </cell>
          <cell r="BT265">
            <v>0</v>
          </cell>
        </row>
        <row r="266">
          <cell r="A266" t="str">
            <v>Latvia2020100 / 100</v>
          </cell>
          <cell r="B266" t="str">
            <v>Latvia</v>
          </cell>
          <cell r="C266">
            <v>2020</v>
          </cell>
          <cell r="D266" t="str">
            <v>100 / 100</v>
          </cell>
          <cell r="E266">
            <v>13656</v>
          </cell>
          <cell r="F266">
            <v>1138</v>
          </cell>
          <cell r="G266">
            <v>262.61740474926728</v>
          </cell>
          <cell r="H266">
            <v>52.523480949853457</v>
          </cell>
          <cell r="I266">
            <v>13656</v>
          </cell>
          <cell r="J266">
            <v>1138</v>
          </cell>
          <cell r="K266">
            <v>262.61740474926728</v>
          </cell>
          <cell r="L266">
            <v>52.523480949853457</v>
          </cell>
          <cell r="M266" t="str">
            <v>..</v>
          </cell>
          <cell r="N266" t="str">
            <v>..</v>
          </cell>
          <cell r="O266" t="str">
            <v>..</v>
          </cell>
          <cell r="P266" t="str">
            <v>..</v>
          </cell>
          <cell r="Q266" t="str">
            <v>..</v>
          </cell>
          <cell r="R266" t="str">
            <v>..</v>
          </cell>
          <cell r="S266" t="str">
            <v>..</v>
          </cell>
          <cell r="T266" t="str">
            <v>..</v>
          </cell>
          <cell r="U266" t="str">
            <v>..</v>
          </cell>
          <cell r="V266">
            <v>78</v>
          </cell>
          <cell r="W266">
            <v>0</v>
          </cell>
          <cell r="X266">
            <v>78</v>
          </cell>
          <cell r="Y266" t="str">
            <v>-</v>
          </cell>
          <cell r="Z266" t="str">
            <v>Unpaid. Parental/child care benefit is a family entitlement - assumed used by the mother</v>
          </cell>
          <cell r="AA266" t="str">
            <v>-</v>
          </cell>
          <cell r="AB266" t="str">
            <v>-</v>
          </cell>
          <cell r="AC266" t="str">
            <v>-</v>
          </cell>
          <cell r="AD266" t="str">
            <v>-</v>
          </cell>
          <cell r="AE266" t="str">
            <v>-</v>
          </cell>
          <cell r="AF266" t="str">
            <v>-</v>
          </cell>
          <cell r="AG266" t="str">
            <v>-</v>
          </cell>
          <cell r="AH266" t="str">
            <v>-</v>
          </cell>
          <cell r="AI266" t="str">
            <v>-</v>
          </cell>
          <cell r="AJ266" t="str">
            <v>-</v>
          </cell>
          <cell r="AK266" t="str">
            <v>-</v>
          </cell>
          <cell r="AL266" t="str">
            <v>-</v>
          </cell>
          <cell r="AM266" t="str">
            <v>-</v>
          </cell>
          <cell r="AN266" t="str">
            <v>-</v>
          </cell>
          <cell r="AO266" t="str">
            <v>-</v>
          </cell>
          <cell r="AP266" t="str">
            <v>-</v>
          </cell>
          <cell r="AQ266" t="str">
            <v>-</v>
          </cell>
          <cell r="AR266" t="str">
            <v>-</v>
          </cell>
          <cell r="AS266" t="str">
            <v>-</v>
          </cell>
          <cell r="AT266" t="str">
            <v>-</v>
          </cell>
          <cell r="AU266" t="str">
            <v>-</v>
          </cell>
          <cell r="AV266" t="str">
            <v>-</v>
          </cell>
          <cell r="AW266" t="str">
            <v>-</v>
          </cell>
          <cell r="AX266" t="str">
            <v>-</v>
          </cell>
          <cell r="AY266" t="str">
            <v>-</v>
          </cell>
          <cell r="AZ266" t="str">
            <v>-</v>
          </cell>
          <cell r="BA266" t="str">
            <v>-</v>
          </cell>
          <cell r="BB266" t="str">
            <v>-</v>
          </cell>
          <cell r="BC266" t="str">
            <v>-</v>
          </cell>
          <cell r="BD266" t="str">
            <v>-</v>
          </cell>
          <cell r="BE266" t="str">
            <v>-</v>
          </cell>
          <cell r="BF266" t="str">
            <v>-</v>
          </cell>
          <cell r="BG266" t="str">
            <v>-</v>
          </cell>
          <cell r="BH266" t="str">
            <v>-</v>
          </cell>
          <cell r="BI266" t="str">
            <v>-</v>
          </cell>
          <cell r="BJ266" t="str">
            <v>-</v>
          </cell>
          <cell r="BK266" t="str">
            <v>-</v>
          </cell>
          <cell r="BL266" t="str">
            <v>-</v>
          </cell>
          <cell r="BM266">
            <v>0</v>
          </cell>
          <cell r="BN266">
            <v>0</v>
          </cell>
          <cell r="BO266" t="str">
            <v>-</v>
          </cell>
          <cell r="BP266" t="str">
            <v>-</v>
          </cell>
          <cell r="BQ266">
            <v>0</v>
          </cell>
          <cell r="BR266">
            <v>0</v>
          </cell>
          <cell r="BS266">
            <v>0</v>
          </cell>
          <cell r="BT266">
            <v>0</v>
          </cell>
        </row>
        <row r="267">
          <cell r="A267" t="str">
            <v>Latvia2021100 / 100</v>
          </cell>
          <cell r="B267" t="str">
            <v>Latvia</v>
          </cell>
          <cell r="C267">
            <v>2021</v>
          </cell>
          <cell r="D267" t="str">
            <v>100 / 100</v>
          </cell>
          <cell r="E267">
            <v>15276</v>
          </cell>
          <cell r="F267">
            <v>1273</v>
          </cell>
          <cell r="G267">
            <v>293.77149054992731</v>
          </cell>
          <cell r="H267">
            <v>58.754298109985463</v>
          </cell>
          <cell r="I267">
            <v>15276</v>
          </cell>
          <cell r="J267">
            <v>1273</v>
          </cell>
          <cell r="K267">
            <v>293.77149054992731</v>
          </cell>
          <cell r="L267">
            <v>58.754298109985463</v>
          </cell>
          <cell r="M267" t="str">
            <v>..</v>
          </cell>
          <cell r="N267" t="str">
            <v>..</v>
          </cell>
          <cell r="O267" t="str">
            <v>..</v>
          </cell>
          <cell r="P267" t="str">
            <v>..</v>
          </cell>
          <cell r="Q267" t="str">
            <v>..</v>
          </cell>
          <cell r="R267" t="str">
            <v>..</v>
          </cell>
          <cell r="S267" t="str">
            <v>..</v>
          </cell>
          <cell r="T267" t="str">
            <v>..</v>
          </cell>
          <cell r="U267" t="str">
            <v>..</v>
          </cell>
          <cell r="V267">
            <v>78</v>
          </cell>
          <cell r="W267">
            <v>0</v>
          </cell>
          <cell r="X267">
            <v>78</v>
          </cell>
          <cell r="Y267" t="str">
            <v>-</v>
          </cell>
          <cell r="Z267" t="str">
            <v>Unpaid. Parental/child care benefit is a family entitlement - assumed used by the mother</v>
          </cell>
          <cell r="AA267" t="str">
            <v>-</v>
          </cell>
          <cell r="AB267" t="str">
            <v>-</v>
          </cell>
          <cell r="AC267" t="str">
            <v>-</v>
          </cell>
          <cell r="AD267" t="str">
            <v>-</v>
          </cell>
          <cell r="AE267" t="str">
            <v>-</v>
          </cell>
          <cell r="AF267" t="str">
            <v>-</v>
          </cell>
          <cell r="AG267" t="str">
            <v>-</v>
          </cell>
          <cell r="AH267" t="str">
            <v>-</v>
          </cell>
          <cell r="AI267" t="str">
            <v>-</v>
          </cell>
          <cell r="AJ267" t="str">
            <v>-</v>
          </cell>
          <cell r="AK267" t="str">
            <v>-</v>
          </cell>
          <cell r="AL267" t="str">
            <v>-</v>
          </cell>
          <cell r="AM267" t="str">
            <v>-</v>
          </cell>
          <cell r="AN267" t="str">
            <v>-</v>
          </cell>
          <cell r="AO267" t="str">
            <v>-</v>
          </cell>
          <cell r="AP267" t="str">
            <v>-</v>
          </cell>
          <cell r="AQ267" t="str">
            <v>-</v>
          </cell>
          <cell r="AR267" t="str">
            <v>-</v>
          </cell>
          <cell r="AS267" t="str">
            <v>-</v>
          </cell>
          <cell r="AT267" t="str">
            <v>-</v>
          </cell>
          <cell r="AU267" t="str">
            <v>-</v>
          </cell>
          <cell r="AV267" t="str">
            <v>-</v>
          </cell>
          <cell r="AW267" t="str">
            <v>-</v>
          </cell>
          <cell r="AX267" t="str">
            <v>-</v>
          </cell>
          <cell r="AY267" t="str">
            <v>-</v>
          </cell>
          <cell r="AZ267" t="str">
            <v>-</v>
          </cell>
          <cell r="BA267" t="str">
            <v>-</v>
          </cell>
          <cell r="BB267" t="str">
            <v>-</v>
          </cell>
          <cell r="BC267" t="str">
            <v>-</v>
          </cell>
          <cell r="BD267" t="str">
            <v>-</v>
          </cell>
          <cell r="BE267" t="str">
            <v>-</v>
          </cell>
          <cell r="BF267" t="str">
            <v>-</v>
          </cell>
          <cell r="BG267" t="str">
            <v>-</v>
          </cell>
          <cell r="BH267" t="str">
            <v>-</v>
          </cell>
          <cell r="BI267" t="str">
            <v>-</v>
          </cell>
          <cell r="BJ267" t="str">
            <v>-</v>
          </cell>
          <cell r="BK267" t="str">
            <v>-</v>
          </cell>
          <cell r="BL267" t="str">
            <v>-</v>
          </cell>
          <cell r="BM267">
            <v>0</v>
          </cell>
          <cell r="BN267">
            <v>0</v>
          </cell>
          <cell r="BO267" t="str">
            <v>-</v>
          </cell>
          <cell r="BP267" t="str">
            <v>-</v>
          </cell>
          <cell r="BQ267">
            <v>0</v>
          </cell>
          <cell r="BR267">
            <v>0</v>
          </cell>
          <cell r="BS267">
            <v>0</v>
          </cell>
          <cell r="BT267">
            <v>0</v>
          </cell>
        </row>
        <row r="268">
          <cell r="A268" t="str">
            <v>Latvia2022100 / 100</v>
          </cell>
          <cell r="B268" t="str">
            <v>Latvia</v>
          </cell>
          <cell r="C268">
            <v>2022</v>
          </cell>
          <cell r="D268" t="str">
            <v>100 / 100</v>
          </cell>
          <cell r="E268">
            <v>16500</v>
          </cell>
          <cell r="F268">
            <v>1375</v>
          </cell>
          <cell r="G268">
            <v>317.31013315487041</v>
          </cell>
          <cell r="H268">
            <v>63.46202663097408</v>
          </cell>
          <cell r="I268">
            <v>16500</v>
          </cell>
          <cell r="J268">
            <v>1375</v>
          </cell>
          <cell r="K268">
            <v>317.31013315487041</v>
          </cell>
          <cell r="L268">
            <v>63.46202663097408</v>
          </cell>
          <cell r="M268" t="str">
            <v>..</v>
          </cell>
          <cell r="N268" t="str">
            <v>..</v>
          </cell>
          <cell r="O268" t="str">
            <v>..</v>
          </cell>
          <cell r="P268" t="str">
            <v>..</v>
          </cell>
          <cell r="Q268" t="str">
            <v>..</v>
          </cell>
          <cell r="R268" t="str">
            <v>..</v>
          </cell>
          <cell r="S268" t="str">
            <v>..</v>
          </cell>
          <cell r="T268" t="str">
            <v>..</v>
          </cell>
          <cell r="U268" t="str">
            <v>..</v>
          </cell>
          <cell r="V268">
            <v>78</v>
          </cell>
          <cell r="W268">
            <v>0</v>
          </cell>
          <cell r="X268">
            <v>78</v>
          </cell>
          <cell r="Y268" t="str">
            <v>-</v>
          </cell>
          <cell r="Z268" t="str">
            <v>Unpaid. Parental/child care benefit is a family entitlement - assumed used by the mother</v>
          </cell>
          <cell r="AA268" t="str">
            <v>-</v>
          </cell>
          <cell r="AB268" t="str">
            <v>-</v>
          </cell>
          <cell r="AC268" t="str">
            <v>-</v>
          </cell>
          <cell r="AD268" t="str">
            <v>-</v>
          </cell>
          <cell r="AE268" t="str">
            <v>-</v>
          </cell>
          <cell r="AF268" t="str">
            <v>-</v>
          </cell>
          <cell r="AG268" t="str">
            <v>-</v>
          </cell>
          <cell r="AH268" t="str">
            <v>-</v>
          </cell>
          <cell r="AI268" t="str">
            <v>-</v>
          </cell>
          <cell r="AJ268" t="str">
            <v>-</v>
          </cell>
          <cell r="AK268" t="str">
            <v>-</v>
          </cell>
          <cell r="AL268" t="str">
            <v>-</v>
          </cell>
          <cell r="AM268" t="str">
            <v>-</v>
          </cell>
          <cell r="AN268" t="str">
            <v>-</v>
          </cell>
          <cell r="AO268" t="str">
            <v>-</v>
          </cell>
          <cell r="AP268" t="str">
            <v>-</v>
          </cell>
          <cell r="AQ268" t="str">
            <v>-</v>
          </cell>
          <cell r="AR268" t="str">
            <v>-</v>
          </cell>
          <cell r="AS268" t="str">
            <v>-</v>
          </cell>
          <cell r="AT268" t="str">
            <v>-</v>
          </cell>
          <cell r="AU268" t="str">
            <v>-</v>
          </cell>
          <cell r="AV268" t="str">
            <v>-</v>
          </cell>
          <cell r="AW268" t="str">
            <v>-</v>
          </cell>
          <cell r="AX268" t="str">
            <v>-</v>
          </cell>
          <cell r="AY268" t="str">
            <v>-</v>
          </cell>
          <cell r="AZ268" t="str">
            <v>-</v>
          </cell>
          <cell r="BA268" t="str">
            <v>-</v>
          </cell>
          <cell r="BB268" t="str">
            <v>-</v>
          </cell>
          <cell r="BC268" t="str">
            <v>-</v>
          </cell>
          <cell r="BD268" t="str">
            <v>-</v>
          </cell>
          <cell r="BE268" t="str">
            <v>-</v>
          </cell>
          <cell r="BF268" t="str">
            <v>-</v>
          </cell>
          <cell r="BG268" t="str">
            <v>-</v>
          </cell>
          <cell r="BH268" t="str">
            <v>-</v>
          </cell>
          <cell r="BI268" t="str">
            <v>-</v>
          </cell>
          <cell r="BJ268" t="str">
            <v>-</v>
          </cell>
          <cell r="BK268" t="str">
            <v>-</v>
          </cell>
          <cell r="BL268" t="str">
            <v>-</v>
          </cell>
          <cell r="BM268">
            <v>0</v>
          </cell>
          <cell r="BN268">
            <v>0</v>
          </cell>
          <cell r="BO268" t="str">
            <v>-</v>
          </cell>
          <cell r="BP268" t="str">
            <v>-</v>
          </cell>
          <cell r="BQ268">
            <v>0</v>
          </cell>
          <cell r="BR268">
            <v>0</v>
          </cell>
          <cell r="BS268">
            <v>0</v>
          </cell>
          <cell r="BT268">
            <v>0</v>
          </cell>
        </row>
        <row r="269">
          <cell r="A269" t="str">
            <v>Latvia2023100 / 100</v>
          </cell>
          <cell r="B269" t="str">
            <v>Latvia</v>
          </cell>
          <cell r="C269">
            <v>2023</v>
          </cell>
          <cell r="D269" t="str">
            <v>100 / 100</v>
          </cell>
          <cell r="E269">
            <v>18294.708999999999</v>
          </cell>
          <cell r="F269">
            <v>1524.5590833333333</v>
          </cell>
          <cell r="G269">
            <v>351.82403326179428</v>
          </cell>
          <cell r="H269">
            <v>70.364806652358851</v>
          </cell>
          <cell r="I269">
            <v>18294.708999999999</v>
          </cell>
          <cell r="J269">
            <v>1524.5590833333333</v>
          </cell>
          <cell r="K269">
            <v>351.82403326179428</v>
          </cell>
          <cell r="L269">
            <v>70.364806652358851</v>
          </cell>
          <cell r="M269" t="str">
            <v>..</v>
          </cell>
          <cell r="N269" t="str">
            <v>..</v>
          </cell>
          <cell r="O269" t="str">
            <v>..</v>
          </cell>
          <cell r="P269" t="str">
            <v>..</v>
          </cell>
          <cell r="Q269" t="str">
            <v>..</v>
          </cell>
          <cell r="R269" t="str">
            <v>..</v>
          </cell>
          <cell r="S269" t="str">
            <v>..</v>
          </cell>
          <cell r="T269" t="str">
            <v>..</v>
          </cell>
          <cell r="U269" t="str">
            <v>..</v>
          </cell>
          <cell r="V269">
            <v>78</v>
          </cell>
          <cell r="W269">
            <v>8.6660000000000004</v>
          </cell>
          <cell r="X269">
            <v>69.334000000000003</v>
          </cell>
          <cell r="Y269" t="str">
            <v>-</v>
          </cell>
          <cell r="Z269" t="str">
            <v>Two months non-transferable parental entitlement . Parental/child care benefit is a family entitlement - assumed the rest is used by the mother</v>
          </cell>
          <cell r="AA269" t="str">
            <v>-</v>
          </cell>
          <cell r="AB269" t="str">
            <v>-</v>
          </cell>
          <cell r="AC269">
            <v>8.6660000000000004</v>
          </cell>
          <cell r="AD269">
            <v>0.6</v>
          </cell>
          <cell r="AE269" t="str">
            <v>-</v>
          </cell>
          <cell r="AF269" t="str">
            <v>-</v>
          </cell>
          <cell r="AG269" t="str">
            <v>-</v>
          </cell>
          <cell r="AH269" t="str">
            <v>-</v>
          </cell>
          <cell r="AI269" t="str">
            <v>-</v>
          </cell>
          <cell r="AJ269" t="str">
            <v>-</v>
          </cell>
          <cell r="AK269" t="str">
            <v>-</v>
          </cell>
          <cell r="AL269" t="str">
            <v>-</v>
          </cell>
          <cell r="AM269" t="str">
            <v>-</v>
          </cell>
          <cell r="AN269" t="str">
            <v>-</v>
          </cell>
          <cell r="AO269" t="str">
            <v>-</v>
          </cell>
          <cell r="AP269" t="str">
            <v>-</v>
          </cell>
          <cell r="AQ269" t="str">
            <v>-</v>
          </cell>
          <cell r="AR269" t="str">
            <v>-</v>
          </cell>
          <cell r="AS269" t="str">
            <v>-</v>
          </cell>
          <cell r="AT269" t="str">
            <v>-</v>
          </cell>
          <cell r="AU269" t="str">
            <v>-</v>
          </cell>
          <cell r="AV269" t="str">
            <v>-</v>
          </cell>
          <cell r="AW269" t="str">
            <v>-</v>
          </cell>
          <cell r="AX269" t="str">
            <v>-</v>
          </cell>
          <cell r="AY269" t="str">
            <v>-</v>
          </cell>
          <cell r="AZ269" t="str">
            <v>-</v>
          </cell>
          <cell r="BA269" t="str">
            <v>-</v>
          </cell>
          <cell r="BB269" t="str">
            <v>-</v>
          </cell>
          <cell r="BC269" t="str">
            <v>-</v>
          </cell>
          <cell r="BD269" t="str">
            <v>-</v>
          </cell>
          <cell r="BE269" t="str">
            <v>-</v>
          </cell>
          <cell r="BF269" t="str">
            <v>-</v>
          </cell>
          <cell r="BG269" t="str">
            <v>-</v>
          </cell>
          <cell r="BH269" t="str">
            <v>-</v>
          </cell>
          <cell r="BI269" t="str">
            <v>-</v>
          </cell>
          <cell r="BJ269" t="str">
            <v>-</v>
          </cell>
          <cell r="BK269" t="str">
            <v>-</v>
          </cell>
          <cell r="BL269" t="str">
            <v>-</v>
          </cell>
          <cell r="BM269">
            <v>0.6</v>
          </cell>
          <cell r="BN269">
            <v>6.6661538461538467E-2</v>
          </cell>
          <cell r="BO269" t="str">
            <v>-</v>
          </cell>
          <cell r="BP269" t="str">
            <v>-</v>
          </cell>
          <cell r="BQ269">
            <v>10976.8254</v>
          </cell>
          <cell r="BR269">
            <v>914.73545000000001</v>
          </cell>
          <cell r="BS269">
            <v>211.09441995707655</v>
          </cell>
          <cell r="BT269">
            <v>42.218883991415311</v>
          </cell>
        </row>
        <row r="270">
          <cell r="A270" t="str">
            <v>Latvia2024100 / 100</v>
          </cell>
          <cell r="B270" t="str">
            <v>Latvia</v>
          </cell>
          <cell r="C270">
            <v>2024</v>
          </cell>
          <cell r="D270" t="str">
            <v>100 / 100</v>
          </cell>
          <cell r="E270">
            <v>20175.71</v>
          </cell>
          <cell r="F270">
            <v>1681.3091666666667</v>
          </cell>
          <cell r="G270">
            <v>387.99740767236671</v>
          </cell>
          <cell r="H270">
            <v>77.599481534473341</v>
          </cell>
          <cell r="I270">
            <v>20175.71</v>
          </cell>
          <cell r="J270">
            <v>1681.3091666666667</v>
          </cell>
          <cell r="K270">
            <v>387.99740767236671</v>
          </cell>
          <cell r="L270">
            <v>77.599481534473341</v>
          </cell>
          <cell r="M270" t="str">
            <v>..</v>
          </cell>
          <cell r="N270" t="str">
            <v>..</v>
          </cell>
          <cell r="O270" t="str">
            <v>..</v>
          </cell>
          <cell r="P270" t="str">
            <v>..</v>
          </cell>
          <cell r="Q270" t="str">
            <v>..</v>
          </cell>
          <cell r="R270" t="str">
            <v>..</v>
          </cell>
          <cell r="S270" t="str">
            <v>..</v>
          </cell>
          <cell r="T270" t="str">
            <v>..</v>
          </cell>
          <cell r="U270" t="str">
            <v>..</v>
          </cell>
          <cell r="V270">
            <v>78</v>
          </cell>
          <cell r="W270">
            <v>8.6660000000000004</v>
          </cell>
          <cell r="X270">
            <v>69.334000000000003</v>
          </cell>
          <cell r="Y270" t="str">
            <v>-</v>
          </cell>
          <cell r="Z270" t="str">
            <v>Two months non-transferable parental entitlement . Parental/child care benefit is a family entitlement - assumed the rest is used by the mother</v>
          </cell>
          <cell r="AA270" t="str">
            <v>-</v>
          </cell>
          <cell r="AB270" t="str">
            <v>-</v>
          </cell>
          <cell r="AC270">
            <v>8.6660000000000004</v>
          </cell>
          <cell r="AD270">
            <v>0.6</v>
          </cell>
          <cell r="AE270" t="str">
            <v>-</v>
          </cell>
          <cell r="AF270" t="str">
            <v>-</v>
          </cell>
          <cell r="AG270" t="str">
            <v>-</v>
          </cell>
          <cell r="AH270" t="str">
            <v>-</v>
          </cell>
          <cell r="AI270" t="str">
            <v>-</v>
          </cell>
          <cell r="AJ270" t="str">
            <v>-</v>
          </cell>
          <cell r="AK270" t="str">
            <v>-</v>
          </cell>
          <cell r="AL270" t="str">
            <v>-</v>
          </cell>
          <cell r="AM270" t="str">
            <v>-</v>
          </cell>
          <cell r="AN270" t="str">
            <v>-</v>
          </cell>
          <cell r="AO270" t="str">
            <v>-</v>
          </cell>
          <cell r="AP270" t="str">
            <v>-</v>
          </cell>
          <cell r="AQ270" t="str">
            <v>-</v>
          </cell>
          <cell r="AR270" t="str">
            <v>-</v>
          </cell>
          <cell r="AS270" t="str">
            <v>-</v>
          </cell>
          <cell r="AT270" t="str">
            <v>-</v>
          </cell>
          <cell r="AU270" t="str">
            <v>-</v>
          </cell>
          <cell r="AV270" t="str">
            <v>-</v>
          </cell>
          <cell r="AW270" t="str">
            <v>-</v>
          </cell>
          <cell r="AX270" t="str">
            <v>-</v>
          </cell>
          <cell r="AY270" t="str">
            <v>-</v>
          </cell>
          <cell r="AZ270" t="str">
            <v>-</v>
          </cell>
          <cell r="BA270" t="str">
            <v>-</v>
          </cell>
          <cell r="BB270" t="str">
            <v>-</v>
          </cell>
          <cell r="BC270" t="str">
            <v>-</v>
          </cell>
          <cell r="BD270" t="str">
            <v>-</v>
          </cell>
          <cell r="BE270" t="str">
            <v>-</v>
          </cell>
          <cell r="BF270" t="str">
            <v>-</v>
          </cell>
          <cell r="BG270" t="str">
            <v>-</v>
          </cell>
          <cell r="BH270" t="str">
            <v>-</v>
          </cell>
          <cell r="BI270" t="str">
            <v>-</v>
          </cell>
          <cell r="BJ270" t="str">
            <v>-</v>
          </cell>
          <cell r="BK270" t="str">
            <v>-</v>
          </cell>
          <cell r="BL270" t="str">
            <v>-</v>
          </cell>
          <cell r="BM270">
            <v>0.6</v>
          </cell>
          <cell r="BN270">
            <v>6.6661538461538467E-2</v>
          </cell>
          <cell r="BO270" t="str">
            <v>-</v>
          </cell>
          <cell r="BP270" t="str">
            <v>-</v>
          </cell>
          <cell r="BQ270">
            <v>12105.425999999999</v>
          </cell>
          <cell r="BR270">
            <v>1008.7855</v>
          </cell>
          <cell r="BS270">
            <v>232.79844460342002</v>
          </cell>
          <cell r="BT270">
            <v>46.559688920684003</v>
          </cell>
        </row>
        <row r="271">
          <cell r="A271" t="str">
            <v>Latvia2025100 / 100</v>
          </cell>
          <cell r="B271" t="str">
            <v>Latvia</v>
          </cell>
          <cell r="C271">
            <v>2025</v>
          </cell>
          <cell r="D271" t="str">
            <v>100 / 100</v>
          </cell>
          <cell r="E271">
            <v>20175.71</v>
          </cell>
          <cell r="F271">
            <v>1681.3091666666667</v>
          </cell>
          <cell r="G271">
            <v>387.99740767236671</v>
          </cell>
          <cell r="H271">
            <v>77.599481534473341</v>
          </cell>
          <cell r="I271">
            <v>20175.71</v>
          </cell>
          <cell r="J271">
            <v>1681.3091666666667</v>
          </cell>
          <cell r="K271">
            <v>387.99740767236671</v>
          </cell>
          <cell r="L271">
            <v>77.599481534473341</v>
          </cell>
          <cell r="M271" t="str">
            <v>..</v>
          </cell>
          <cell r="N271" t="str">
            <v>..</v>
          </cell>
          <cell r="O271" t="str">
            <v>..</v>
          </cell>
          <cell r="P271" t="str">
            <v>..</v>
          </cell>
          <cell r="Q271" t="str">
            <v>..</v>
          </cell>
          <cell r="R271" t="str">
            <v>..</v>
          </cell>
          <cell r="S271" t="str">
            <v>..</v>
          </cell>
          <cell r="T271" t="str">
            <v>..</v>
          </cell>
          <cell r="U271" t="str">
            <v>..</v>
          </cell>
          <cell r="V271">
            <v>78</v>
          </cell>
          <cell r="W271">
            <v>8.6660000000000004</v>
          </cell>
          <cell r="X271">
            <v>69.334000000000003</v>
          </cell>
          <cell r="Y271" t="str">
            <v>-</v>
          </cell>
          <cell r="Z271" t="str">
            <v>Two months non-transferable parental entitlement . Parental/child care benefit is a family entitlement - assumed the rest is used by the mother</v>
          </cell>
          <cell r="AA271" t="str">
            <v>-</v>
          </cell>
          <cell r="AB271" t="str">
            <v>-</v>
          </cell>
          <cell r="AC271">
            <v>8.6660000000000004</v>
          </cell>
          <cell r="AD271">
            <v>0.6</v>
          </cell>
          <cell r="AE271" t="str">
            <v>-</v>
          </cell>
          <cell r="AF271" t="str">
            <v>-</v>
          </cell>
          <cell r="AG271" t="str">
            <v>-</v>
          </cell>
          <cell r="AH271" t="str">
            <v>-</v>
          </cell>
          <cell r="AI271" t="str">
            <v>-</v>
          </cell>
          <cell r="AJ271" t="str">
            <v>-</v>
          </cell>
          <cell r="AK271" t="str">
            <v>-</v>
          </cell>
          <cell r="AL271" t="str">
            <v>-</v>
          </cell>
          <cell r="AM271" t="str">
            <v>-</v>
          </cell>
          <cell r="AN271" t="str">
            <v>-</v>
          </cell>
          <cell r="AO271" t="str">
            <v>-</v>
          </cell>
          <cell r="AP271" t="str">
            <v>-</v>
          </cell>
          <cell r="AQ271" t="str">
            <v>-</v>
          </cell>
          <cell r="AR271" t="str">
            <v>-</v>
          </cell>
          <cell r="AS271" t="str">
            <v>-</v>
          </cell>
          <cell r="AT271" t="str">
            <v>-</v>
          </cell>
          <cell r="AU271" t="str">
            <v>-</v>
          </cell>
          <cell r="AV271" t="str">
            <v>-</v>
          </cell>
          <cell r="AW271" t="str">
            <v>-</v>
          </cell>
          <cell r="AX271" t="str">
            <v>-</v>
          </cell>
          <cell r="AY271" t="str">
            <v>-</v>
          </cell>
          <cell r="AZ271" t="str">
            <v>-</v>
          </cell>
          <cell r="BA271" t="str">
            <v>-</v>
          </cell>
          <cell r="BB271" t="str">
            <v>-</v>
          </cell>
          <cell r="BC271" t="str">
            <v>-</v>
          </cell>
          <cell r="BD271" t="str">
            <v>-</v>
          </cell>
          <cell r="BE271" t="str">
            <v>-</v>
          </cell>
          <cell r="BF271" t="str">
            <v>-</v>
          </cell>
          <cell r="BG271" t="str">
            <v>-</v>
          </cell>
          <cell r="BH271" t="str">
            <v>-</v>
          </cell>
          <cell r="BI271" t="str">
            <v>-</v>
          </cell>
          <cell r="BJ271" t="str">
            <v>-</v>
          </cell>
          <cell r="BK271" t="str">
            <v>-</v>
          </cell>
          <cell r="BL271" t="str">
            <v>-</v>
          </cell>
          <cell r="BM271">
            <v>0.6</v>
          </cell>
          <cell r="BN271">
            <v>6.6661538461538467E-2</v>
          </cell>
          <cell r="BO271" t="str">
            <v>-</v>
          </cell>
          <cell r="BP271" t="str">
            <v>-</v>
          </cell>
          <cell r="BQ271">
            <v>12105.425999999999</v>
          </cell>
          <cell r="BR271">
            <v>1008.7855</v>
          </cell>
          <cell r="BS271">
            <v>232.79844460342002</v>
          </cell>
          <cell r="BT271">
            <v>46.559688920684003</v>
          </cell>
        </row>
        <row r="272">
          <cell r="A272" t="str">
            <v>Lithuania2014100 / 100</v>
          </cell>
          <cell r="B272" t="str">
            <v>Lithuania</v>
          </cell>
          <cell r="C272">
            <v>2014</v>
          </cell>
          <cell r="D272" t="str">
            <v>100 / 100</v>
          </cell>
          <cell r="E272">
            <v>28023.616000000002</v>
          </cell>
          <cell r="F272">
            <v>2335.3013333333333</v>
          </cell>
          <cell r="G272">
            <v>538.9198378449064</v>
          </cell>
          <cell r="H272">
            <v>107.78396756898128</v>
          </cell>
          <cell r="I272">
            <v>28023.616000000002</v>
          </cell>
          <cell r="J272">
            <v>2335.3013333333333</v>
          </cell>
          <cell r="K272">
            <v>538.9198378449064</v>
          </cell>
          <cell r="L272">
            <v>107.78396756898128</v>
          </cell>
          <cell r="M272">
            <v>21699.0272</v>
          </cell>
          <cell r="N272">
            <v>1808.2522666666666</v>
          </cell>
          <cell r="O272">
            <v>417.29219455534269</v>
          </cell>
          <cell r="P272">
            <v>83.458438911068541</v>
          </cell>
          <cell r="Q272">
            <v>21699.0272</v>
          </cell>
          <cell r="R272">
            <v>1808.2522666666666</v>
          </cell>
          <cell r="S272">
            <v>417.29219455534269</v>
          </cell>
          <cell r="T272">
            <v>83.458438911068541</v>
          </cell>
          <cell r="U272" t="str">
            <v>..</v>
          </cell>
          <cell r="V272">
            <v>0</v>
          </cell>
          <cell r="W272">
            <v>0</v>
          </cell>
          <cell r="X272">
            <v>0</v>
          </cell>
          <cell r="Y272" t="str">
            <v>-</v>
          </cell>
          <cell r="Z272" t="str">
            <v>No statutory entitlement</v>
          </cell>
          <cell r="AA272" t="str">
            <v>-</v>
          </cell>
          <cell r="AB272" t="str">
            <v>-</v>
          </cell>
          <cell r="AC272" t="str">
            <v>-</v>
          </cell>
          <cell r="AD272" t="str">
            <v>-</v>
          </cell>
          <cell r="AE272" t="str">
            <v>-</v>
          </cell>
          <cell r="AF272" t="str">
            <v>-</v>
          </cell>
          <cell r="AG272" t="str">
            <v>-</v>
          </cell>
          <cell r="AH272" t="str">
            <v>-</v>
          </cell>
          <cell r="AI272" t="str">
            <v>-</v>
          </cell>
          <cell r="AJ272" t="str">
            <v>-</v>
          </cell>
          <cell r="AK272" t="str">
            <v>-</v>
          </cell>
          <cell r="AL272" t="str">
            <v>-</v>
          </cell>
          <cell r="AM272" t="str">
            <v>-</v>
          </cell>
          <cell r="AN272" t="str">
            <v>-</v>
          </cell>
          <cell r="AO272" t="str">
            <v>-</v>
          </cell>
          <cell r="AP272" t="str">
            <v>-</v>
          </cell>
          <cell r="AQ272" t="str">
            <v>-</v>
          </cell>
          <cell r="AR272" t="str">
            <v>-</v>
          </cell>
          <cell r="AS272" t="str">
            <v>-</v>
          </cell>
          <cell r="AT272" t="str">
            <v>-</v>
          </cell>
          <cell r="AU272" t="str">
            <v>-</v>
          </cell>
          <cell r="AV272" t="str">
            <v>-</v>
          </cell>
          <cell r="AW272" t="str">
            <v>-</v>
          </cell>
          <cell r="AX272" t="str">
            <v>-</v>
          </cell>
          <cell r="AY272" t="str">
            <v>-</v>
          </cell>
          <cell r="AZ272" t="str">
            <v>-</v>
          </cell>
          <cell r="BA272" t="str">
            <v>-</v>
          </cell>
          <cell r="BB272" t="str">
            <v>-</v>
          </cell>
          <cell r="BC272" t="str">
            <v>-</v>
          </cell>
          <cell r="BD272" t="str">
            <v>-</v>
          </cell>
          <cell r="BE272" t="str">
            <v>-</v>
          </cell>
          <cell r="BF272" t="str">
            <v>-</v>
          </cell>
          <cell r="BG272" t="str">
            <v>-</v>
          </cell>
          <cell r="BH272" t="str">
            <v>-</v>
          </cell>
          <cell r="BI272" t="str">
            <v>-</v>
          </cell>
          <cell r="BJ272" t="str">
            <v>-</v>
          </cell>
          <cell r="BK272" t="str">
            <v>-</v>
          </cell>
          <cell r="BL272" t="str">
            <v>-</v>
          </cell>
          <cell r="BM272">
            <v>0</v>
          </cell>
          <cell r="BN272">
            <v>0</v>
          </cell>
          <cell r="BO272">
            <v>0</v>
          </cell>
          <cell r="BP272">
            <v>0</v>
          </cell>
          <cell r="BQ272">
            <v>0</v>
          </cell>
          <cell r="BR272">
            <v>0</v>
          </cell>
          <cell r="BS272">
            <v>0</v>
          </cell>
          <cell r="BT272">
            <v>0</v>
          </cell>
        </row>
        <row r="273">
          <cell r="A273" t="str">
            <v>Lithuania2015100 / 100</v>
          </cell>
          <cell r="B273" t="str">
            <v>Lithuania</v>
          </cell>
          <cell r="C273">
            <v>2015</v>
          </cell>
          <cell r="D273" t="str">
            <v>100 / 100</v>
          </cell>
          <cell r="E273">
            <v>8623.2000000000007</v>
          </cell>
          <cell r="F273">
            <v>718.6</v>
          </cell>
          <cell r="G273">
            <v>165.83204486188353</v>
          </cell>
          <cell r="H273">
            <v>33.166408972376708</v>
          </cell>
          <cell r="I273">
            <v>8623.2000000000007</v>
          </cell>
          <cell r="J273">
            <v>718.6</v>
          </cell>
          <cell r="K273">
            <v>165.83204486188353</v>
          </cell>
          <cell r="L273">
            <v>33.166408972376708</v>
          </cell>
          <cell r="M273">
            <v>6651.8472000000011</v>
          </cell>
          <cell r="N273">
            <v>554.32060000000013</v>
          </cell>
          <cell r="O273">
            <v>127.92112247017286</v>
          </cell>
          <cell r="P273">
            <v>25.584224494034572</v>
          </cell>
          <cell r="Q273">
            <v>6651.8472000000011</v>
          </cell>
          <cell r="R273">
            <v>554.32060000000013</v>
          </cell>
          <cell r="S273">
            <v>127.92112247017286</v>
          </cell>
          <cell r="T273">
            <v>25.584224494034572</v>
          </cell>
          <cell r="U273" t="str">
            <v>..</v>
          </cell>
          <cell r="V273">
            <v>0</v>
          </cell>
          <cell r="W273">
            <v>0</v>
          </cell>
          <cell r="X273">
            <v>0</v>
          </cell>
          <cell r="Y273" t="str">
            <v>-</v>
          </cell>
          <cell r="Z273" t="str">
            <v>No statutory entitlement</v>
          </cell>
          <cell r="AA273" t="str">
            <v>-</v>
          </cell>
          <cell r="AB273" t="str">
            <v>-</v>
          </cell>
          <cell r="AC273" t="str">
            <v>-</v>
          </cell>
          <cell r="AD273" t="str">
            <v>-</v>
          </cell>
          <cell r="AE273" t="str">
            <v>-</v>
          </cell>
          <cell r="AF273" t="str">
            <v>-</v>
          </cell>
          <cell r="AG273" t="str">
            <v>-</v>
          </cell>
          <cell r="AH273" t="str">
            <v>-</v>
          </cell>
          <cell r="AI273" t="str">
            <v>-</v>
          </cell>
          <cell r="AJ273" t="str">
            <v>-</v>
          </cell>
          <cell r="AK273" t="str">
            <v>-</v>
          </cell>
          <cell r="AL273" t="str">
            <v>-</v>
          </cell>
          <cell r="AM273" t="str">
            <v>-</v>
          </cell>
          <cell r="AN273" t="str">
            <v>-</v>
          </cell>
          <cell r="AO273" t="str">
            <v>-</v>
          </cell>
          <cell r="AP273" t="str">
            <v>-</v>
          </cell>
          <cell r="AQ273" t="str">
            <v>-</v>
          </cell>
          <cell r="AR273" t="str">
            <v>-</v>
          </cell>
          <cell r="AS273" t="str">
            <v>-</v>
          </cell>
          <cell r="AT273" t="str">
            <v>-</v>
          </cell>
          <cell r="AU273" t="str">
            <v>-</v>
          </cell>
          <cell r="AV273" t="str">
            <v>-</v>
          </cell>
          <cell r="AW273" t="str">
            <v>-</v>
          </cell>
          <cell r="AX273" t="str">
            <v>-</v>
          </cell>
          <cell r="AY273" t="str">
            <v>-</v>
          </cell>
          <cell r="AZ273" t="str">
            <v>-</v>
          </cell>
          <cell r="BA273" t="str">
            <v>-</v>
          </cell>
          <cell r="BB273" t="str">
            <v>-</v>
          </cell>
          <cell r="BC273" t="str">
            <v>-</v>
          </cell>
          <cell r="BD273" t="str">
            <v>-</v>
          </cell>
          <cell r="BE273" t="str">
            <v>-</v>
          </cell>
          <cell r="BF273" t="str">
            <v>-</v>
          </cell>
          <cell r="BG273" t="str">
            <v>-</v>
          </cell>
          <cell r="BH273" t="str">
            <v>-</v>
          </cell>
          <cell r="BI273" t="str">
            <v>-</v>
          </cell>
          <cell r="BJ273" t="str">
            <v>-</v>
          </cell>
          <cell r="BK273" t="str">
            <v>-</v>
          </cell>
          <cell r="BL273" t="str">
            <v>-</v>
          </cell>
          <cell r="BM273">
            <v>0</v>
          </cell>
          <cell r="BN273">
            <v>0</v>
          </cell>
          <cell r="BO273">
            <v>0</v>
          </cell>
          <cell r="BP273">
            <v>0</v>
          </cell>
          <cell r="BQ273">
            <v>0</v>
          </cell>
          <cell r="BR273">
            <v>0</v>
          </cell>
          <cell r="BS273">
            <v>0</v>
          </cell>
          <cell r="BT273">
            <v>0</v>
          </cell>
        </row>
        <row r="274">
          <cell r="A274" t="str">
            <v>Lithuania2016100 / 100</v>
          </cell>
          <cell r="B274" t="str">
            <v>Lithuania</v>
          </cell>
          <cell r="C274">
            <v>2016</v>
          </cell>
          <cell r="D274" t="str">
            <v>100 / 100</v>
          </cell>
          <cell r="E274">
            <v>9369.6</v>
          </cell>
          <cell r="F274">
            <v>780.80000000000007</v>
          </cell>
          <cell r="G274">
            <v>180.18600143078024</v>
          </cell>
          <cell r="H274">
            <v>36.03720028615605</v>
          </cell>
          <cell r="I274">
            <v>9369.6</v>
          </cell>
          <cell r="J274">
            <v>780.80000000000007</v>
          </cell>
          <cell r="K274">
            <v>180.18600143078024</v>
          </cell>
          <cell r="L274">
            <v>36.03720028615605</v>
          </cell>
          <cell r="M274">
            <v>7217.2464</v>
          </cell>
          <cell r="N274">
            <v>601.43719999999996</v>
          </cell>
          <cell r="O274">
            <v>138.79426764821267</v>
          </cell>
          <cell r="P274">
            <v>27.758853529642533</v>
          </cell>
          <cell r="Q274">
            <v>7217.2464</v>
          </cell>
          <cell r="R274">
            <v>601.43719999999996</v>
          </cell>
          <cell r="S274">
            <v>138.79426764821267</v>
          </cell>
          <cell r="T274">
            <v>27.758853529642533</v>
          </cell>
          <cell r="U274" t="str">
            <v>..</v>
          </cell>
          <cell r="V274">
            <v>0</v>
          </cell>
          <cell r="W274">
            <v>0</v>
          </cell>
          <cell r="X274">
            <v>0</v>
          </cell>
          <cell r="Y274" t="str">
            <v>-</v>
          </cell>
          <cell r="Z274" t="str">
            <v>No statutory entitlement</v>
          </cell>
          <cell r="AA274" t="str">
            <v>-</v>
          </cell>
          <cell r="AB274" t="str">
            <v>-</v>
          </cell>
          <cell r="AC274" t="str">
            <v>-</v>
          </cell>
          <cell r="AD274" t="str">
            <v>-</v>
          </cell>
          <cell r="AE274" t="str">
            <v>-</v>
          </cell>
          <cell r="AF274" t="str">
            <v>-</v>
          </cell>
          <cell r="AG274" t="str">
            <v>-</v>
          </cell>
          <cell r="AH274" t="str">
            <v>-</v>
          </cell>
          <cell r="AI274" t="str">
            <v>-</v>
          </cell>
          <cell r="AJ274" t="str">
            <v>-</v>
          </cell>
          <cell r="AK274" t="str">
            <v>-</v>
          </cell>
          <cell r="AL274" t="str">
            <v>-</v>
          </cell>
          <cell r="AM274" t="str">
            <v>-</v>
          </cell>
          <cell r="AN274" t="str">
            <v>-</v>
          </cell>
          <cell r="AO274" t="str">
            <v>-</v>
          </cell>
          <cell r="AP274" t="str">
            <v>-</v>
          </cell>
          <cell r="AQ274" t="str">
            <v>-</v>
          </cell>
          <cell r="AR274" t="str">
            <v>-</v>
          </cell>
          <cell r="AS274" t="str">
            <v>-</v>
          </cell>
          <cell r="AT274" t="str">
            <v>-</v>
          </cell>
          <cell r="AU274" t="str">
            <v>-</v>
          </cell>
          <cell r="AV274" t="str">
            <v>-</v>
          </cell>
          <cell r="AW274" t="str">
            <v>-</v>
          </cell>
          <cell r="AX274" t="str">
            <v>-</v>
          </cell>
          <cell r="AY274" t="str">
            <v>-</v>
          </cell>
          <cell r="AZ274" t="str">
            <v>-</v>
          </cell>
          <cell r="BA274" t="str">
            <v>-</v>
          </cell>
          <cell r="BB274" t="str">
            <v>-</v>
          </cell>
          <cell r="BC274" t="str">
            <v>-</v>
          </cell>
          <cell r="BD274" t="str">
            <v>-</v>
          </cell>
          <cell r="BE274" t="str">
            <v>-</v>
          </cell>
          <cell r="BF274" t="str">
            <v>-</v>
          </cell>
          <cell r="BG274" t="str">
            <v>-</v>
          </cell>
          <cell r="BH274" t="str">
            <v>-</v>
          </cell>
          <cell r="BI274" t="str">
            <v>-</v>
          </cell>
          <cell r="BJ274" t="str">
            <v>-</v>
          </cell>
          <cell r="BK274" t="str">
            <v>-</v>
          </cell>
          <cell r="BL274" t="str">
            <v>-</v>
          </cell>
          <cell r="BM274">
            <v>0</v>
          </cell>
          <cell r="BN274">
            <v>0</v>
          </cell>
          <cell r="BO274">
            <v>0</v>
          </cell>
          <cell r="BP274">
            <v>0</v>
          </cell>
          <cell r="BQ274">
            <v>0</v>
          </cell>
          <cell r="BR274">
            <v>0</v>
          </cell>
          <cell r="BS274">
            <v>0</v>
          </cell>
          <cell r="BT274">
            <v>0</v>
          </cell>
        </row>
        <row r="275">
          <cell r="A275" t="str">
            <v>Lithuania2017100 / 100</v>
          </cell>
          <cell r="B275" t="str">
            <v>Lithuania</v>
          </cell>
          <cell r="C275">
            <v>2017</v>
          </cell>
          <cell r="D275" t="str">
            <v>100 / 100</v>
          </cell>
          <cell r="E275">
            <v>10215.6</v>
          </cell>
          <cell r="F275">
            <v>851.30000000000007</v>
          </cell>
          <cell r="G275">
            <v>196.45535734890268</v>
          </cell>
          <cell r="H275">
            <v>39.291071469780533</v>
          </cell>
          <cell r="I275">
            <v>10215.6</v>
          </cell>
          <cell r="J275">
            <v>851.30000000000007</v>
          </cell>
          <cell r="K275">
            <v>196.45535734890268</v>
          </cell>
          <cell r="L275">
            <v>39.291071469780533</v>
          </cell>
          <cell r="M275">
            <v>7897.6859999999997</v>
          </cell>
          <cell r="N275">
            <v>658.14049999999997</v>
          </cell>
          <cell r="O275">
            <v>151.87974522880944</v>
          </cell>
          <cell r="P275">
            <v>30.375949045761889</v>
          </cell>
          <cell r="Q275">
            <v>7897.6859999999997</v>
          </cell>
          <cell r="R275">
            <v>658.14049999999997</v>
          </cell>
          <cell r="S275">
            <v>151.87974522880944</v>
          </cell>
          <cell r="T275">
            <v>30.375949045761889</v>
          </cell>
          <cell r="U275" t="str">
            <v>..</v>
          </cell>
          <cell r="V275">
            <v>0</v>
          </cell>
          <cell r="W275">
            <v>0</v>
          </cell>
          <cell r="X275">
            <v>0</v>
          </cell>
          <cell r="Y275" t="str">
            <v>-</v>
          </cell>
          <cell r="Z275" t="str">
            <v>No statutory entitlement</v>
          </cell>
          <cell r="AA275" t="str">
            <v>-</v>
          </cell>
          <cell r="AB275" t="str">
            <v>-</v>
          </cell>
          <cell r="AC275" t="str">
            <v>-</v>
          </cell>
          <cell r="AD275" t="str">
            <v>-</v>
          </cell>
          <cell r="AE275" t="str">
            <v>-</v>
          </cell>
          <cell r="AF275" t="str">
            <v>-</v>
          </cell>
          <cell r="AG275" t="str">
            <v>-</v>
          </cell>
          <cell r="AH275" t="str">
            <v>-</v>
          </cell>
          <cell r="AI275" t="str">
            <v>-</v>
          </cell>
          <cell r="AJ275" t="str">
            <v>-</v>
          </cell>
          <cell r="AK275" t="str">
            <v>-</v>
          </cell>
          <cell r="AL275" t="str">
            <v>-</v>
          </cell>
          <cell r="AM275" t="str">
            <v>-</v>
          </cell>
          <cell r="AN275" t="str">
            <v>-</v>
          </cell>
          <cell r="AO275" t="str">
            <v>-</v>
          </cell>
          <cell r="AP275" t="str">
            <v>-</v>
          </cell>
          <cell r="AQ275" t="str">
            <v>-</v>
          </cell>
          <cell r="AR275" t="str">
            <v>-</v>
          </cell>
          <cell r="AS275" t="str">
            <v>-</v>
          </cell>
          <cell r="AT275" t="str">
            <v>-</v>
          </cell>
          <cell r="AU275" t="str">
            <v>-</v>
          </cell>
          <cell r="AV275" t="str">
            <v>-</v>
          </cell>
          <cell r="AW275" t="str">
            <v>-</v>
          </cell>
          <cell r="AX275" t="str">
            <v>-</v>
          </cell>
          <cell r="AY275" t="str">
            <v>-</v>
          </cell>
          <cell r="AZ275" t="str">
            <v>-</v>
          </cell>
          <cell r="BA275" t="str">
            <v>-</v>
          </cell>
          <cell r="BB275" t="str">
            <v>-</v>
          </cell>
          <cell r="BC275" t="str">
            <v>-</v>
          </cell>
          <cell r="BD275" t="str">
            <v>-</v>
          </cell>
          <cell r="BE275" t="str">
            <v>-</v>
          </cell>
          <cell r="BF275" t="str">
            <v>-</v>
          </cell>
          <cell r="BG275" t="str">
            <v>-</v>
          </cell>
          <cell r="BH275" t="str">
            <v>-</v>
          </cell>
          <cell r="BI275" t="str">
            <v>-</v>
          </cell>
          <cell r="BJ275" t="str">
            <v>-</v>
          </cell>
          <cell r="BK275" t="str">
            <v>-</v>
          </cell>
          <cell r="BL275" t="str">
            <v>-</v>
          </cell>
          <cell r="BM275">
            <v>0</v>
          </cell>
          <cell r="BN275">
            <v>0</v>
          </cell>
          <cell r="BO275">
            <v>0</v>
          </cell>
          <cell r="BP275">
            <v>0</v>
          </cell>
          <cell r="BQ275">
            <v>0</v>
          </cell>
          <cell r="BR275">
            <v>0</v>
          </cell>
          <cell r="BS275">
            <v>0</v>
          </cell>
          <cell r="BT275">
            <v>0</v>
          </cell>
        </row>
        <row r="276">
          <cell r="A276" t="str">
            <v>Lithuania2018100 / 100</v>
          </cell>
          <cell r="B276" t="str">
            <v>Lithuania</v>
          </cell>
          <cell r="C276">
            <v>2018</v>
          </cell>
          <cell r="D276" t="str">
            <v>100 / 100</v>
          </cell>
          <cell r="E276">
            <v>11163</v>
          </cell>
          <cell r="F276">
            <v>930.25</v>
          </cell>
          <cell r="G276">
            <v>214.67472826714049</v>
          </cell>
          <cell r="H276">
            <v>42.934945653428102</v>
          </cell>
          <cell r="I276">
            <v>11163</v>
          </cell>
          <cell r="J276">
            <v>930.25</v>
          </cell>
          <cell r="K276">
            <v>214.67472826714049</v>
          </cell>
          <cell r="L276">
            <v>42.934945653428102</v>
          </cell>
          <cell r="M276">
            <v>8690.6550000000007</v>
          </cell>
          <cell r="N276">
            <v>724.22125000000005</v>
          </cell>
          <cell r="O276">
            <v>167.12926637897215</v>
          </cell>
          <cell r="P276">
            <v>33.425853275794431</v>
          </cell>
          <cell r="Q276">
            <v>8690.6550000000007</v>
          </cell>
          <cell r="R276">
            <v>724.22125000000005</v>
          </cell>
          <cell r="S276">
            <v>167.12926637897215</v>
          </cell>
          <cell r="T276">
            <v>33.425853275794431</v>
          </cell>
          <cell r="U276" t="str">
            <v>..</v>
          </cell>
          <cell r="V276">
            <v>0</v>
          </cell>
          <cell r="W276">
            <v>0</v>
          </cell>
          <cell r="X276">
            <v>0</v>
          </cell>
          <cell r="Y276" t="str">
            <v>-</v>
          </cell>
          <cell r="Z276" t="str">
            <v>No statutory entitlement</v>
          </cell>
          <cell r="AA276" t="str">
            <v>-</v>
          </cell>
          <cell r="AB276" t="str">
            <v>-</v>
          </cell>
          <cell r="AC276" t="str">
            <v>-</v>
          </cell>
          <cell r="AD276" t="str">
            <v>-</v>
          </cell>
          <cell r="AE276" t="str">
            <v>-</v>
          </cell>
          <cell r="AF276" t="str">
            <v>-</v>
          </cell>
          <cell r="AG276" t="str">
            <v>-</v>
          </cell>
          <cell r="AH276" t="str">
            <v>-</v>
          </cell>
          <cell r="AI276" t="str">
            <v>-</v>
          </cell>
          <cell r="AJ276" t="str">
            <v>-</v>
          </cell>
          <cell r="AK276" t="str">
            <v>-</v>
          </cell>
          <cell r="AL276" t="str">
            <v>-</v>
          </cell>
          <cell r="AM276" t="str">
            <v>-</v>
          </cell>
          <cell r="AN276" t="str">
            <v>-</v>
          </cell>
          <cell r="AO276" t="str">
            <v>-</v>
          </cell>
          <cell r="AP276" t="str">
            <v>-</v>
          </cell>
          <cell r="AQ276" t="str">
            <v>-</v>
          </cell>
          <cell r="AR276" t="str">
            <v>-</v>
          </cell>
          <cell r="AS276" t="str">
            <v>-</v>
          </cell>
          <cell r="AT276" t="str">
            <v>-</v>
          </cell>
          <cell r="AU276" t="str">
            <v>-</v>
          </cell>
          <cell r="AV276" t="str">
            <v>-</v>
          </cell>
          <cell r="AW276" t="str">
            <v>-</v>
          </cell>
          <cell r="AX276" t="str">
            <v>-</v>
          </cell>
          <cell r="AY276" t="str">
            <v>-</v>
          </cell>
          <cell r="AZ276" t="str">
            <v>-</v>
          </cell>
          <cell r="BA276" t="str">
            <v>-</v>
          </cell>
          <cell r="BB276" t="str">
            <v>-</v>
          </cell>
          <cell r="BC276" t="str">
            <v>-</v>
          </cell>
          <cell r="BD276" t="str">
            <v>-</v>
          </cell>
          <cell r="BE276" t="str">
            <v>-</v>
          </cell>
          <cell r="BF276" t="str">
            <v>-</v>
          </cell>
          <cell r="BG276" t="str">
            <v>-</v>
          </cell>
          <cell r="BH276" t="str">
            <v>-</v>
          </cell>
          <cell r="BI276" t="str">
            <v>-</v>
          </cell>
          <cell r="BJ276" t="str">
            <v>-</v>
          </cell>
          <cell r="BK276" t="str">
            <v>-</v>
          </cell>
          <cell r="BL276" t="str">
            <v>-</v>
          </cell>
          <cell r="BM276">
            <v>0</v>
          </cell>
          <cell r="BN276">
            <v>0</v>
          </cell>
          <cell r="BO276">
            <v>0</v>
          </cell>
          <cell r="BP276">
            <v>0</v>
          </cell>
          <cell r="BQ276">
            <v>0</v>
          </cell>
          <cell r="BR276">
            <v>0</v>
          </cell>
          <cell r="BS276">
            <v>0</v>
          </cell>
          <cell r="BT276">
            <v>0</v>
          </cell>
        </row>
        <row r="277">
          <cell r="A277" t="str">
            <v>Lithuania2019100 / 100</v>
          </cell>
          <cell r="B277" t="str">
            <v>Lithuania</v>
          </cell>
          <cell r="C277">
            <v>2019</v>
          </cell>
          <cell r="D277" t="str">
            <v>100 / 100</v>
          </cell>
          <cell r="E277">
            <v>15435</v>
          </cell>
          <cell r="F277">
            <v>1286.25</v>
          </cell>
          <cell r="G277">
            <v>296.82920637851061</v>
          </cell>
          <cell r="H277">
            <v>59.365841275702124</v>
          </cell>
          <cell r="I277">
            <v>15435</v>
          </cell>
          <cell r="J277">
            <v>1286.25</v>
          </cell>
          <cell r="K277">
            <v>296.82920637851061</v>
          </cell>
          <cell r="L277">
            <v>59.365841275702124</v>
          </cell>
          <cell r="M277">
            <v>9794.9249999999993</v>
          </cell>
          <cell r="N277">
            <v>816.24374999999998</v>
          </cell>
          <cell r="O277">
            <v>188.36539127224054</v>
          </cell>
          <cell r="P277">
            <v>37.673078254448107</v>
          </cell>
          <cell r="Q277">
            <v>9794.9249999999993</v>
          </cell>
          <cell r="R277">
            <v>816.24374999999998</v>
          </cell>
          <cell r="S277">
            <v>188.36539127224054</v>
          </cell>
          <cell r="T277">
            <v>37.673078254448107</v>
          </cell>
          <cell r="U277" t="str">
            <v>..</v>
          </cell>
          <cell r="V277">
            <v>0</v>
          </cell>
          <cell r="W277">
            <v>0</v>
          </cell>
          <cell r="X277">
            <v>0</v>
          </cell>
          <cell r="Y277" t="str">
            <v>-</v>
          </cell>
          <cell r="Z277" t="str">
            <v>No statutory entitlement</v>
          </cell>
          <cell r="AA277" t="str">
            <v>-</v>
          </cell>
          <cell r="AB277" t="str">
            <v>-</v>
          </cell>
          <cell r="AC277" t="str">
            <v>-</v>
          </cell>
          <cell r="AD277" t="str">
            <v>-</v>
          </cell>
          <cell r="AE277" t="str">
            <v>-</v>
          </cell>
          <cell r="AF277" t="str">
            <v>-</v>
          </cell>
          <cell r="AG277" t="str">
            <v>-</v>
          </cell>
          <cell r="AH277" t="str">
            <v>-</v>
          </cell>
          <cell r="AI277" t="str">
            <v>-</v>
          </cell>
          <cell r="AJ277" t="str">
            <v>-</v>
          </cell>
          <cell r="AK277" t="str">
            <v>-</v>
          </cell>
          <cell r="AL277" t="str">
            <v>-</v>
          </cell>
          <cell r="AM277" t="str">
            <v>-</v>
          </cell>
          <cell r="AN277" t="str">
            <v>-</v>
          </cell>
          <cell r="AO277" t="str">
            <v>-</v>
          </cell>
          <cell r="AP277" t="str">
            <v>-</v>
          </cell>
          <cell r="AQ277" t="str">
            <v>-</v>
          </cell>
          <cell r="AR277" t="str">
            <v>-</v>
          </cell>
          <cell r="AS277" t="str">
            <v>-</v>
          </cell>
          <cell r="AT277" t="str">
            <v>-</v>
          </cell>
          <cell r="AU277" t="str">
            <v>-</v>
          </cell>
          <cell r="AV277" t="str">
            <v>-</v>
          </cell>
          <cell r="AW277" t="str">
            <v>-</v>
          </cell>
          <cell r="AX277" t="str">
            <v>-</v>
          </cell>
          <cell r="AY277" t="str">
            <v>-</v>
          </cell>
          <cell r="AZ277" t="str">
            <v>-</v>
          </cell>
          <cell r="BA277" t="str">
            <v>-</v>
          </cell>
          <cell r="BB277" t="str">
            <v>-</v>
          </cell>
          <cell r="BC277" t="str">
            <v>-</v>
          </cell>
          <cell r="BD277" t="str">
            <v>-</v>
          </cell>
          <cell r="BE277" t="str">
            <v>-</v>
          </cell>
          <cell r="BF277" t="str">
            <v>-</v>
          </cell>
          <cell r="BG277" t="str">
            <v>-</v>
          </cell>
          <cell r="BH277" t="str">
            <v>-</v>
          </cell>
          <cell r="BI277" t="str">
            <v>-</v>
          </cell>
          <cell r="BJ277" t="str">
            <v>-</v>
          </cell>
          <cell r="BK277" t="str">
            <v>-</v>
          </cell>
          <cell r="BL277" t="str">
            <v>-</v>
          </cell>
          <cell r="BM277">
            <v>0</v>
          </cell>
          <cell r="BN277">
            <v>0</v>
          </cell>
          <cell r="BO277">
            <v>0</v>
          </cell>
          <cell r="BP277">
            <v>0</v>
          </cell>
          <cell r="BQ277">
            <v>0</v>
          </cell>
          <cell r="BR277">
            <v>0</v>
          </cell>
          <cell r="BS277">
            <v>0</v>
          </cell>
          <cell r="BT277">
            <v>0</v>
          </cell>
        </row>
        <row r="278">
          <cell r="A278" t="str">
            <v>Lithuania2020100 / 100</v>
          </cell>
          <cell r="B278" t="str">
            <v>Lithuania</v>
          </cell>
          <cell r="C278">
            <v>2020</v>
          </cell>
          <cell r="D278" t="str">
            <v>100 / 100</v>
          </cell>
          <cell r="E278">
            <v>16844.400000000001</v>
          </cell>
          <cell r="F278">
            <v>1403.7</v>
          </cell>
          <cell r="G278">
            <v>323.93326102508479</v>
          </cell>
          <cell r="H278">
            <v>64.786652205016964</v>
          </cell>
          <cell r="I278">
            <v>16844.400000000001</v>
          </cell>
          <cell r="J278">
            <v>1403.7</v>
          </cell>
          <cell r="K278">
            <v>323.93326102508479</v>
          </cell>
          <cell r="L278">
            <v>64.786652205016964</v>
          </cell>
          <cell r="M278">
            <v>10787.57</v>
          </cell>
          <cell r="N278">
            <v>898.96416666666664</v>
          </cell>
          <cell r="O278">
            <v>207.45486503742333</v>
          </cell>
          <cell r="P278">
            <v>41.490973007484669</v>
          </cell>
          <cell r="Q278">
            <v>10787.57</v>
          </cell>
          <cell r="R278">
            <v>898.96416666666664</v>
          </cell>
          <cell r="S278">
            <v>207.45486503742333</v>
          </cell>
          <cell r="T278">
            <v>41.490973007484669</v>
          </cell>
          <cell r="U278" t="str">
            <v>..</v>
          </cell>
          <cell r="V278">
            <v>0</v>
          </cell>
          <cell r="W278">
            <v>0</v>
          </cell>
          <cell r="X278">
            <v>0</v>
          </cell>
          <cell r="Y278" t="str">
            <v>-</v>
          </cell>
          <cell r="Z278" t="str">
            <v>No statutory entitlement</v>
          </cell>
          <cell r="AA278" t="str">
            <v>-</v>
          </cell>
          <cell r="AB278" t="str">
            <v>-</v>
          </cell>
          <cell r="AC278" t="str">
            <v>-</v>
          </cell>
          <cell r="AD278" t="str">
            <v>-</v>
          </cell>
          <cell r="AE278" t="str">
            <v>-</v>
          </cell>
          <cell r="AF278" t="str">
            <v>-</v>
          </cell>
          <cell r="AG278" t="str">
            <v>-</v>
          </cell>
          <cell r="AH278" t="str">
            <v>-</v>
          </cell>
          <cell r="AI278" t="str">
            <v>-</v>
          </cell>
          <cell r="AJ278" t="str">
            <v>-</v>
          </cell>
          <cell r="AK278" t="str">
            <v>-</v>
          </cell>
          <cell r="AL278" t="str">
            <v>-</v>
          </cell>
          <cell r="AM278" t="str">
            <v>-</v>
          </cell>
          <cell r="AN278" t="str">
            <v>-</v>
          </cell>
          <cell r="AO278" t="str">
            <v>-</v>
          </cell>
          <cell r="AP278" t="str">
            <v>-</v>
          </cell>
          <cell r="AQ278" t="str">
            <v>-</v>
          </cell>
          <cell r="AR278" t="str">
            <v>-</v>
          </cell>
          <cell r="AS278" t="str">
            <v>-</v>
          </cell>
          <cell r="AT278" t="str">
            <v>-</v>
          </cell>
          <cell r="AU278" t="str">
            <v>-</v>
          </cell>
          <cell r="AV278" t="str">
            <v>-</v>
          </cell>
          <cell r="AW278" t="str">
            <v>-</v>
          </cell>
          <cell r="AX278" t="str">
            <v>-</v>
          </cell>
          <cell r="AY278" t="str">
            <v>-</v>
          </cell>
          <cell r="AZ278" t="str">
            <v>-</v>
          </cell>
          <cell r="BA278" t="str">
            <v>-</v>
          </cell>
          <cell r="BB278" t="str">
            <v>-</v>
          </cell>
          <cell r="BC278" t="str">
            <v>-</v>
          </cell>
          <cell r="BD278" t="str">
            <v>-</v>
          </cell>
          <cell r="BE278" t="str">
            <v>-</v>
          </cell>
          <cell r="BF278" t="str">
            <v>-</v>
          </cell>
          <cell r="BG278" t="str">
            <v>-</v>
          </cell>
          <cell r="BH278" t="str">
            <v>-</v>
          </cell>
          <cell r="BI278" t="str">
            <v>-</v>
          </cell>
          <cell r="BJ278" t="str">
            <v>-</v>
          </cell>
          <cell r="BK278" t="str">
            <v>-</v>
          </cell>
          <cell r="BL278" t="str">
            <v>-</v>
          </cell>
          <cell r="BM278">
            <v>0</v>
          </cell>
          <cell r="BN278">
            <v>0</v>
          </cell>
          <cell r="BO278">
            <v>0</v>
          </cell>
          <cell r="BP278">
            <v>0</v>
          </cell>
          <cell r="BQ278">
            <v>0</v>
          </cell>
          <cell r="BR278">
            <v>0</v>
          </cell>
          <cell r="BS278">
            <v>0</v>
          </cell>
          <cell r="BT278">
            <v>0</v>
          </cell>
        </row>
        <row r="279">
          <cell r="A279" t="str">
            <v>Lithuania2021100 / 100</v>
          </cell>
          <cell r="B279" t="str">
            <v>Lithuania</v>
          </cell>
          <cell r="C279">
            <v>2021</v>
          </cell>
          <cell r="D279" t="str">
            <v>100 / 100</v>
          </cell>
          <cell r="E279">
            <v>18560.400000000001</v>
          </cell>
          <cell r="F279">
            <v>1546.7</v>
          </cell>
          <cell r="G279">
            <v>356.93351487319131</v>
          </cell>
          <cell r="H279">
            <v>71.386702974638268</v>
          </cell>
          <cell r="I279">
            <v>18560.400000000001</v>
          </cell>
          <cell r="J279">
            <v>1546.7</v>
          </cell>
          <cell r="K279">
            <v>356.93351487319131</v>
          </cell>
          <cell r="L279">
            <v>71.386702974638268</v>
          </cell>
          <cell r="M279">
            <v>11798.21</v>
          </cell>
          <cell r="N279">
            <v>983.18416666666656</v>
          </cell>
          <cell r="O279">
            <v>226.89039915691654</v>
          </cell>
          <cell r="P279">
            <v>45.37807983138331</v>
          </cell>
          <cell r="Q279">
            <v>11798.21</v>
          </cell>
          <cell r="R279">
            <v>983.18416666666656</v>
          </cell>
          <cell r="S279">
            <v>226.89039915691654</v>
          </cell>
          <cell r="T279">
            <v>45.37807983138331</v>
          </cell>
          <cell r="U279" t="str">
            <v>..</v>
          </cell>
          <cell r="V279">
            <v>0</v>
          </cell>
          <cell r="W279">
            <v>0</v>
          </cell>
          <cell r="X279">
            <v>0</v>
          </cell>
          <cell r="Y279" t="str">
            <v>-</v>
          </cell>
          <cell r="Z279" t="str">
            <v>No statutory entitlement</v>
          </cell>
          <cell r="AA279" t="str">
            <v>-</v>
          </cell>
          <cell r="AB279" t="str">
            <v>-</v>
          </cell>
          <cell r="AC279" t="str">
            <v>-</v>
          </cell>
          <cell r="AD279" t="str">
            <v>-</v>
          </cell>
          <cell r="AE279" t="str">
            <v>-</v>
          </cell>
          <cell r="AF279" t="str">
            <v>-</v>
          </cell>
          <cell r="AG279" t="str">
            <v>-</v>
          </cell>
          <cell r="AH279" t="str">
            <v>-</v>
          </cell>
          <cell r="AI279" t="str">
            <v>-</v>
          </cell>
          <cell r="AJ279" t="str">
            <v>-</v>
          </cell>
          <cell r="AK279" t="str">
            <v>-</v>
          </cell>
          <cell r="AL279" t="str">
            <v>-</v>
          </cell>
          <cell r="AM279" t="str">
            <v>-</v>
          </cell>
          <cell r="AN279" t="str">
            <v>-</v>
          </cell>
          <cell r="AO279" t="str">
            <v>-</v>
          </cell>
          <cell r="AP279" t="str">
            <v>-</v>
          </cell>
          <cell r="AQ279" t="str">
            <v>-</v>
          </cell>
          <cell r="AR279" t="str">
            <v>-</v>
          </cell>
          <cell r="AS279" t="str">
            <v>-</v>
          </cell>
          <cell r="AT279" t="str">
            <v>-</v>
          </cell>
          <cell r="AU279" t="str">
            <v>-</v>
          </cell>
          <cell r="AV279" t="str">
            <v>-</v>
          </cell>
          <cell r="AW279" t="str">
            <v>-</v>
          </cell>
          <cell r="AX279" t="str">
            <v>-</v>
          </cell>
          <cell r="AY279" t="str">
            <v>-</v>
          </cell>
          <cell r="AZ279" t="str">
            <v>-</v>
          </cell>
          <cell r="BA279" t="str">
            <v>-</v>
          </cell>
          <cell r="BB279" t="str">
            <v>-</v>
          </cell>
          <cell r="BC279" t="str">
            <v>-</v>
          </cell>
          <cell r="BD279" t="str">
            <v>-</v>
          </cell>
          <cell r="BE279" t="str">
            <v>-</v>
          </cell>
          <cell r="BF279" t="str">
            <v>-</v>
          </cell>
          <cell r="BG279" t="str">
            <v>-</v>
          </cell>
          <cell r="BH279" t="str">
            <v>-</v>
          </cell>
          <cell r="BI279" t="str">
            <v>-</v>
          </cell>
          <cell r="BJ279" t="str">
            <v>-</v>
          </cell>
          <cell r="BK279" t="str">
            <v>-</v>
          </cell>
          <cell r="BL279" t="str">
            <v>-</v>
          </cell>
          <cell r="BM279">
            <v>0</v>
          </cell>
          <cell r="BN279">
            <v>0</v>
          </cell>
          <cell r="BO279">
            <v>0</v>
          </cell>
          <cell r="BP279">
            <v>0</v>
          </cell>
          <cell r="BQ279">
            <v>0</v>
          </cell>
          <cell r="BR279">
            <v>0</v>
          </cell>
          <cell r="BS279">
            <v>0</v>
          </cell>
          <cell r="BT279">
            <v>0</v>
          </cell>
        </row>
        <row r="280">
          <cell r="A280" t="str">
            <v>Lithuania2022100 / 100</v>
          </cell>
          <cell r="B280" t="str">
            <v>Lithuania</v>
          </cell>
          <cell r="C280">
            <v>2022</v>
          </cell>
          <cell r="D280" t="str">
            <v>100 / 100</v>
          </cell>
          <cell r="E280">
            <v>21195.599999999999</v>
          </cell>
          <cell r="F280">
            <v>1766.3</v>
          </cell>
          <cell r="G280">
            <v>407.61082777559824</v>
          </cell>
          <cell r="H280">
            <v>81.522165555119642</v>
          </cell>
          <cell r="I280">
            <v>21195.599999999999</v>
          </cell>
          <cell r="J280">
            <v>1766.3</v>
          </cell>
          <cell r="K280">
            <v>407.61082777559824</v>
          </cell>
          <cell r="L280">
            <v>81.522165555119642</v>
          </cell>
          <cell r="M280">
            <v>13297.64</v>
          </cell>
          <cell r="N280">
            <v>1108.1366666666665</v>
          </cell>
          <cell r="O280">
            <v>255.72581327548667</v>
          </cell>
          <cell r="P280">
            <v>51.145162655097337</v>
          </cell>
          <cell r="Q280">
            <v>13297.64</v>
          </cell>
          <cell r="R280">
            <v>1108.1366666666665</v>
          </cell>
          <cell r="S280">
            <v>255.72581327548667</v>
          </cell>
          <cell r="T280">
            <v>51.145162655097337</v>
          </cell>
          <cell r="U280" t="str">
            <v>..</v>
          </cell>
          <cell r="V280">
            <v>0</v>
          </cell>
          <cell r="W280">
            <v>0</v>
          </cell>
          <cell r="X280">
            <v>0</v>
          </cell>
          <cell r="Y280" t="str">
            <v>-</v>
          </cell>
          <cell r="Z280" t="str">
            <v>No statutory entitlement</v>
          </cell>
          <cell r="AA280" t="str">
            <v>-</v>
          </cell>
          <cell r="AB280" t="str">
            <v>-</v>
          </cell>
          <cell r="AC280" t="str">
            <v>-</v>
          </cell>
          <cell r="AD280" t="str">
            <v>-</v>
          </cell>
          <cell r="AE280" t="str">
            <v>-</v>
          </cell>
          <cell r="AF280" t="str">
            <v>-</v>
          </cell>
          <cell r="AG280" t="str">
            <v>-</v>
          </cell>
          <cell r="AH280" t="str">
            <v>-</v>
          </cell>
          <cell r="AI280" t="str">
            <v>-</v>
          </cell>
          <cell r="AJ280" t="str">
            <v>-</v>
          </cell>
          <cell r="AK280" t="str">
            <v>-</v>
          </cell>
          <cell r="AL280" t="str">
            <v>-</v>
          </cell>
          <cell r="AM280" t="str">
            <v>-</v>
          </cell>
          <cell r="AN280" t="str">
            <v>-</v>
          </cell>
          <cell r="AO280" t="str">
            <v>-</v>
          </cell>
          <cell r="AP280" t="str">
            <v>-</v>
          </cell>
          <cell r="AQ280" t="str">
            <v>-</v>
          </cell>
          <cell r="AR280" t="str">
            <v>-</v>
          </cell>
          <cell r="AS280" t="str">
            <v>-</v>
          </cell>
          <cell r="AT280" t="str">
            <v>-</v>
          </cell>
          <cell r="AU280" t="str">
            <v>-</v>
          </cell>
          <cell r="AV280" t="str">
            <v>-</v>
          </cell>
          <cell r="AW280" t="str">
            <v>-</v>
          </cell>
          <cell r="AX280" t="str">
            <v>-</v>
          </cell>
          <cell r="AY280" t="str">
            <v>-</v>
          </cell>
          <cell r="AZ280" t="str">
            <v>-</v>
          </cell>
          <cell r="BA280" t="str">
            <v>-</v>
          </cell>
          <cell r="BB280" t="str">
            <v>-</v>
          </cell>
          <cell r="BC280" t="str">
            <v>-</v>
          </cell>
          <cell r="BD280" t="str">
            <v>-</v>
          </cell>
          <cell r="BE280" t="str">
            <v>-</v>
          </cell>
          <cell r="BF280" t="str">
            <v>-</v>
          </cell>
          <cell r="BG280" t="str">
            <v>-</v>
          </cell>
          <cell r="BH280" t="str">
            <v>-</v>
          </cell>
          <cell r="BI280" t="str">
            <v>-</v>
          </cell>
          <cell r="BJ280" t="str">
            <v>-</v>
          </cell>
          <cell r="BK280" t="str">
            <v>-</v>
          </cell>
          <cell r="BL280" t="str">
            <v>-</v>
          </cell>
          <cell r="BM280">
            <v>0</v>
          </cell>
          <cell r="BN280">
            <v>0</v>
          </cell>
          <cell r="BO280">
            <v>0</v>
          </cell>
          <cell r="BP280">
            <v>0</v>
          </cell>
          <cell r="BQ280">
            <v>0</v>
          </cell>
          <cell r="BR280">
            <v>0</v>
          </cell>
          <cell r="BS280">
            <v>0</v>
          </cell>
          <cell r="BT280">
            <v>0</v>
          </cell>
        </row>
        <row r="281">
          <cell r="A281" t="str">
            <v>Lithuania2023100 / 100</v>
          </cell>
          <cell r="B281" t="str">
            <v>Lithuania</v>
          </cell>
          <cell r="C281">
            <v>2023</v>
          </cell>
          <cell r="D281" t="str">
            <v>100 / 100</v>
          </cell>
          <cell r="E281">
            <v>23818.609</v>
          </cell>
          <cell r="F281">
            <v>1984.8840833333334</v>
          </cell>
          <cell r="G281">
            <v>458.05369656689663</v>
          </cell>
          <cell r="H281">
            <v>91.610739313379327</v>
          </cell>
          <cell r="I281">
            <v>23818.609</v>
          </cell>
          <cell r="J281">
            <v>1984.8840833333334</v>
          </cell>
          <cell r="K281">
            <v>458.05369656689663</v>
          </cell>
          <cell r="L281">
            <v>91.610739313379327</v>
          </cell>
          <cell r="M281">
            <v>14783.41</v>
          </cell>
          <cell r="N281">
            <v>1231.9508333333333</v>
          </cell>
          <cell r="O281">
            <v>284.29853306563894</v>
          </cell>
          <cell r="P281">
            <v>56.859706613127784</v>
          </cell>
          <cell r="Q281">
            <v>14783.41</v>
          </cell>
          <cell r="R281">
            <v>1231.9508333333333</v>
          </cell>
          <cell r="S281">
            <v>284.29853306563894</v>
          </cell>
          <cell r="T281">
            <v>56.859706613127784</v>
          </cell>
          <cell r="U281" t="str">
            <v>..</v>
          </cell>
          <cell r="V281">
            <v>8.6660000000000004</v>
          </cell>
          <cell r="W281">
            <v>8.6660000000000004</v>
          </cell>
          <cell r="X281">
            <v>0</v>
          </cell>
          <cell r="Y281" t="str">
            <v>-</v>
          </cell>
          <cell r="Z281" t="str">
            <v>Two months of earmarked paid parental leave, paid at 0.7758 of net earnings</v>
          </cell>
          <cell r="AA281" t="str">
            <v>Net</v>
          </cell>
          <cell r="AB281" t="str">
            <v>Y</v>
          </cell>
          <cell r="AC281">
            <v>8.6660000000000004</v>
          </cell>
          <cell r="AD281">
            <v>0.77580000000000005</v>
          </cell>
          <cell r="AE281">
            <v>3969.7681666666667</v>
          </cell>
          <cell r="AF281" t="str">
            <v>month</v>
          </cell>
          <cell r="AG281">
            <v>294</v>
          </cell>
          <cell r="AH281" t="str">
            <v>month</v>
          </cell>
          <cell r="AI281" t="str">
            <v>-</v>
          </cell>
          <cell r="AJ281" t="str">
            <v>-</v>
          </cell>
          <cell r="AK281" t="str">
            <v>-</v>
          </cell>
          <cell r="AL281" t="str">
            <v>-</v>
          </cell>
          <cell r="AM281" t="str">
            <v>-</v>
          </cell>
          <cell r="AN281" t="str">
            <v>-</v>
          </cell>
          <cell r="AO281" t="str">
            <v>-</v>
          </cell>
          <cell r="AP281" t="str">
            <v>-</v>
          </cell>
          <cell r="AQ281" t="str">
            <v>-</v>
          </cell>
          <cell r="AR281" t="str">
            <v>-</v>
          </cell>
          <cell r="AS281" t="str">
            <v>-</v>
          </cell>
          <cell r="AT281" t="str">
            <v>-</v>
          </cell>
          <cell r="AU281" t="str">
            <v>-</v>
          </cell>
          <cell r="AV281" t="str">
            <v>-</v>
          </cell>
          <cell r="AW281" t="str">
            <v>-</v>
          </cell>
          <cell r="AX281" t="str">
            <v>-</v>
          </cell>
          <cell r="AY281" t="str">
            <v>-</v>
          </cell>
          <cell r="AZ281" t="str">
            <v>-</v>
          </cell>
          <cell r="BA281" t="str">
            <v>-</v>
          </cell>
          <cell r="BB281" t="str">
            <v>-</v>
          </cell>
          <cell r="BC281" t="str">
            <v>-</v>
          </cell>
          <cell r="BD281" t="str">
            <v>-</v>
          </cell>
          <cell r="BE281" t="str">
            <v>-</v>
          </cell>
          <cell r="BF281" t="str">
            <v>-</v>
          </cell>
          <cell r="BG281" t="str">
            <v>-</v>
          </cell>
          <cell r="BH281" t="str">
            <v>-</v>
          </cell>
          <cell r="BI281" t="str">
            <v>-</v>
          </cell>
          <cell r="BJ281" t="str">
            <v>-</v>
          </cell>
          <cell r="BK281" t="str">
            <v>-</v>
          </cell>
          <cell r="BL281" t="str">
            <v>-</v>
          </cell>
          <cell r="BM281">
            <v>0.48151298331485259</v>
          </cell>
          <cell r="BN281">
            <v>0.48151298331485259</v>
          </cell>
          <cell r="BO281">
            <v>0.77580000000000005</v>
          </cell>
          <cell r="BP281">
            <v>0.77580000000000005</v>
          </cell>
          <cell r="BQ281">
            <v>11468.969477999997</v>
          </cell>
          <cell r="BR281">
            <v>955.74745649999988</v>
          </cell>
          <cell r="BS281">
            <v>220.55880195232265</v>
          </cell>
          <cell r="BT281">
            <v>44.111760390464532</v>
          </cell>
        </row>
        <row r="282">
          <cell r="A282" t="str">
            <v>Lithuania2024100 / 100</v>
          </cell>
          <cell r="B282" t="str">
            <v>Lithuania</v>
          </cell>
          <cell r="C282">
            <v>2024</v>
          </cell>
          <cell r="D282" t="str">
            <v>100 / 100</v>
          </cell>
          <cell r="E282">
            <v>25757.35</v>
          </cell>
          <cell r="F282">
            <v>2146.4458333333332</v>
          </cell>
          <cell r="G282">
            <v>495.33746413433943</v>
          </cell>
          <cell r="H282">
            <v>99.067492826867891</v>
          </cell>
          <cell r="I282">
            <v>25757.35</v>
          </cell>
          <cell r="J282">
            <v>2146.4458333333332</v>
          </cell>
          <cell r="K282">
            <v>495.33746413433943</v>
          </cell>
          <cell r="L282">
            <v>99.067492826867891</v>
          </cell>
          <cell r="M282">
            <v>15909.06</v>
          </cell>
          <cell r="N282">
            <v>1325.7549999999999</v>
          </cell>
          <cell r="O282">
            <v>305.94581496780739</v>
          </cell>
          <cell r="P282">
            <v>61.189162993561482</v>
          </cell>
          <cell r="Q282">
            <v>15909.06</v>
          </cell>
          <cell r="R282">
            <v>1325.7549999999999</v>
          </cell>
          <cell r="S282">
            <v>305.94581496780739</v>
          </cell>
          <cell r="T282">
            <v>61.189162993561482</v>
          </cell>
          <cell r="U282" t="str">
            <v>..</v>
          </cell>
          <cell r="V282">
            <v>8.6660000000000004</v>
          </cell>
          <cell r="W282">
            <v>8.6660000000000004</v>
          </cell>
          <cell r="X282">
            <v>0</v>
          </cell>
          <cell r="Y282" t="str">
            <v>-</v>
          </cell>
          <cell r="Z282" t="str">
            <v>Two months of earmarked paid parental leave, paid at 0.7758 of earnings</v>
          </cell>
          <cell r="AA282" t="str">
            <v>Gross</v>
          </cell>
          <cell r="AB282" t="str">
            <v>Y</v>
          </cell>
          <cell r="AC282">
            <v>8.6660000000000004</v>
          </cell>
          <cell r="AD282">
            <v>0.77580000000000005</v>
          </cell>
          <cell r="AE282">
            <v>3969.7681666666667</v>
          </cell>
          <cell r="AF282" t="str">
            <v>month</v>
          </cell>
          <cell r="AG282">
            <v>440</v>
          </cell>
          <cell r="AH282" t="str">
            <v>month</v>
          </cell>
          <cell r="AI282" t="str">
            <v>-</v>
          </cell>
          <cell r="AJ282" t="str">
            <v>-</v>
          </cell>
          <cell r="AK282" t="str">
            <v>-</v>
          </cell>
          <cell r="AL282" t="str">
            <v>-</v>
          </cell>
          <cell r="AM282" t="str">
            <v>-</v>
          </cell>
          <cell r="AN282" t="str">
            <v>-</v>
          </cell>
          <cell r="AO282" t="str">
            <v>-</v>
          </cell>
          <cell r="AP282" t="str">
            <v>-</v>
          </cell>
          <cell r="AQ282" t="str">
            <v>-</v>
          </cell>
          <cell r="AR282" t="str">
            <v>-</v>
          </cell>
          <cell r="AS282" t="str">
            <v>-</v>
          </cell>
          <cell r="AT282" t="str">
            <v>-</v>
          </cell>
          <cell r="AU282" t="str">
            <v>-</v>
          </cell>
          <cell r="AV282" t="str">
            <v>-</v>
          </cell>
          <cell r="AW282" t="str">
            <v>-</v>
          </cell>
          <cell r="AX282" t="str">
            <v>-</v>
          </cell>
          <cell r="AY282" t="str">
            <v>-</v>
          </cell>
          <cell r="AZ282" t="str">
            <v>-</v>
          </cell>
          <cell r="BA282" t="str">
            <v>-</v>
          </cell>
          <cell r="BB282" t="str">
            <v>-</v>
          </cell>
          <cell r="BC282" t="str">
            <v>-</v>
          </cell>
          <cell r="BD282" t="str">
            <v>-</v>
          </cell>
          <cell r="BE282" t="str">
            <v>-</v>
          </cell>
          <cell r="BF282" t="str">
            <v>-</v>
          </cell>
          <cell r="BG282" t="str">
            <v>-</v>
          </cell>
          <cell r="BH282" t="str">
            <v>-</v>
          </cell>
          <cell r="BI282" t="str">
            <v>-</v>
          </cell>
          <cell r="BJ282" t="str">
            <v>-</v>
          </cell>
          <cell r="BK282" t="str">
            <v>-</v>
          </cell>
          <cell r="BL282" t="str">
            <v>-</v>
          </cell>
          <cell r="BM282">
            <v>0.77580000000000005</v>
          </cell>
          <cell r="BN282">
            <v>0.77580000000000005</v>
          </cell>
          <cell r="BO282" t="str">
            <v>-</v>
          </cell>
          <cell r="BP282" t="str">
            <v>-</v>
          </cell>
          <cell r="BQ282">
            <v>19982.55213</v>
          </cell>
          <cell r="BR282">
            <v>1665.2126774999999</v>
          </cell>
          <cell r="BS282">
            <v>384.28280467542055</v>
          </cell>
          <cell r="BT282">
            <v>76.856560935084119</v>
          </cell>
        </row>
        <row r="283">
          <cell r="A283" t="str">
            <v>Lithuania2025100 / 100</v>
          </cell>
          <cell r="B283" t="str">
            <v>Lithuania</v>
          </cell>
          <cell r="C283">
            <v>2025</v>
          </cell>
          <cell r="D283" t="str">
            <v>100 / 100</v>
          </cell>
          <cell r="E283">
            <v>25757.35</v>
          </cell>
          <cell r="F283">
            <v>2146.4458333333332</v>
          </cell>
          <cell r="G283">
            <v>495.33746413433943</v>
          </cell>
          <cell r="H283">
            <v>99.067492826867891</v>
          </cell>
          <cell r="I283">
            <v>25757.35</v>
          </cell>
          <cell r="J283">
            <v>2146.4458333333332</v>
          </cell>
          <cell r="K283">
            <v>495.33746413433943</v>
          </cell>
          <cell r="L283">
            <v>99.067492826867891</v>
          </cell>
          <cell r="M283">
            <v>15909.06</v>
          </cell>
          <cell r="N283">
            <v>1325.7549999999999</v>
          </cell>
          <cell r="O283">
            <v>305.94581496780739</v>
          </cell>
          <cell r="P283">
            <v>61.189162993561482</v>
          </cell>
          <cell r="Q283">
            <v>15909.06</v>
          </cell>
          <cell r="R283">
            <v>1325.7549999999999</v>
          </cell>
          <cell r="S283">
            <v>305.94581496780739</v>
          </cell>
          <cell r="T283">
            <v>61.189162993561482</v>
          </cell>
          <cell r="U283" t="str">
            <v>..</v>
          </cell>
          <cell r="V283">
            <v>8.6660000000000004</v>
          </cell>
          <cell r="W283">
            <v>8.6660000000000004</v>
          </cell>
          <cell r="X283">
            <v>0</v>
          </cell>
          <cell r="Y283" t="str">
            <v>-</v>
          </cell>
          <cell r="Z283" t="str">
            <v>Two months of earmarked paid parental leave, paid at 0.7758 of earnings</v>
          </cell>
          <cell r="AA283" t="str">
            <v>Gross</v>
          </cell>
          <cell r="AB283" t="str">
            <v>Y</v>
          </cell>
          <cell r="AC283">
            <v>8.6660000000000004</v>
          </cell>
          <cell r="AD283">
            <v>0.77580000000000005</v>
          </cell>
          <cell r="AE283">
            <v>3969.7681666666667</v>
          </cell>
          <cell r="AF283" t="str">
            <v>month</v>
          </cell>
          <cell r="AG283">
            <v>440</v>
          </cell>
          <cell r="AH283" t="str">
            <v>month</v>
          </cell>
          <cell r="AI283" t="str">
            <v>-</v>
          </cell>
          <cell r="AJ283" t="str">
            <v>-</v>
          </cell>
          <cell r="AK283" t="str">
            <v>-</v>
          </cell>
          <cell r="AL283" t="str">
            <v>-</v>
          </cell>
          <cell r="AM283" t="str">
            <v>-</v>
          </cell>
          <cell r="AN283" t="str">
            <v>-</v>
          </cell>
          <cell r="AO283" t="str">
            <v>-</v>
          </cell>
          <cell r="AP283" t="str">
            <v>-</v>
          </cell>
          <cell r="AQ283" t="str">
            <v>-</v>
          </cell>
          <cell r="AR283" t="str">
            <v>-</v>
          </cell>
          <cell r="AS283" t="str">
            <v>-</v>
          </cell>
          <cell r="AT283" t="str">
            <v>-</v>
          </cell>
          <cell r="AU283" t="str">
            <v>-</v>
          </cell>
          <cell r="AV283" t="str">
            <v>-</v>
          </cell>
          <cell r="AW283" t="str">
            <v>-</v>
          </cell>
          <cell r="AX283" t="str">
            <v>-</v>
          </cell>
          <cell r="AY283" t="str">
            <v>-</v>
          </cell>
          <cell r="AZ283" t="str">
            <v>-</v>
          </cell>
          <cell r="BA283" t="str">
            <v>-</v>
          </cell>
          <cell r="BB283" t="str">
            <v>-</v>
          </cell>
          <cell r="BC283" t="str">
            <v>-</v>
          </cell>
          <cell r="BD283" t="str">
            <v>-</v>
          </cell>
          <cell r="BE283" t="str">
            <v>-</v>
          </cell>
          <cell r="BF283" t="str">
            <v>-</v>
          </cell>
          <cell r="BG283" t="str">
            <v>-</v>
          </cell>
          <cell r="BH283" t="str">
            <v>-</v>
          </cell>
          <cell r="BI283" t="str">
            <v>-</v>
          </cell>
          <cell r="BJ283" t="str">
            <v>-</v>
          </cell>
          <cell r="BK283" t="str">
            <v>-</v>
          </cell>
          <cell r="BL283" t="str">
            <v>-</v>
          </cell>
          <cell r="BM283">
            <v>0.77580000000000005</v>
          </cell>
          <cell r="BN283">
            <v>0.77580000000000005</v>
          </cell>
          <cell r="BO283" t="str">
            <v>-</v>
          </cell>
          <cell r="BP283" t="str">
            <v>-</v>
          </cell>
          <cell r="BQ283">
            <v>19982.55213</v>
          </cell>
          <cell r="BR283">
            <v>1665.2126774999999</v>
          </cell>
          <cell r="BS283">
            <v>384.28280467542055</v>
          </cell>
          <cell r="BT283">
            <v>76.856560935084119</v>
          </cell>
        </row>
        <row r="284">
          <cell r="A284" t="str">
            <v>Luxembourg2014100 / 100</v>
          </cell>
          <cell r="B284" t="str">
            <v>Luxembourg</v>
          </cell>
          <cell r="C284">
            <v>2014</v>
          </cell>
          <cell r="D284" t="str">
            <v>100 / 100</v>
          </cell>
          <cell r="E284">
            <v>54920</v>
          </cell>
          <cell r="F284">
            <v>4576.666666666667</v>
          </cell>
          <cell r="G284">
            <v>1056.1619704766958</v>
          </cell>
          <cell r="H284">
            <v>211.23239409533917</v>
          </cell>
          <cell r="I284">
            <v>54920</v>
          </cell>
          <cell r="J284">
            <v>4576.666666666667</v>
          </cell>
          <cell r="K284">
            <v>1056.1619704766958</v>
          </cell>
          <cell r="L284">
            <v>211.23239409533917</v>
          </cell>
          <cell r="M284" t="str">
            <v>..</v>
          </cell>
          <cell r="N284" t="str">
            <v>..</v>
          </cell>
          <cell r="O284" t="str">
            <v>..</v>
          </cell>
          <cell r="P284" t="str">
            <v>..</v>
          </cell>
          <cell r="Q284" t="str">
            <v>..</v>
          </cell>
          <cell r="R284" t="str">
            <v>..</v>
          </cell>
          <cell r="S284" t="str">
            <v>..</v>
          </cell>
          <cell r="T284" t="str">
            <v>..</v>
          </cell>
          <cell r="U284" t="str">
            <v>..</v>
          </cell>
          <cell r="V284">
            <v>26</v>
          </cell>
          <cell r="W284">
            <v>26</v>
          </cell>
          <cell r="X284">
            <v>0</v>
          </cell>
          <cell r="Y284" t="str">
            <v>-</v>
          </cell>
          <cell r="Z284" t="str">
            <v>Six months, paid through a flat-rate payment of €1,778 per month.</v>
          </cell>
          <cell r="AA284" t="str">
            <v>Gross</v>
          </cell>
          <cell r="AB284" t="str">
            <v>Y</v>
          </cell>
          <cell r="AC284">
            <v>26</v>
          </cell>
          <cell r="AD284" t="str">
            <v>-</v>
          </cell>
          <cell r="AE284" t="str">
            <v>-</v>
          </cell>
          <cell r="AF284" t="str">
            <v>-</v>
          </cell>
          <cell r="AG284" t="str">
            <v>-</v>
          </cell>
          <cell r="AH284" t="str">
            <v>-</v>
          </cell>
          <cell r="AI284">
            <v>1778</v>
          </cell>
          <cell r="AJ284" t="str">
            <v>month</v>
          </cell>
          <cell r="AK284" t="str">
            <v>-</v>
          </cell>
          <cell r="AL284" t="str">
            <v>-</v>
          </cell>
          <cell r="AM284" t="str">
            <v>-</v>
          </cell>
          <cell r="AN284" t="str">
            <v>-</v>
          </cell>
          <cell r="AO284" t="str">
            <v>-</v>
          </cell>
          <cell r="AP284" t="str">
            <v>-</v>
          </cell>
          <cell r="AQ284" t="str">
            <v>-</v>
          </cell>
          <cell r="AR284" t="str">
            <v>-</v>
          </cell>
          <cell r="AS284" t="str">
            <v>-</v>
          </cell>
          <cell r="AT284" t="str">
            <v>-</v>
          </cell>
          <cell r="AU284" t="str">
            <v>-</v>
          </cell>
          <cell r="AV284" t="str">
            <v>-</v>
          </cell>
          <cell r="AW284" t="str">
            <v>-</v>
          </cell>
          <cell r="AX284" t="str">
            <v>-</v>
          </cell>
          <cell r="AY284" t="str">
            <v>-</v>
          </cell>
          <cell r="AZ284" t="str">
            <v>-</v>
          </cell>
          <cell r="BA284" t="str">
            <v>-</v>
          </cell>
          <cell r="BB284" t="str">
            <v>-</v>
          </cell>
          <cell r="BC284" t="str">
            <v>-</v>
          </cell>
          <cell r="BD284" t="str">
            <v>-</v>
          </cell>
          <cell r="BE284" t="str">
            <v>-</v>
          </cell>
          <cell r="BF284" t="str">
            <v>-</v>
          </cell>
          <cell r="BG284" t="str">
            <v>-</v>
          </cell>
          <cell r="BH284" t="str">
            <v>-</v>
          </cell>
          <cell r="BI284" t="str">
            <v>-</v>
          </cell>
          <cell r="BJ284" t="str">
            <v>-</v>
          </cell>
          <cell r="BK284" t="str">
            <v>-</v>
          </cell>
          <cell r="BL284" t="str">
            <v>-</v>
          </cell>
          <cell r="BM284">
            <v>0.38849235251274578</v>
          </cell>
          <cell r="BN284">
            <v>0.38849235251274578</v>
          </cell>
          <cell r="BO284" t="str">
            <v>-</v>
          </cell>
          <cell r="BP284" t="str">
            <v>-</v>
          </cell>
          <cell r="BQ284">
            <v>21335.999999999996</v>
          </cell>
          <cell r="BR284">
            <v>1778</v>
          </cell>
          <cell r="BS284">
            <v>410.31084854498874</v>
          </cell>
          <cell r="BT284">
            <v>82.062169708997743</v>
          </cell>
        </row>
        <row r="285">
          <cell r="A285" t="str">
            <v>Luxembourg2015100 / 100</v>
          </cell>
          <cell r="B285" t="str">
            <v>Luxembourg</v>
          </cell>
          <cell r="C285">
            <v>2015</v>
          </cell>
          <cell r="D285" t="str">
            <v>100 / 100</v>
          </cell>
          <cell r="E285">
            <v>55858</v>
          </cell>
          <cell r="F285">
            <v>4654.833333333333</v>
          </cell>
          <cell r="G285">
            <v>1074.2005707736212</v>
          </cell>
          <cell r="H285">
            <v>214.84011415472423</v>
          </cell>
          <cell r="I285">
            <v>55858</v>
          </cell>
          <cell r="J285">
            <v>4654.833333333333</v>
          </cell>
          <cell r="K285">
            <v>1074.2005707736212</v>
          </cell>
          <cell r="L285">
            <v>214.84011415472423</v>
          </cell>
          <cell r="M285" t="str">
            <v>..</v>
          </cell>
          <cell r="N285" t="str">
            <v>..</v>
          </cell>
          <cell r="O285" t="str">
            <v>..</v>
          </cell>
          <cell r="P285" t="str">
            <v>..</v>
          </cell>
          <cell r="Q285" t="str">
            <v>..</v>
          </cell>
          <cell r="R285" t="str">
            <v>..</v>
          </cell>
          <cell r="S285" t="str">
            <v>..</v>
          </cell>
          <cell r="T285" t="str">
            <v>..</v>
          </cell>
          <cell r="U285" t="str">
            <v>..</v>
          </cell>
          <cell r="V285">
            <v>26</v>
          </cell>
          <cell r="W285">
            <v>26</v>
          </cell>
          <cell r="X285">
            <v>0</v>
          </cell>
          <cell r="Y285" t="str">
            <v>-</v>
          </cell>
          <cell r="Z285" t="str">
            <v>Six months, paid through a flat-rate payment of €1,778 per month.</v>
          </cell>
          <cell r="AA285" t="str">
            <v>Gross</v>
          </cell>
          <cell r="AB285" t="str">
            <v>Y</v>
          </cell>
          <cell r="AC285">
            <v>26</v>
          </cell>
          <cell r="AD285" t="str">
            <v>-</v>
          </cell>
          <cell r="AE285" t="str">
            <v>-</v>
          </cell>
          <cell r="AF285" t="str">
            <v>-</v>
          </cell>
          <cell r="AG285" t="str">
            <v>-</v>
          </cell>
          <cell r="AH285" t="str">
            <v>-</v>
          </cell>
          <cell r="AI285">
            <v>1778</v>
          </cell>
          <cell r="AJ285" t="str">
            <v>month</v>
          </cell>
          <cell r="AK285" t="str">
            <v>-</v>
          </cell>
          <cell r="AL285" t="str">
            <v>-</v>
          </cell>
          <cell r="AM285" t="str">
            <v>-</v>
          </cell>
          <cell r="AN285" t="str">
            <v>-</v>
          </cell>
          <cell r="AO285" t="str">
            <v>-</v>
          </cell>
          <cell r="AP285" t="str">
            <v>-</v>
          </cell>
          <cell r="AQ285" t="str">
            <v>-</v>
          </cell>
          <cell r="AR285" t="str">
            <v>-</v>
          </cell>
          <cell r="AS285" t="str">
            <v>-</v>
          </cell>
          <cell r="AT285" t="str">
            <v>-</v>
          </cell>
          <cell r="AU285" t="str">
            <v>-</v>
          </cell>
          <cell r="AV285" t="str">
            <v>-</v>
          </cell>
          <cell r="AW285" t="str">
            <v>-</v>
          </cell>
          <cell r="AX285" t="str">
            <v>-</v>
          </cell>
          <cell r="AY285" t="str">
            <v>-</v>
          </cell>
          <cell r="AZ285" t="str">
            <v>-</v>
          </cell>
          <cell r="BA285" t="str">
            <v>-</v>
          </cell>
          <cell r="BB285" t="str">
            <v>-</v>
          </cell>
          <cell r="BC285" t="str">
            <v>-</v>
          </cell>
          <cell r="BD285" t="str">
            <v>-</v>
          </cell>
          <cell r="BE285" t="str">
            <v>-</v>
          </cell>
          <cell r="BF285" t="str">
            <v>-</v>
          </cell>
          <cell r="BG285" t="str">
            <v>-</v>
          </cell>
          <cell r="BH285" t="str">
            <v>-</v>
          </cell>
          <cell r="BI285" t="str">
            <v>-</v>
          </cell>
          <cell r="BJ285" t="str">
            <v>-</v>
          </cell>
          <cell r="BK285" t="str">
            <v>-</v>
          </cell>
          <cell r="BL285" t="str">
            <v>-</v>
          </cell>
          <cell r="BM285">
            <v>0.38196856314225358</v>
          </cell>
          <cell r="BN285">
            <v>0.38196856314225358</v>
          </cell>
          <cell r="BO285" t="str">
            <v>-</v>
          </cell>
          <cell r="BP285" t="str">
            <v>-</v>
          </cell>
          <cell r="BQ285">
            <v>21336</v>
          </cell>
          <cell r="BR285">
            <v>1778</v>
          </cell>
          <cell r="BS285">
            <v>410.31084854498874</v>
          </cell>
          <cell r="BT285">
            <v>82.062169708997757</v>
          </cell>
        </row>
        <row r="286">
          <cell r="A286" t="str">
            <v>Luxembourg2016100 / 100</v>
          </cell>
          <cell r="B286" t="str">
            <v>Luxembourg</v>
          </cell>
          <cell r="C286">
            <v>2016</v>
          </cell>
          <cell r="D286" t="str">
            <v>100 / 100</v>
          </cell>
          <cell r="E286">
            <v>56448</v>
          </cell>
          <cell r="F286">
            <v>4704</v>
          </cell>
          <cell r="G286">
            <v>1085.546811898553</v>
          </cell>
          <cell r="H286">
            <v>217.1093623797106</v>
          </cell>
          <cell r="I286">
            <v>56448</v>
          </cell>
          <cell r="J286">
            <v>4704</v>
          </cell>
          <cell r="K286">
            <v>1085.546811898553</v>
          </cell>
          <cell r="L286">
            <v>217.1093623797106</v>
          </cell>
          <cell r="M286" t="str">
            <v>..</v>
          </cell>
          <cell r="N286" t="str">
            <v>..</v>
          </cell>
          <cell r="O286" t="str">
            <v>..</v>
          </cell>
          <cell r="P286" t="str">
            <v>..</v>
          </cell>
          <cell r="Q286" t="str">
            <v>..</v>
          </cell>
          <cell r="R286" t="str">
            <v>..</v>
          </cell>
          <cell r="S286" t="str">
            <v>..</v>
          </cell>
          <cell r="T286" t="str">
            <v>..</v>
          </cell>
          <cell r="U286" t="str">
            <v>..</v>
          </cell>
          <cell r="V286">
            <v>26</v>
          </cell>
          <cell r="W286">
            <v>26</v>
          </cell>
          <cell r="X286">
            <v>0</v>
          </cell>
          <cell r="Y286" t="str">
            <v>-</v>
          </cell>
          <cell r="Z286" t="str">
            <v>Six months, paid through a flat-rate payment of €1,778 per month.</v>
          </cell>
          <cell r="AA286" t="str">
            <v>Gross</v>
          </cell>
          <cell r="AB286" t="str">
            <v>Y</v>
          </cell>
          <cell r="AC286">
            <v>26</v>
          </cell>
          <cell r="AD286" t="str">
            <v>-</v>
          </cell>
          <cell r="AE286" t="str">
            <v>-</v>
          </cell>
          <cell r="AF286" t="str">
            <v>-</v>
          </cell>
          <cell r="AG286" t="str">
            <v>-</v>
          </cell>
          <cell r="AH286" t="str">
            <v>-</v>
          </cell>
          <cell r="AI286">
            <v>1778</v>
          </cell>
          <cell r="AJ286" t="str">
            <v>month</v>
          </cell>
          <cell r="AK286" t="str">
            <v>-</v>
          </cell>
          <cell r="AL286" t="str">
            <v>-</v>
          </cell>
          <cell r="AM286" t="str">
            <v>-</v>
          </cell>
          <cell r="AN286" t="str">
            <v>-</v>
          </cell>
          <cell r="AO286" t="str">
            <v>-</v>
          </cell>
          <cell r="AP286" t="str">
            <v>-</v>
          </cell>
          <cell r="AQ286" t="str">
            <v>-</v>
          </cell>
          <cell r="AR286" t="str">
            <v>-</v>
          </cell>
          <cell r="AS286" t="str">
            <v>-</v>
          </cell>
          <cell r="AT286" t="str">
            <v>-</v>
          </cell>
          <cell r="AU286" t="str">
            <v>-</v>
          </cell>
          <cell r="AV286" t="str">
            <v>-</v>
          </cell>
          <cell r="AW286" t="str">
            <v>-</v>
          </cell>
          <cell r="AX286" t="str">
            <v>-</v>
          </cell>
          <cell r="AY286" t="str">
            <v>-</v>
          </cell>
          <cell r="AZ286" t="str">
            <v>-</v>
          </cell>
          <cell r="BA286" t="str">
            <v>-</v>
          </cell>
          <cell r="BB286" t="str">
            <v>-</v>
          </cell>
          <cell r="BC286" t="str">
            <v>-</v>
          </cell>
          <cell r="BD286" t="str">
            <v>-</v>
          </cell>
          <cell r="BE286" t="str">
            <v>-</v>
          </cell>
          <cell r="BF286" t="str">
            <v>-</v>
          </cell>
          <cell r="BG286" t="str">
            <v>-</v>
          </cell>
          <cell r="BH286" t="str">
            <v>-</v>
          </cell>
          <cell r="BI286" t="str">
            <v>-</v>
          </cell>
          <cell r="BJ286" t="str">
            <v>-</v>
          </cell>
          <cell r="BK286" t="str">
            <v>-</v>
          </cell>
          <cell r="BL286" t="str">
            <v>-</v>
          </cell>
          <cell r="BM286">
            <v>0.37797619047619047</v>
          </cell>
          <cell r="BN286">
            <v>0.37797619047619047</v>
          </cell>
          <cell r="BO286" t="str">
            <v>-</v>
          </cell>
          <cell r="BP286" t="str">
            <v>-</v>
          </cell>
          <cell r="BQ286">
            <v>21336</v>
          </cell>
          <cell r="BR286">
            <v>1778</v>
          </cell>
          <cell r="BS286">
            <v>410.31084854498874</v>
          </cell>
          <cell r="BT286">
            <v>82.062169708997757</v>
          </cell>
        </row>
        <row r="287">
          <cell r="A287" t="str">
            <v>Luxembourg2017100 / 100</v>
          </cell>
          <cell r="B287" t="str">
            <v>Luxembourg</v>
          </cell>
          <cell r="C287">
            <v>2017</v>
          </cell>
          <cell r="D287" t="str">
            <v>100 / 100</v>
          </cell>
          <cell r="E287">
            <v>58238</v>
          </cell>
          <cell r="F287">
            <v>4853.166666666667</v>
          </cell>
          <cell r="G287">
            <v>1119.9701536165662</v>
          </cell>
          <cell r="H287">
            <v>223.99403072331324</v>
          </cell>
          <cell r="I287">
            <v>58238</v>
          </cell>
          <cell r="J287">
            <v>4853.166666666667</v>
          </cell>
          <cell r="K287">
            <v>1119.9701536165662</v>
          </cell>
          <cell r="L287">
            <v>223.99403072331324</v>
          </cell>
          <cell r="M287" t="str">
            <v>..</v>
          </cell>
          <cell r="N287" t="str">
            <v>..</v>
          </cell>
          <cell r="O287" t="str">
            <v>..</v>
          </cell>
          <cell r="P287" t="str">
            <v>..</v>
          </cell>
          <cell r="Q287" t="str">
            <v>..</v>
          </cell>
          <cell r="R287" t="str">
            <v>..</v>
          </cell>
          <cell r="S287" t="str">
            <v>..</v>
          </cell>
          <cell r="T287" t="str">
            <v>..</v>
          </cell>
          <cell r="U287" t="str">
            <v>..</v>
          </cell>
          <cell r="V287">
            <v>26</v>
          </cell>
          <cell r="W287">
            <v>26</v>
          </cell>
          <cell r="X287">
            <v>0</v>
          </cell>
          <cell r="Y287" t="str">
            <v>-</v>
          </cell>
          <cell r="Z287" t="str">
            <v>Six months (assumed parents take the highest paid option for the maximum amount of time). Paid at 100% of gross earnings, with floors and ceilings thay vary depending on working hours and the type of leave taken. For full parental leave for a full-time worker, income is capped at 5/3 of the minimum social wage (€3,330.98 per month) and cannot be less than the minimum social wage (€1,998.59 per month).</v>
          </cell>
          <cell r="AA287" t="str">
            <v>Gross</v>
          </cell>
          <cell r="AB287" t="str">
            <v>Y</v>
          </cell>
          <cell r="AC287">
            <v>26</v>
          </cell>
          <cell r="AD287">
            <v>1</v>
          </cell>
          <cell r="AE287">
            <v>3204.93</v>
          </cell>
          <cell r="AF287" t="str">
            <v>month</v>
          </cell>
          <cell r="AG287">
            <v>1922.96</v>
          </cell>
          <cell r="AH287" t="str">
            <v>month</v>
          </cell>
          <cell r="AI287" t="str">
            <v>-</v>
          </cell>
          <cell r="AJ287" t="str">
            <v>-</v>
          </cell>
          <cell r="AK287" t="str">
            <v>-</v>
          </cell>
          <cell r="AL287" t="str">
            <v>-</v>
          </cell>
          <cell r="AM287" t="str">
            <v>-</v>
          </cell>
          <cell r="AN287" t="str">
            <v>-</v>
          </cell>
          <cell r="AO287" t="str">
            <v>-</v>
          </cell>
          <cell r="AP287" t="str">
            <v>-</v>
          </cell>
          <cell r="AQ287" t="str">
            <v>-</v>
          </cell>
          <cell r="AR287" t="str">
            <v>-</v>
          </cell>
          <cell r="AS287" t="str">
            <v>-</v>
          </cell>
          <cell r="AT287" t="str">
            <v>-</v>
          </cell>
          <cell r="AU287" t="str">
            <v>-</v>
          </cell>
          <cell r="AV287" t="str">
            <v>-</v>
          </cell>
          <cell r="AW287" t="str">
            <v>-</v>
          </cell>
          <cell r="AX287" t="str">
            <v>-</v>
          </cell>
          <cell r="AY287" t="str">
            <v>-</v>
          </cell>
          <cell r="AZ287" t="str">
            <v>-</v>
          </cell>
          <cell r="BA287" t="str">
            <v>-</v>
          </cell>
          <cell r="BB287" t="str">
            <v>-</v>
          </cell>
          <cell r="BC287" t="str">
            <v>-</v>
          </cell>
          <cell r="BD287" t="str">
            <v>-</v>
          </cell>
          <cell r="BE287" t="str">
            <v>-</v>
          </cell>
          <cell r="BF287" t="str">
            <v>-</v>
          </cell>
          <cell r="BG287" t="str">
            <v>-</v>
          </cell>
          <cell r="BH287" t="str">
            <v>-</v>
          </cell>
          <cell r="BI287" t="str">
            <v>-</v>
          </cell>
          <cell r="BJ287" t="str">
            <v>-</v>
          </cell>
          <cell r="BK287" t="str">
            <v>-</v>
          </cell>
          <cell r="BL287" t="str">
            <v>-</v>
          </cell>
          <cell r="BM287">
            <v>0.66037913389882885</v>
          </cell>
          <cell r="BN287">
            <v>0.66037913389882885</v>
          </cell>
          <cell r="BO287" t="str">
            <v>-</v>
          </cell>
          <cell r="BP287" t="str">
            <v>-</v>
          </cell>
          <cell r="BQ287">
            <v>38459.159999999996</v>
          </cell>
          <cell r="BR287">
            <v>3204.93</v>
          </cell>
          <cell r="BS287">
            <v>739.60492003784634</v>
          </cell>
          <cell r="BT287">
            <v>147.92098400756927</v>
          </cell>
        </row>
        <row r="288">
          <cell r="A288" t="str">
            <v>Luxembourg2018100 / 100</v>
          </cell>
          <cell r="B288" t="str">
            <v>Luxembourg</v>
          </cell>
          <cell r="C288">
            <v>2018</v>
          </cell>
          <cell r="D288" t="str">
            <v>100 / 100</v>
          </cell>
          <cell r="E288">
            <v>59733</v>
          </cell>
          <cell r="F288">
            <v>4977.75</v>
          </cell>
          <cell r="G288">
            <v>1148.7203747721135</v>
          </cell>
          <cell r="H288">
            <v>229.7440749544227</v>
          </cell>
          <cell r="I288">
            <v>59733</v>
          </cell>
          <cell r="J288">
            <v>4977.75</v>
          </cell>
          <cell r="K288">
            <v>1148.7203747721135</v>
          </cell>
          <cell r="L288">
            <v>229.7440749544227</v>
          </cell>
          <cell r="M288" t="str">
            <v>..</v>
          </cell>
          <cell r="N288" t="str">
            <v>..</v>
          </cell>
          <cell r="O288" t="str">
            <v>..</v>
          </cell>
          <cell r="P288" t="str">
            <v>..</v>
          </cell>
          <cell r="Q288" t="str">
            <v>..</v>
          </cell>
          <cell r="R288" t="str">
            <v>..</v>
          </cell>
          <cell r="S288" t="str">
            <v>..</v>
          </cell>
          <cell r="T288" t="str">
            <v>..</v>
          </cell>
          <cell r="U288" t="str">
            <v>..</v>
          </cell>
          <cell r="V288">
            <v>26</v>
          </cell>
          <cell r="W288">
            <v>26</v>
          </cell>
          <cell r="X288">
            <v>0</v>
          </cell>
          <cell r="Y288" t="str">
            <v>-</v>
          </cell>
          <cell r="Z288" t="str">
            <v>Six months (assumed parents take the highest paid option for the maximum amount of time). Paid at 100% of gross earnings, with floors and ceilings thay vary depending on working hours and the type of leave taken. For full parental leave for a full-time worker, income is between €1922.96 per month (the minimum social wage) for six months leave and €3204.93 (the minimum social wage increased by two-thirds) for four months leave.</v>
          </cell>
          <cell r="AA288" t="str">
            <v>Gross</v>
          </cell>
          <cell r="AB288" t="str">
            <v>Y</v>
          </cell>
          <cell r="AC288">
            <v>26</v>
          </cell>
          <cell r="AD288">
            <v>1</v>
          </cell>
          <cell r="AE288">
            <v>3204.93</v>
          </cell>
          <cell r="AF288" t="str">
            <v>month</v>
          </cell>
          <cell r="AG288">
            <v>1922.96</v>
          </cell>
          <cell r="AH288" t="str">
            <v>month</v>
          </cell>
          <cell r="AI288" t="str">
            <v>-</v>
          </cell>
          <cell r="AJ288" t="str">
            <v>-</v>
          </cell>
          <cell r="AK288" t="str">
            <v>-</v>
          </cell>
          <cell r="AL288" t="str">
            <v>-</v>
          </cell>
          <cell r="AM288" t="str">
            <v>-</v>
          </cell>
          <cell r="AN288" t="str">
            <v>-</v>
          </cell>
          <cell r="AO288" t="str">
            <v>-</v>
          </cell>
          <cell r="AP288" t="str">
            <v>-</v>
          </cell>
          <cell r="AQ288" t="str">
            <v>-</v>
          </cell>
          <cell r="AR288" t="str">
            <v>-</v>
          </cell>
          <cell r="AS288" t="str">
            <v>-</v>
          </cell>
          <cell r="AT288" t="str">
            <v>-</v>
          </cell>
          <cell r="AU288" t="str">
            <v>-</v>
          </cell>
          <cell r="AV288" t="str">
            <v>-</v>
          </cell>
          <cell r="AW288" t="str">
            <v>-</v>
          </cell>
          <cell r="AX288" t="str">
            <v>-</v>
          </cell>
          <cell r="AY288" t="str">
            <v>-</v>
          </cell>
          <cell r="AZ288" t="str">
            <v>-</v>
          </cell>
          <cell r="BA288" t="str">
            <v>-</v>
          </cell>
          <cell r="BB288" t="str">
            <v>-</v>
          </cell>
          <cell r="BC288" t="str">
            <v>-</v>
          </cell>
          <cell r="BD288" t="str">
            <v>-</v>
          </cell>
          <cell r="BE288" t="str">
            <v>-</v>
          </cell>
          <cell r="BF288" t="str">
            <v>-</v>
          </cell>
          <cell r="BG288" t="str">
            <v>-</v>
          </cell>
          <cell r="BH288" t="str">
            <v>-</v>
          </cell>
          <cell r="BI288" t="str">
            <v>-</v>
          </cell>
          <cell r="BJ288" t="str">
            <v>-</v>
          </cell>
          <cell r="BK288" t="str">
            <v>-</v>
          </cell>
          <cell r="BL288" t="str">
            <v>-</v>
          </cell>
          <cell r="BM288">
            <v>0.64385113756215151</v>
          </cell>
          <cell r="BN288">
            <v>0.64385113756215151</v>
          </cell>
          <cell r="BO288" t="str">
            <v>-</v>
          </cell>
          <cell r="BP288" t="str">
            <v>-</v>
          </cell>
          <cell r="BQ288">
            <v>38459.159999999996</v>
          </cell>
          <cell r="BR288">
            <v>3204.93</v>
          </cell>
          <cell r="BS288">
            <v>739.60492003784623</v>
          </cell>
          <cell r="BT288">
            <v>147.92098400756925</v>
          </cell>
        </row>
        <row r="289">
          <cell r="A289" t="str">
            <v>Luxembourg2019100 / 100</v>
          </cell>
          <cell r="B289" t="str">
            <v>Luxembourg</v>
          </cell>
          <cell r="C289">
            <v>2019</v>
          </cell>
          <cell r="D289" t="str">
            <v>100 / 100</v>
          </cell>
          <cell r="E289">
            <v>60896</v>
          </cell>
          <cell r="F289">
            <v>5074.666666666667</v>
          </cell>
          <cell r="G289">
            <v>1171.0859314302418</v>
          </cell>
          <cell r="H289">
            <v>234.21718628604836</v>
          </cell>
          <cell r="I289">
            <v>60896</v>
          </cell>
          <cell r="J289">
            <v>5074.666666666667</v>
          </cell>
          <cell r="K289">
            <v>1171.0859314302418</v>
          </cell>
          <cell r="L289">
            <v>234.21718628604836</v>
          </cell>
          <cell r="M289" t="str">
            <v>..</v>
          </cell>
          <cell r="N289" t="str">
            <v>..</v>
          </cell>
          <cell r="O289" t="str">
            <v>..</v>
          </cell>
          <cell r="P289" t="str">
            <v>..</v>
          </cell>
          <cell r="Q289" t="str">
            <v>..</v>
          </cell>
          <cell r="R289" t="str">
            <v>..</v>
          </cell>
          <cell r="S289" t="str">
            <v>..</v>
          </cell>
          <cell r="T289" t="str">
            <v>..</v>
          </cell>
          <cell r="U289" t="str">
            <v>..</v>
          </cell>
          <cell r="V289">
            <v>26</v>
          </cell>
          <cell r="W289">
            <v>26</v>
          </cell>
          <cell r="X289">
            <v>0</v>
          </cell>
          <cell r="Y289" t="str">
            <v>-</v>
          </cell>
          <cell r="Z289" t="str">
            <v>Six months (assumed parents take the highest paid option for the maximum amount of time). Paid at 100% of gross earnings, with floors and ceilings thay vary depending on working hours and the type of leave taken. For full parental leave for a full-time worker, income is between €2,071.10 per month (the minimum social wage) and €3,451.83 (the minimum social wage increased by two-thirds).</v>
          </cell>
          <cell r="AA289" t="str">
            <v>Gross</v>
          </cell>
          <cell r="AB289" t="str">
            <v>Y</v>
          </cell>
          <cell r="AC289">
            <v>26</v>
          </cell>
          <cell r="AD289">
            <v>1</v>
          </cell>
          <cell r="AE289">
            <v>3451.83</v>
          </cell>
          <cell r="AF289" t="str">
            <v>month</v>
          </cell>
          <cell r="AG289">
            <v>2071.1</v>
          </cell>
          <cell r="AH289" t="str">
            <v>month</v>
          </cell>
          <cell r="AI289" t="str">
            <v>-</v>
          </cell>
          <cell r="AJ289" t="str">
            <v>-</v>
          </cell>
          <cell r="AK289" t="str">
            <v>-</v>
          </cell>
          <cell r="AL289" t="str">
            <v>-</v>
          </cell>
          <cell r="AM289" t="str">
            <v>-</v>
          </cell>
          <cell r="AN289" t="str">
            <v>-</v>
          </cell>
          <cell r="AO289" t="str">
            <v>-</v>
          </cell>
          <cell r="AP289" t="str">
            <v>-</v>
          </cell>
          <cell r="AQ289" t="str">
            <v>-</v>
          </cell>
          <cell r="AR289" t="str">
            <v>-</v>
          </cell>
          <cell r="AS289" t="str">
            <v>-</v>
          </cell>
          <cell r="AT289" t="str">
            <v>-</v>
          </cell>
          <cell r="AU289" t="str">
            <v>-</v>
          </cell>
          <cell r="AV289" t="str">
            <v>-</v>
          </cell>
          <cell r="AW289" t="str">
            <v>-</v>
          </cell>
          <cell r="AX289" t="str">
            <v>-</v>
          </cell>
          <cell r="AY289" t="str">
            <v>-</v>
          </cell>
          <cell r="AZ289" t="str">
            <v>-</v>
          </cell>
          <cell r="BA289" t="str">
            <v>-</v>
          </cell>
          <cell r="BB289" t="str">
            <v>-</v>
          </cell>
          <cell r="BC289" t="str">
            <v>-</v>
          </cell>
          <cell r="BD289" t="str">
            <v>-</v>
          </cell>
          <cell r="BE289" t="str">
            <v>-</v>
          </cell>
          <cell r="BF289" t="str">
            <v>-</v>
          </cell>
          <cell r="BG289" t="str">
            <v>-</v>
          </cell>
          <cell r="BH289" t="str">
            <v>-</v>
          </cell>
          <cell r="BI289" t="str">
            <v>-</v>
          </cell>
          <cell r="BJ289" t="str">
            <v>-</v>
          </cell>
          <cell r="BK289" t="str">
            <v>-</v>
          </cell>
          <cell r="BL289" t="str">
            <v>-</v>
          </cell>
          <cell r="BM289">
            <v>0.6802082238570677</v>
          </cell>
          <cell r="BN289">
            <v>0.6802082238570677</v>
          </cell>
          <cell r="BO289" t="str">
            <v>-</v>
          </cell>
          <cell r="BP289" t="str">
            <v>-</v>
          </cell>
          <cell r="BQ289">
            <v>41421.959999999992</v>
          </cell>
          <cell r="BR289">
            <v>3451.83</v>
          </cell>
          <cell r="BS289">
            <v>796.58228140216454</v>
          </cell>
          <cell r="BT289">
            <v>159.3164562804329</v>
          </cell>
        </row>
        <row r="290">
          <cell r="A290" t="str">
            <v>Luxembourg2020100 / 100</v>
          </cell>
          <cell r="B290" t="str">
            <v>Luxembourg</v>
          </cell>
          <cell r="C290">
            <v>2020</v>
          </cell>
          <cell r="D290" t="str">
            <v>100 / 100</v>
          </cell>
          <cell r="E290">
            <v>64424</v>
          </cell>
          <cell r="F290">
            <v>5368.666666666667</v>
          </cell>
          <cell r="G290">
            <v>1238.9326071739013</v>
          </cell>
          <cell r="H290">
            <v>247.78652143478024</v>
          </cell>
          <cell r="I290">
            <v>64424</v>
          </cell>
          <cell r="J290">
            <v>5368.666666666667</v>
          </cell>
          <cell r="K290">
            <v>1238.9326071739013</v>
          </cell>
          <cell r="L290">
            <v>247.78652143478024</v>
          </cell>
          <cell r="M290" t="str">
            <v>..</v>
          </cell>
          <cell r="N290" t="str">
            <v>..</v>
          </cell>
          <cell r="O290" t="str">
            <v>..</v>
          </cell>
          <cell r="P290" t="str">
            <v>..</v>
          </cell>
          <cell r="Q290" t="str">
            <v>..</v>
          </cell>
          <cell r="R290" t="str">
            <v>..</v>
          </cell>
          <cell r="S290" t="str">
            <v>..</v>
          </cell>
          <cell r="T290" t="str">
            <v>..</v>
          </cell>
          <cell r="U290" t="str">
            <v>..</v>
          </cell>
          <cell r="V290">
            <v>26</v>
          </cell>
          <cell r="W290">
            <v>26</v>
          </cell>
          <cell r="X290">
            <v>0</v>
          </cell>
          <cell r="Y290" t="str">
            <v>-</v>
          </cell>
          <cell r="Z290" t="str">
            <v>Six months (assumed parents take the highest paid option for the maximum amount of time). Paid at 100% of gross earnings, with floors and ceilings thay vary depending on working hours and the type of leave taken. For full parental leave for a full-time worker, income is between €2,141.99 per month (the minimum social wage) and €3,569.98 (the minimum social wage increased by two-thirds).</v>
          </cell>
          <cell r="AA290" t="str">
            <v>Gross</v>
          </cell>
          <cell r="AB290" t="str">
            <v>Y</v>
          </cell>
          <cell r="AC290">
            <v>26</v>
          </cell>
          <cell r="AD290">
            <v>1</v>
          </cell>
          <cell r="AE290">
            <v>3569.98</v>
          </cell>
          <cell r="AF290" t="str">
            <v>month</v>
          </cell>
          <cell r="AG290">
            <v>2141.9899999999998</v>
          </cell>
          <cell r="AH290" t="str">
            <v>month</v>
          </cell>
          <cell r="AI290" t="str">
            <v>-</v>
          </cell>
          <cell r="AJ290" t="str">
            <v>-</v>
          </cell>
          <cell r="AK290" t="str">
            <v>-</v>
          </cell>
          <cell r="AL290" t="str">
            <v>-</v>
          </cell>
          <cell r="AM290" t="str">
            <v>-</v>
          </cell>
          <cell r="AN290" t="str">
            <v>-</v>
          </cell>
          <cell r="AO290" t="str">
            <v>-</v>
          </cell>
          <cell r="AP290" t="str">
            <v>-</v>
          </cell>
          <cell r="AQ290" t="str">
            <v>-</v>
          </cell>
          <cell r="AR290" t="str">
            <v>-</v>
          </cell>
          <cell r="AS290" t="str">
            <v>-</v>
          </cell>
          <cell r="AT290" t="str">
            <v>-</v>
          </cell>
          <cell r="AU290" t="str">
            <v>-</v>
          </cell>
          <cell r="AV290" t="str">
            <v>-</v>
          </cell>
          <cell r="AW290" t="str">
            <v>-</v>
          </cell>
          <cell r="AX290" t="str">
            <v>-</v>
          </cell>
          <cell r="AY290" t="str">
            <v>-</v>
          </cell>
          <cell r="AZ290" t="str">
            <v>-</v>
          </cell>
          <cell r="BA290" t="str">
            <v>-</v>
          </cell>
          <cell r="BB290" t="str">
            <v>-</v>
          </cell>
          <cell r="BC290" t="str">
            <v>-</v>
          </cell>
          <cell r="BD290" t="str">
            <v>-</v>
          </cell>
          <cell r="BE290" t="str">
            <v>-</v>
          </cell>
          <cell r="BF290" t="str">
            <v>-</v>
          </cell>
          <cell r="BG290" t="str">
            <v>-</v>
          </cell>
          <cell r="BH290" t="str">
            <v>-</v>
          </cell>
          <cell r="BI290" t="str">
            <v>-</v>
          </cell>
          <cell r="BJ290" t="str">
            <v>-</v>
          </cell>
          <cell r="BK290" t="str">
            <v>-</v>
          </cell>
          <cell r="BL290" t="str">
            <v>-</v>
          </cell>
          <cell r="BM290">
            <v>0.6649658512355644</v>
          </cell>
          <cell r="BN290">
            <v>0.6649658512355644</v>
          </cell>
          <cell r="BO290" t="str">
            <v>-</v>
          </cell>
          <cell r="BP290" t="str">
            <v>-</v>
          </cell>
          <cell r="BQ290">
            <v>42839.76</v>
          </cell>
          <cell r="BR290">
            <v>3569.9800000000005</v>
          </cell>
          <cell r="BS290">
            <v>823.84787575289033</v>
          </cell>
          <cell r="BT290">
            <v>164.76957515057808</v>
          </cell>
        </row>
        <row r="291">
          <cell r="A291" t="str">
            <v>Luxembourg2021100 / 100</v>
          </cell>
          <cell r="B291" t="str">
            <v>Luxembourg</v>
          </cell>
          <cell r="C291">
            <v>2021</v>
          </cell>
          <cell r="D291" t="str">
            <v>100 / 100</v>
          </cell>
          <cell r="E291">
            <v>65517</v>
          </cell>
          <cell r="F291">
            <v>5459.75</v>
          </cell>
          <cell r="G291">
            <v>1259.9519996307663</v>
          </cell>
          <cell r="H291">
            <v>251.99039992615326</v>
          </cell>
          <cell r="I291">
            <v>65517</v>
          </cell>
          <cell r="J291">
            <v>5459.75</v>
          </cell>
          <cell r="K291">
            <v>1259.9519996307663</v>
          </cell>
          <cell r="L291">
            <v>251.99039992615326</v>
          </cell>
          <cell r="M291" t="str">
            <v>..</v>
          </cell>
          <cell r="N291" t="str">
            <v>..</v>
          </cell>
          <cell r="O291" t="str">
            <v>..</v>
          </cell>
          <cell r="P291" t="str">
            <v>..</v>
          </cell>
          <cell r="Q291" t="str">
            <v>..</v>
          </cell>
          <cell r="R291" t="str">
            <v>..</v>
          </cell>
          <cell r="S291" t="str">
            <v>..</v>
          </cell>
          <cell r="T291" t="str">
            <v>..</v>
          </cell>
          <cell r="U291" t="str">
            <v>..</v>
          </cell>
          <cell r="V291">
            <v>26</v>
          </cell>
          <cell r="W291">
            <v>26</v>
          </cell>
          <cell r="X291">
            <v>0</v>
          </cell>
          <cell r="Y291" t="str">
            <v>-</v>
          </cell>
          <cell r="Z291" t="str">
            <v>Six months (assumed parents take the highest paid option for the maximum amount of time). Paid at 100% of gross earnings, with floors and ceilings thay vary depending on working hours and the type of leave taken. For full parental leave for a full-time worker, income is between €2,201.93 per month (the minimum social wage) and €3,669.88 (the minimum social wage increased by two-thirds).</v>
          </cell>
          <cell r="AA291" t="str">
            <v>Gross</v>
          </cell>
          <cell r="AB291" t="str">
            <v>Y</v>
          </cell>
          <cell r="AC291">
            <v>26</v>
          </cell>
          <cell r="AD291">
            <v>1</v>
          </cell>
          <cell r="AE291">
            <v>3669.88</v>
          </cell>
          <cell r="AF291" t="str">
            <v>month</v>
          </cell>
          <cell r="AG291">
            <v>2201.9299999999998</v>
          </cell>
          <cell r="AH291" t="str">
            <v>month</v>
          </cell>
          <cell r="AI291" t="str">
            <v>-</v>
          </cell>
          <cell r="AJ291" t="str">
            <v>-</v>
          </cell>
          <cell r="AK291" t="str">
            <v>-</v>
          </cell>
          <cell r="AL291" t="str">
            <v>-</v>
          </cell>
          <cell r="AM291" t="str">
            <v>-</v>
          </cell>
          <cell r="AN291" t="str">
            <v>-</v>
          </cell>
          <cell r="AO291" t="str">
            <v>-</v>
          </cell>
          <cell r="AP291" t="str">
            <v>-</v>
          </cell>
          <cell r="AQ291" t="str">
            <v>-</v>
          </cell>
          <cell r="AR291" t="str">
            <v>-</v>
          </cell>
          <cell r="AS291" t="str">
            <v>-</v>
          </cell>
          <cell r="AT291" t="str">
            <v>-</v>
          </cell>
          <cell r="AU291" t="str">
            <v>-</v>
          </cell>
          <cell r="AV291" t="str">
            <v>-</v>
          </cell>
          <cell r="AW291" t="str">
            <v>-</v>
          </cell>
          <cell r="AX291" t="str">
            <v>-</v>
          </cell>
          <cell r="AY291" t="str">
            <v>-</v>
          </cell>
          <cell r="AZ291" t="str">
            <v>-</v>
          </cell>
          <cell r="BA291" t="str">
            <v>-</v>
          </cell>
          <cell r="BB291" t="str">
            <v>-</v>
          </cell>
          <cell r="BC291" t="str">
            <v>-</v>
          </cell>
          <cell r="BD291" t="str">
            <v>-</v>
          </cell>
          <cell r="BE291" t="str">
            <v>-</v>
          </cell>
          <cell r="BF291" t="str">
            <v>-</v>
          </cell>
          <cell r="BG291" t="str">
            <v>-</v>
          </cell>
          <cell r="BH291" t="str">
            <v>-</v>
          </cell>
          <cell r="BI291" t="str">
            <v>-</v>
          </cell>
          <cell r="BJ291" t="str">
            <v>-</v>
          </cell>
          <cell r="BK291" t="str">
            <v>-</v>
          </cell>
          <cell r="BL291" t="str">
            <v>-</v>
          </cell>
          <cell r="BM291">
            <v>0.6721699711525253</v>
          </cell>
          <cell r="BN291">
            <v>0.6721699711525253</v>
          </cell>
          <cell r="BO291" t="str">
            <v>-</v>
          </cell>
          <cell r="BP291" t="str">
            <v>-</v>
          </cell>
          <cell r="BQ291">
            <v>44038.559999999998</v>
          </cell>
          <cell r="BR291">
            <v>3669.88</v>
          </cell>
          <cell r="BS291">
            <v>846.90189924537879</v>
          </cell>
          <cell r="BT291">
            <v>169.38037984907575</v>
          </cell>
        </row>
        <row r="292">
          <cell r="A292" t="str">
            <v>Luxembourg2022100 / 100</v>
          </cell>
          <cell r="B292" t="str">
            <v>Luxembourg</v>
          </cell>
          <cell r="C292">
            <v>2022</v>
          </cell>
          <cell r="D292" t="str">
            <v>100 / 100</v>
          </cell>
          <cell r="E292">
            <v>68578</v>
          </cell>
          <cell r="F292">
            <v>5714.833333333333</v>
          </cell>
          <cell r="G292">
            <v>1318.817837060285</v>
          </cell>
          <cell r="H292">
            <v>263.763567412057</v>
          </cell>
          <cell r="I292">
            <v>68578</v>
          </cell>
          <cell r="J292">
            <v>5714.833333333333</v>
          </cell>
          <cell r="K292">
            <v>1318.817837060285</v>
          </cell>
          <cell r="L292">
            <v>263.763567412057</v>
          </cell>
          <cell r="M292" t="str">
            <v>..</v>
          </cell>
          <cell r="N292" t="str">
            <v>..</v>
          </cell>
          <cell r="O292" t="str">
            <v>..</v>
          </cell>
          <cell r="P292" t="str">
            <v>..</v>
          </cell>
          <cell r="Q292" t="str">
            <v>..</v>
          </cell>
          <cell r="R292" t="str">
            <v>..</v>
          </cell>
          <cell r="S292" t="str">
            <v>..</v>
          </cell>
          <cell r="T292" t="str">
            <v>..</v>
          </cell>
          <cell r="U292" t="str">
            <v>..</v>
          </cell>
          <cell r="V292">
            <v>26</v>
          </cell>
          <cell r="W292">
            <v>26</v>
          </cell>
          <cell r="X292">
            <v>0</v>
          </cell>
          <cell r="Y292" t="str">
            <v>-</v>
          </cell>
          <cell r="Z292" t="str">
            <v>Six months (assumed parents take the highest paid option for the maximum amount of time). Paid at 100% of gross earnings, with floors and ceilings thay vary depending on working hours and the type of leave taken. For full parental leave for a full-time worker, income is between €2,201.93 per month (the minimum social wage) and €3,669.88 (the minimum social wage increased by two-thirds).</v>
          </cell>
          <cell r="AA292" t="str">
            <v>Gross</v>
          </cell>
          <cell r="AB292" t="str">
            <v>Y</v>
          </cell>
          <cell r="AC292">
            <v>26</v>
          </cell>
          <cell r="AD292">
            <v>1</v>
          </cell>
          <cell r="AE292">
            <v>3761.59</v>
          </cell>
          <cell r="AF292" t="str">
            <v>month</v>
          </cell>
          <cell r="AG292">
            <v>2256.9499999999998</v>
          </cell>
          <cell r="AH292" t="str">
            <v>month</v>
          </cell>
          <cell r="AI292" t="str">
            <v>-</v>
          </cell>
          <cell r="AJ292" t="str">
            <v>-</v>
          </cell>
          <cell r="AK292" t="str">
            <v>-</v>
          </cell>
          <cell r="AL292" t="str">
            <v>-</v>
          </cell>
          <cell r="AM292" t="str">
            <v>-</v>
          </cell>
          <cell r="AN292" t="str">
            <v>-</v>
          </cell>
          <cell r="AO292" t="str">
            <v>-</v>
          </cell>
          <cell r="AP292" t="str">
            <v>-</v>
          </cell>
          <cell r="AQ292" t="str">
            <v>-</v>
          </cell>
          <cell r="AR292" t="str">
            <v>-</v>
          </cell>
          <cell r="AS292" t="str">
            <v>-</v>
          </cell>
          <cell r="AT292" t="str">
            <v>-</v>
          </cell>
          <cell r="AU292" t="str">
            <v>-</v>
          </cell>
          <cell r="AV292" t="str">
            <v>-</v>
          </cell>
          <cell r="AW292" t="str">
            <v>-</v>
          </cell>
          <cell r="AX292" t="str">
            <v>-</v>
          </cell>
          <cell r="AY292" t="str">
            <v>-</v>
          </cell>
          <cell r="AZ292" t="str">
            <v>-</v>
          </cell>
          <cell r="BA292" t="str">
            <v>-</v>
          </cell>
          <cell r="BB292" t="str">
            <v>-</v>
          </cell>
          <cell r="BC292" t="str">
            <v>-</v>
          </cell>
          <cell r="BD292" t="str">
            <v>-</v>
          </cell>
          <cell r="BE292" t="str">
            <v>-</v>
          </cell>
          <cell r="BF292" t="str">
            <v>-</v>
          </cell>
          <cell r="BG292" t="str">
            <v>-</v>
          </cell>
          <cell r="BH292" t="str">
            <v>-</v>
          </cell>
          <cell r="BI292" t="str">
            <v>-</v>
          </cell>
          <cell r="BJ292" t="str">
            <v>-</v>
          </cell>
          <cell r="BK292" t="str">
            <v>-</v>
          </cell>
          <cell r="BL292" t="str">
            <v>-</v>
          </cell>
          <cell r="BM292">
            <v>0.65821517104610827</v>
          </cell>
          <cell r="BN292">
            <v>0.65821517104610827</v>
          </cell>
          <cell r="BO292" t="str">
            <v>-</v>
          </cell>
          <cell r="BP292" t="str">
            <v>-</v>
          </cell>
          <cell r="BQ292">
            <v>45139.080000000016</v>
          </cell>
          <cell r="BR292">
            <v>3761.5900000000011</v>
          </cell>
          <cell r="BS292">
            <v>868.06590819929409</v>
          </cell>
          <cell r="BT292">
            <v>173.61318163985879</v>
          </cell>
        </row>
        <row r="293">
          <cell r="A293" t="str">
            <v>Luxembourg2023100 / 100</v>
          </cell>
          <cell r="B293" t="str">
            <v>Luxembourg</v>
          </cell>
          <cell r="C293">
            <v>2023</v>
          </cell>
          <cell r="D293" t="str">
            <v>100 / 100</v>
          </cell>
          <cell r="E293">
            <v>72305.062999999995</v>
          </cell>
          <cell r="F293">
            <v>6025.4219166666662</v>
          </cell>
          <cell r="G293">
            <v>1390.4926768667449</v>
          </cell>
          <cell r="H293">
            <v>278.09853537334897</v>
          </cell>
          <cell r="I293">
            <v>72305.062999999995</v>
          </cell>
          <cell r="J293">
            <v>6025.4219166666662</v>
          </cell>
          <cell r="K293">
            <v>1390.4926768667449</v>
          </cell>
          <cell r="L293">
            <v>278.09853537334897</v>
          </cell>
          <cell r="M293" t="str">
            <v>..</v>
          </cell>
          <cell r="N293" t="str">
            <v>..</v>
          </cell>
          <cell r="O293" t="str">
            <v>..</v>
          </cell>
          <cell r="P293" t="str">
            <v>..</v>
          </cell>
          <cell r="Q293" t="str">
            <v>..</v>
          </cell>
          <cell r="R293" t="str">
            <v>..</v>
          </cell>
          <cell r="S293" t="str">
            <v>..</v>
          </cell>
          <cell r="T293" t="str">
            <v>..</v>
          </cell>
          <cell r="U293" t="str">
            <v>..</v>
          </cell>
          <cell r="V293">
            <v>26</v>
          </cell>
          <cell r="W293">
            <v>26</v>
          </cell>
          <cell r="X293">
            <v>0</v>
          </cell>
          <cell r="Y293" t="str">
            <v>-</v>
          </cell>
          <cell r="Z293" t="str">
            <v>Six months (assumed parents take the highest paid option for the maximum amount of time). Paid at 100% of gross earnings, with floors and ceilings thay vary depending on working hours and the type of leave taken. For full parental leave for a full-time worker, income is between €2,509.24 per month (the minimum social wage) and €4,180.39 (the minimum social wage increased by two-thirds).</v>
          </cell>
          <cell r="AA293" t="str">
            <v>Gross</v>
          </cell>
          <cell r="AB293" t="str">
            <v>Y</v>
          </cell>
          <cell r="AC293">
            <v>26</v>
          </cell>
          <cell r="AD293">
            <v>1</v>
          </cell>
          <cell r="AE293">
            <v>4180.3900000000003</v>
          </cell>
          <cell r="AF293" t="str">
            <v>month</v>
          </cell>
          <cell r="AG293">
            <v>2508.2399999999998</v>
          </cell>
          <cell r="AH293" t="str">
            <v>month</v>
          </cell>
          <cell r="AI293" t="str">
            <v>-</v>
          </cell>
          <cell r="AJ293" t="str">
            <v>-</v>
          </cell>
          <cell r="AK293" t="str">
            <v>-</v>
          </cell>
          <cell r="AL293" t="str">
            <v>-</v>
          </cell>
          <cell r="AM293" t="str">
            <v>-</v>
          </cell>
          <cell r="AN293" t="str">
            <v>-</v>
          </cell>
          <cell r="AO293" t="str">
            <v>-</v>
          </cell>
          <cell r="AP293" t="str">
            <v>-</v>
          </cell>
          <cell r="AQ293" t="str">
            <v>-</v>
          </cell>
          <cell r="AR293" t="str">
            <v>-</v>
          </cell>
          <cell r="AS293" t="str">
            <v>-</v>
          </cell>
          <cell r="AT293" t="str">
            <v>-</v>
          </cell>
          <cell r="AU293" t="str">
            <v>-</v>
          </cell>
          <cell r="AV293" t="str">
            <v>-</v>
          </cell>
          <cell r="AW293" t="str">
            <v>-</v>
          </cell>
          <cell r="AX293" t="str">
            <v>-</v>
          </cell>
          <cell r="AY293" t="str">
            <v>-</v>
          </cell>
          <cell r="AZ293" t="str">
            <v>-</v>
          </cell>
          <cell r="BA293" t="str">
            <v>-</v>
          </cell>
          <cell r="BB293" t="str">
            <v>-</v>
          </cell>
          <cell r="BC293" t="str">
            <v>-</v>
          </cell>
          <cell r="BD293" t="str">
            <v>-</v>
          </cell>
          <cell r="BE293" t="str">
            <v>-</v>
          </cell>
          <cell r="BF293" t="str">
            <v>-</v>
          </cell>
          <cell r="BG293" t="str">
            <v>-</v>
          </cell>
          <cell r="BH293" t="str">
            <v>-</v>
          </cell>
          <cell r="BI293" t="str">
            <v>-</v>
          </cell>
          <cell r="BJ293" t="str">
            <v>-</v>
          </cell>
          <cell r="BK293" t="str">
            <v>-</v>
          </cell>
          <cell r="BL293" t="str">
            <v>-</v>
          </cell>
          <cell r="BM293">
            <v>0.69379207926283126</v>
          </cell>
          <cell r="BN293">
            <v>0.69379207926283126</v>
          </cell>
          <cell r="BO293" t="str">
            <v>-</v>
          </cell>
          <cell r="BP293" t="str">
            <v>-</v>
          </cell>
          <cell r="BQ293">
            <v>50164.680000000008</v>
          </cell>
          <cell r="BR293">
            <v>4180.3900000000003</v>
          </cell>
          <cell r="BS293">
            <v>964.71280548311904</v>
          </cell>
          <cell r="BT293">
            <v>192.94256109662382</v>
          </cell>
        </row>
        <row r="294">
          <cell r="A294" t="str">
            <v>Luxembourg2024100 / 100</v>
          </cell>
          <cell r="B294" t="str">
            <v>Luxembourg</v>
          </cell>
          <cell r="C294">
            <v>2024</v>
          </cell>
          <cell r="D294" t="str">
            <v>100 / 100</v>
          </cell>
          <cell r="E294">
            <v>74295.64</v>
          </cell>
          <cell r="F294">
            <v>6191.3033333333333</v>
          </cell>
          <cell r="G294">
            <v>1428.7732982561404</v>
          </cell>
          <cell r="H294">
            <v>285.75465965122805</v>
          </cell>
          <cell r="I294">
            <v>74295.64</v>
          </cell>
          <cell r="J294">
            <v>6191.3033333333333</v>
          </cell>
          <cell r="K294">
            <v>1428.7732982561404</v>
          </cell>
          <cell r="L294">
            <v>285.75465965122805</v>
          </cell>
          <cell r="M294" t="str">
            <v>..</v>
          </cell>
          <cell r="N294" t="str">
            <v>..</v>
          </cell>
          <cell r="O294" t="str">
            <v>..</v>
          </cell>
          <cell r="P294" t="str">
            <v>..</v>
          </cell>
          <cell r="Q294" t="str">
            <v>..</v>
          </cell>
          <cell r="R294" t="str">
            <v>..</v>
          </cell>
          <cell r="S294" t="str">
            <v>..</v>
          </cell>
          <cell r="T294" t="str">
            <v>..</v>
          </cell>
          <cell r="U294" t="str">
            <v>..</v>
          </cell>
          <cell r="V294">
            <v>26</v>
          </cell>
          <cell r="W294">
            <v>26</v>
          </cell>
          <cell r="X294">
            <v>0</v>
          </cell>
          <cell r="Y294" t="str">
            <v>-</v>
          </cell>
          <cell r="Z294" t="str">
            <v>Six months (assumed parents take the highest paid option for the maximum amount of time). Paid at 100% of gross earnings, with floors and ceilings thay vary depending on working hours and the type of leave taken. For full parental leave for a full-time worker, income is between €2,570.93 per month (the minimum social wage) and €4,284.88 (the minimum social wage increased by two-thirds).</v>
          </cell>
          <cell r="AA294" t="str">
            <v>Gross</v>
          </cell>
          <cell r="AB294" t="str">
            <v>Y</v>
          </cell>
          <cell r="AC294">
            <v>26</v>
          </cell>
          <cell r="AD294">
            <v>1</v>
          </cell>
          <cell r="AE294">
            <v>4284.88</v>
          </cell>
          <cell r="AF294" t="str">
            <v>month</v>
          </cell>
          <cell r="AG294">
            <v>2570.9299999999998</v>
          </cell>
          <cell r="AH294" t="str">
            <v>month</v>
          </cell>
          <cell r="AI294" t="str">
            <v>-</v>
          </cell>
          <cell r="AJ294" t="str">
            <v>-</v>
          </cell>
          <cell r="AK294" t="str">
            <v>-</v>
          </cell>
          <cell r="AL294" t="str">
            <v>-</v>
          </cell>
          <cell r="AM294" t="str">
            <v>-</v>
          </cell>
          <cell r="AN294" t="str">
            <v>-</v>
          </cell>
          <cell r="AO294" t="str">
            <v>-</v>
          </cell>
          <cell r="AP294" t="str">
            <v>-</v>
          </cell>
          <cell r="AQ294" t="str">
            <v>-</v>
          </cell>
          <cell r="AR294" t="str">
            <v>-</v>
          </cell>
          <cell r="AS294" t="str">
            <v>-</v>
          </cell>
          <cell r="AT294" t="str">
            <v>-</v>
          </cell>
          <cell r="AU294" t="str">
            <v>-</v>
          </cell>
          <cell r="AV294" t="str">
            <v>-</v>
          </cell>
          <cell r="AW294" t="str">
            <v>-</v>
          </cell>
          <cell r="AX294" t="str">
            <v>-</v>
          </cell>
          <cell r="AY294" t="str">
            <v>-</v>
          </cell>
          <cell r="AZ294" t="str">
            <v>-</v>
          </cell>
          <cell r="BA294" t="str">
            <v>-</v>
          </cell>
          <cell r="BB294" t="str">
            <v>-</v>
          </cell>
          <cell r="BC294" t="str">
            <v>-</v>
          </cell>
          <cell r="BD294" t="str">
            <v>-</v>
          </cell>
          <cell r="BE294" t="str">
            <v>-</v>
          </cell>
          <cell r="BF294" t="str">
            <v>-</v>
          </cell>
          <cell r="BG294" t="str">
            <v>-</v>
          </cell>
          <cell r="BH294" t="str">
            <v>-</v>
          </cell>
          <cell r="BI294" t="str">
            <v>-</v>
          </cell>
          <cell r="BJ294" t="str">
            <v>-</v>
          </cell>
          <cell r="BK294" t="str">
            <v>-</v>
          </cell>
          <cell r="BL294" t="str">
            <v>-</v>
          </cell>
          <cell r="BM294">
            <v>0.69208045048134725</v>
          </cell>
          <cell r="BN294">
            <v>0.69208045048134725</v>
          </cell>
          <cell r="BO294" t="str">
            <v>-</v>
          </cell>
          <cell r="BP294" t="str">
            <v>-</v>
          </cell>
          <cell r="BQ294">
            <v>51418.560000000005</v>
          </cell>
          <cell r="BR294">
            <v>4284.88</v>
          </cell>
          <cell r="BS294">
            <v>988.82606789283</v>
          </cell>
          <cell r="BT294">
            <v>197.76521357856598</v>
          </cell>
        </row>
        <row r="295">
          <cell r="A295" t="str">
            <v>Luxembourg2025100 / 100</v>
          </cell>
          <cell r="B295" t="str">
            <v>Luxembourg</v>
          </cell>
          <cell r="C295">
            <v>2025</v>
          </cell>
          <cell r="D295" t="str">
            <v>100 / 100</v>
          </cell>
          <cell r="E295">
            <v>74295.64</v>
          </cell>
          <cell r="F295">
            <v>6191.3033333333333</v>
          </cell>
          <cell r="G295">
            <v>1428.7732982561404</v>
          </cell>
          <cell r="H295">
            <v>285.75465965122805</v>
          </cell>
          <cell r="I295">
            <v>74295.64</v>
          </cell>
          <cell r="J295">
            <v>6191.3033333333333</v>
          </cell>
          <cell r="K295">
            <v>1428.7732982561404</v>
          </cell>
          <cell r="L295">
            <v>285.75465965122805</v>
          </cell>
          <cell r="M295" t="str">
            <v>..</v>
          </cell>
          <cell r="N295" t="str">
            <v>..</v>
          </cell>
          <cell r="O295" t="str">
            <v>..</v>
          </cell>
          <cell r="P295" t="str">
            <v>..</v>
          </cell>
          <cell r="Q295" t="str">
            <v>..</v>
          </cell>
          <cell r="R295" t="str">
            <v>..</v>
          </cell>
          <cell r="S295" t="str">
            <v>..</v>
          </cell>
          <cell r="T295" t="str">
            <v>..</v>
          </cell>
          <cell r="U295" t="str">
            <v>..</v>
          </cell>
          <cell r="V295">
            <v>26</v>
          </cell>
          <cell r="W295">
            <v>26</v>
          </cell>
          <cell r="X295">
            <v>0</v>
          </cell>
          <cell r="Y295" t="str">
            <v>-</v>
          </cell>
          <cell r="Z295" t="str">
            <v>Six months (assumed parents take the highest paid option for the maximum amount of time). Paid at 100% of gross earnings, with floors and ceilings thay vary depending on working hours and the type of leave taken. For full parental leave for a full-time worker, income is between €2,570.93 per month (the minimum social wage) and €4,284.88 (the minimum social wage increased by two-thirds).</v>
          </cell>
          <cell r="AA295" t="str">
            <v>Gross</v>
          </cell>
          <cell r="AB295" t="str">
            <v>Y</v>
          </cell>
          <cell r="AC295">
            <v>26</v>
          </cell>
          <cell r="AD295">
            <v>1</v>
          </cell>
          <cell r="AE295">
            <v>4396.32</v>
          </cell>
          <cell r="AF295" t="str">
            <v>month</v>
          </cell>
          <cell r="AG295">
            <v>2637.79</v>
          </cell>
          <cell r="AH295" t="str">
            <v>month</v>
          </cell>
          <cell r="AI295" t="str">
            <v>-</v>
          </cell>
          <cell r="AJ295" t="str">
            <v>-</v>
          </cell>
          <cell r="AK295" t="str">
            <v>-</v>
          </cell>
          <cell r="AL295" t="str">
            <v>-</v>
          </cell>
          <cell r="AM295" t="str">
            <v>-</v>
          </cell>
          <cell r="AN295" t="str">
            <v>-</v>
          </cell>
          <cell r="AO295" t="str">
            <v>-</v>
          </cell>
          <cell r="AP295" t="str">
            <v>-</v>
          </cell>
          <cell r="AQ295" t="str">
            <v>-</v>
          </cell>
          <cell r="AR295" t="str">
            <v>-</v>
          </cell>
          <cell r="AS295" t="str">
            <v>-</v>
          </cell>
          <cell r="AT295" t="str">
            <v>-</v>
          </cell>
          <cell r="AU295" t="str">
            <v>-</v>
          </cell>
          <cell r="AV295" t="str">
            <v>-</v>
          </cell>
          <cell r="AW295" t="str">
            <v>-</v>
          </cell>
          <cell r="AX295" t="str">
            <v>-</v>
          </cell>
          <cell r="AY295" t="str">
            <v>-</v>
          </cell>
          <cell r="AZ295" t="str">
            <v>-</v>
          </cell>
          <cell r="BA295" t="str">
            <v>-</v>
          </cell>
          <cell r="BB295" t="str">
            <v>-</v>
          </cell>
          <cell r="BC295" t="str">
            <v>-</v>
          </cell>
          <cell r="BD295" t="str">
            <v>-</v>
          </cell>
          <cell r="BE295" t="str">
            <v>-</v>
          </cell>
          <cell r="BF295" t="str">
            <v>-</v>
          </cell>
          <cell r="BG295" t="str">
            <v>-</v>
          </cell>
          <cell r="BH295" t="str">
            <v>-</v>
          </cell>
          <cell r="BI295" t="str">
            <v>-</v>
          </cell>
          <cell r="BJ295" t="str">
            <v>-</v>
          </cell>
          <cell r="BK295" t="str">
            <v>-</v>
          </cell>
          <cell r="BL295" t="str">
            <v>-</v>
          </cell>
          <cell r="BM295">
            <v>0.71007989163294105</v>
          </cell>
          <cell r="BN295">
            <v>0.71007989163294105</v>
          </cell>
          <cell r="BO295" t="str">
            <v>-</v>
          </cell>
          <cell r="BP295" t="str">
            <v>-</v>
          </cell>
          <cell r="BQ295">
            <v>52755.839999999997</v>
          </cell>
          <cell r="BR295">
            <v>4396.32</v>
          </cell>
          <cell r="BS295">
            <v>1014.5431887937599</v>
          </cell>
          <cell r="BT295">
            <v>202.90863775875198</v>
          </cell>
        </row>
        <row r="296">
          <cell r="A296" t="str">
            <v>Mexico2014100 / 100</v>
          </cell>
          <cell r="B296" t="str">
            <v>Mexico</v>
          </cell>
          <cell r="C296">
            <v>2014</v>
          </cell>
          <cell r="D296" t="str">
            <v>100 / 100</v>
          </cell>
          <cell r="E296" t="e">
            <v>#N/A</v>
          </cell>
          <cell r="F296" t="e">
            <v>#N/A</v>
          </cell>
          <cell r="G296" t="e">
            <v>#N/A</v>
          </cell>
          <cell r="H296" t="e">
            <v>#N/A</v>
          </cell>
          <cell r="I296" t="e">
            <v>#N/A</v>
          </cell>
          <cell r="J296" t="e">
            <v>#N/A</v>
          </cell>
          <cell r="K296" t="e">
            <v>#N/A</v>
          </cell>
          <cell r="L296" t="e">
            <v>#N/A</v>
          </cell>
          <cell r="M296" t="str">
            <v>..</v>
          </cell>
          <cell r="N296" t="str">
            <v>..</v>
          </cell>
          <cell r="O296" t="str">
            <v>..</v>
          </cell>
          <cell r="P296" t="str">
            <v>..</v>
          </cell>
          <cell r="Q296" t="str">
            <v>..</v>
          </cell>
          <cell r="R296" t="str">
            <v>..</v>
          </cell>
          <cell r="S296" t="str">
            <v>..</v>
          </cell>
          <cell r="T296" t="str">
            <v>..</v>
          </cell>
          <cell r="U296" t="str">
            <v>..</v>
          </cell>
          <cell r="V296">
            <v>0</v>
          </cell>
          <cell r="W296">
            <v>0</v>
          </cell>
          <cell r="X296">
            <v>0</v>
          </cell>
          <cell r="Y296" t="str">
            <v>-</v>
          </cell>
          <cell r="Z296" t="str">
            <v>No statutory entitlement</v>
          </cell>
          <cell r="AA296" t="str">
            <v>-</v>
          </cell>
          <cell r="AB296" t="str">
            <v>-</v>
          </cell>
          <cell r="AC296" t="str">
            <v>-</v>
          </cell>
          <cell r="AD296" t="str">
            <v>-</v>
          </cell>
          <cell r="AE296" t="str">
            <v>-</v>
          </cell>
          <cell r="AF296" t="str">
            <v>-</v>
          </cell>
          <cell r="AG296" t="str">
            <v>-</v>
          </cell>
          <cell r="AH296" t="str">
            <v>-</v>
          </cell>
          <cell r="AI296" t="str">
            <v>-</v>
          </cell>
          <cell r="AJ296" t="str">
            <v>-</v>
          </cell>
          <cell r="AK296" t="str">
            <v>-</v>
          </cell>
          <cell r="AL296" t="str">
            <v>-</v>
          </cell>
          <cell r="AM296" t="str">
            <v>-</v>
          </cell>
          <cell r="AN296" t="str">
            <v>-</v>
          </cell>
          <cell r="AO296" t="str">
            <v>-</v>
          </cell>
          <cell r="AP296" t="str">
            <v>-</v>
          </cell>
          <cell r="AQ296" t="str">
            <v>-</v>
          </cell>
          <cell r="AR296" t="str">
            <v>-</v>
          </cell>
          <cell r="AS296" t="str">
            <v>-</v>
          </cell>
          <cell r="AT296" t="str">
            <v>-</v>
          </cell>
          <cell r="AU296" t="str">
            <v>-</v>
          </cell>
          <cell r="AV296" t="str">
            <v>-</v>
          </cell>
          <cell r="AW296" t="str">
            <v>-</v>
          </cell>
          <cell r="AX296" t="str">
            <v>-</v>
          </cell>
          <cell r="AY296" t="str">
            <v>-</v>
          </cell>
          <cell r="AZ296" t="str">
            <v>-</v>
          </cell>
          <cell r="BA296" t="str">
            <v>-</v>
          </cell>
          <cell r="BB296" t="str">
            <v>-</v>
          </cell>
          <cell r="BC296" t="str">
            <v>-</v>
          </cell>
          <cell r="BD296" t="str">
            <v>-</v>
          </cell>
          <cell r="BE296" t="str">
            <v>-</v>
          </cell>
          <cell r="BF296" t="str">
            <v>-</v>
          </cell>
          <cell r="BG296" t="str">
            <v>-</v>
          </cell>
          <cell r="BH296" t="str">
            <v>-</v>
          </cell>
          <cell r="BI296" t="str">
            <v>-</v>
          </cell>
          <cell r="BJ296" t="str">
            <v>-</v>
          </cell>
          <cell r="BK296" t="str">
            <v>-</v>
          </cell>
          <cell r="BL296" t="str">
            <v>-</v>
          </cell>
          <cell r="BM296">
            <v>0</v>
          </cell>
          <cell r="BN296">
            <v>0</v>
          </cell>
          <cell r="BO296" t="str">
            <v>-</v>
          </cell>
          <cell r="BP296" t="str">
            <v>-</v>
          </cell>
          <cell r="BQ296">
            <v>0</v>
          </cell>
          <cell r="BR296">
            <v>0</v>
          </cell>
          <cell r="BS296">
            <v>0</v>
          </cell>
          <cell r="BT296">
            <v>0</v>
          </cell>
        </row>
        <row r="297">
          <cell r="A297" t="str">
            <v>Mexico2015100 / 100</v>
          </cell>
          <cell r="B297" t="str">
            <v>Mexico</v>
          </cell>
          <cell r="C297">
            <v>2015</v>
          </cell>
          <cell r="D297" t="str">
            <v>100 / 100</v>
          </cell>
          <cell r="E297" t="e">
            <v>#N/A</v>
          </cell>
          <cell r="F297" t="e">
            <v>#N/A</v>
          </cell>
          <cell r="G297" t="e">
            <v>#N/A</v>
          </cell>
          <cell r="H297" t="e">
            <v>#N/A</v>
          </cell>
          <cell r="I297" t="e">
            <v>#N/A</v>
          </cell>
          <cell r="J297" t="e">
            <v>#N/A</v>
          </cell>
          <cell r="K297" t="e">
            <v>#N/A</v>
          </cell>
          <cell r="L297" t="e">
            <v>#N/A</v>
          </cell>
          <cell r="M297" t="str">
            <v>..</v>
          </cell>
          <cell r="N297" t="str">
            <v>..</v>
          </cell>
          <cell r="O297" t="str">
            <v>..</v>
          </cell>
          <cell r="P297" t="str">
            <v>..</v>
          </cell>
          <cell r="Q297" t="str">
            <v>..</v>
          </cell>
          <cell r="R297" t="str">
            <v>..</v>
          </cell>
          <cell r="S297" t="str">
            <v>..</v>
          </cell>
          <cell r="T297" t="str">
            <v>..</v>
          </cell>
          <cell r="U297" t="str">
            <v>..</v>
          </cell>
          <cell r="V297">
            <v>0</v>
          </cell>
          <cell r="W297">
            <v>0</v>
          </cell>
          <cell r="X297">
            <v>0</v>
          </cell>
          <cell r="Y297" t="str">
            <v>-</v>
          </cell>
          <cell r="Z297" t="str">
            <v>No statutory entitlement</v>
          </cell>
          <cell r="AA297" t="str">
            <v>-</v>
          </cell>
          <cell r="AB297" t="str">
            <v>-</v>
          </cell>
          <cell r="AC297" t="str">
            <v>-</v>
          </cell>
          <cell r="AD297" t="str">
            <v>-</v>
          </cell>
          <cell r="AE297" t="str">
            <v>-</v>
          </cell>
          <cell r="AF297" t="str">
            <v>-</v>
          </cell>
          <cell r="AG297" t="str">
            <v>-</v>
          </cell>
          <cell r="AH297" t="str">
            <v>-</v>
          </cell>
          <cell r="AI297" t="str">
            <v>-</v>
          </cell>
          <cell r="AJ297" t="str">
            <v>-</v>
          </cell>
          <cell r="AK297" t="str">
            <v>-</v>
          </cell>
          <cell r="AL297" t="str">
            <v>-</v>
          </cell>
          <cell r="AM297" t="str">
            <v>-</v>
          </cell>
          <cell r="AN297" t="str">
            <v>-</v>
          </cell>
          <cell r="AO297" t="str">
            <v>-</v>
          </cell>
          <cell r="AP297" t="str">
            <v>-</v>
          </cell>
          <cell r="AQ297" t="str">
            <v>-</v>
          </cell>
          <cell r="AR297" t="str">
            <v>-</v>
          </cell>
          <cell r="AS297" t="str">
            <v>-</v>
          </cell>
          <cell r="AT297" t="str">
            <v>-</v>
          </cell>
          <cell r="AU297" t="str">
            <v>-</v>
          </cell>
          <cell r="AV297" t="str">
            <v>-</v>
          </cell>
          <cell r="AW297" t="str">
            <v>-</v>
          </cell>
          <cell r="AX297" t="str">
            <v>-</v>
          </cell>
          <cell r="AY297" t="str">
            <v>-</v>
          </cell>
          <cell r="AZ297" t="str">
            <v>-</v>
          </cell>
          <cell r="BA297" t="str">
            <v>-</v>
          </cell>
          <cell r="BB297" t="str">
            <v>-</v>
          </cell>
          <cell r="BC297" t="str">
            <v>-</v>
          </cell>
          <cell r="BD297" t="str">
            <v>-</v>
          </cell>
          <cell r="BE297" t="str">
            <v>-</v>
          </cell>
          <cell r="BF297" t="str">
            <v>-</v>
          </cell>
          <cell r="BG297" t="str">
            <v>-</v>
          </cell>
          <cell r="BH297" t="str">
            <v>-</v>
          </cell>
          <cell r="BI297" t="str">
            <v>-</v>
          </cell>
          <cell r="BJ297" t="str">
            <v>-</v>
          </cell>
          <cell r="BK297" t="str">
            <v>-</v>
          </cell>
          <cell r="BL297" t="str">
            <v>-</v>
          </cell>
          <cell r="BM297">
            <v>0</v>
          </cell>
          <cell r="BN297">
            <v>0</v>
          </cell>
          <cell r="BO297" t="str">
            <v>-</v>
          </cell>
          <cell r="BP297" t="str">
            <v>-</v>
          </cell>
          <cell r="BQ297">
            <v>0</v>
          </cell>
          <cell r="BR297">
            <v>0</v>
          </cell>
          <cell r="BS297">
            <v>0</v>
          </cell>
          <cell r="BT297">
            <v>0</v>
          </cell>
        </row>
        <row r="298">
          <cell r="A298" t="str">
            <v>Mexico2016100 / 100</v>
          </cell>
          <cell r="B298" t="str">
            <v>Mexico</v>
          </cell>
          <cell r="C298">
            <v>2016</v>
          </cell>
          <cell r="D298" t="str">
            <v>100 / 100</v>
          </cell>
          <cell r="E298" t="e">
            <v>#N/A</v>
          </cell>
          <cell r="F298" t="e">
            <v>#N/A</v>
          </cell>
          <cell r="G298" t="e">
            <v>#N/A</v>
          </cell>
          <cell r="H298" t="e">
            <v>#N/A</v>
          </cell>
          <cell r="I298" t="e">
            <v>#N/A</v>
          </cell>
          <cell r="J298" t="e">
            <v>#N/A</v>
          </cell>
          <cell r="K298" t="e">
            <v>#N/A</v>
          </cell>
          <cell r="L298" t="e">
            <v>#N/A</v>
          </cell>
          <cell r="M298" t="str">
            <v>..</v>
          </cell>
          <cell r="N298" t="str">
            <v>..</v>
          </cell>
          <cell r="O298" t="str">
            <v>..</v>
          </cell>
          <cell r="P298" t="str">
            <v>..</v>
          </cell>
          <cell r="Q298" t="str">
            <v>..</v>
          </cell>
          <cell r="R298" t="str">
            <v>..</v>
          </cell>
          <cell r="S298" t="str">
            <v>..</v>
          </cell>
          <cell r="T298" t="str">
            <v>..</v>
          </cell>
          <cell r="U298" t="str">
            <v>..</v>
          </cell>
          <cell r="V298">
            <v>0</v>
          </cell>
          <cell r="W298">
            <v>0</v>
          </cell>
          <cell r="X298">
            <v>0</v>
          </cell>
          <cell r="Y298" t="str">
            <v>-</v>
          </cell>
          <cell r="Z298" t="str">
            <v>No statutory entitlement</v>
          </cell>
          <cell r="AA298" t="str">
            <v>-</v>
          </cell>
          <cell r="AB298" t="str">
            <v>-</v>
          </cell>
          <cell r="AC298" t="str">
            <v>-</v>
          </cell>
          <cell r="AD298" t="str">
            <v>-</v>
          </cell>
          <cell r="AE298" t="str">
            <v>-</v>
          </cell>
          <cell r="AF298" t="str">
            <v>-</v>
          </cell>
          <cell r="AG298" t="str">
            <v>-</v>
          </cell>
          <cell r="AH298" t="str">
            <v>-</v>
          </cell>
          <cell r="AI298" t="str">
            <v>-</v>
          </cell>
          <cell r="AJ298" t="str">
            <v>-</v>
          </cell>
          <cell r="AK298" t="str">
            <v>-</v>
          </cell>
          <cell r="AL298" t="str">
            <v>-</v>
          </cell>
          <cell r="AM298" t="str">
            <v>-</v>
          </cell>
          <cell r="AN298" t="str">
            <v>-</v>
          </cell>
          <cell r="AO298" t="str">
            <v>-</v>
          </cell>
          <cell r="AP298" t="str">
            <v>-</v>
          </cell>
          <cell r="AQ298" t="str">
            <v>-</v>
          </cell>
          <cell r="AR298" t="str">
            <v>-</v>
          </cell>
          <cell r="AS298" t="str">
            <v>-</v>
          </cell>
          <cell r="AT298" t="str">
            <v>-</v>
          </cell>
          <cell r="AU298" t="str">
            <v>-</v>
          </cell>
          <cell r="AV298" t="str">
            <v>-</v>
          </cell>
          <cell r="AW298" t="str">
            <v>-</v>
          </cell>
          <cell r="AX298" t="str">
            <v>-</v>
          </cell>
          <cell r="AY298" t="str">
            <v>-</v>
          </cell>
          <cell r="AZ298" t="str">
            <v>-</v>
          </cell>
          <cell r="BA298" t="str">
            <v>-</v>
          </cell>
          <cell r="BB298" t="str">
            <v>-</v>
          </cell>
          <cell r="BC298" t="str">
            <v>-</v>
          </cell>
          <cell r="BD298" t="str">
            <v>-</v>
          </cell>
          <cell r="BE298" t="str">
            <v>-</v>
          </cell>
          <cell r="BF298" t="str">
            <v>-</v>
          </cell>
          <cell r="BG298" t="str">
            <v>-</v>
          </cell>
          <cell r="BH298" t="str">
            <v>-</v>
          </cell>
          <cell r="BI298" t="str">
            <v>-</v>
          </cell>
          <cell r="BJ298" t="str">
            <v>-</v>
          </cell>
          <cell r="BK298" t="str">
            <v>-</v>
          </cell>
          <cell r="BL298" t="str">
            <v>-</v>
          </cell>
          <cell r="BM298">
            <v>0</v>
          </cell>
          <cell r="BN298">
            <v>0</v>
          </cell>
          <cell r="BO298" t="str">
            <v>-</v>
          </cell>
          <cell r="BP298" t="str">
            <v>-</v>
          </cell>
          <cell r="BQ298">
            <v>0</v>
          </cell>
          <cell r="BR298">
            <v>0</v>
          </cell>
          <cell r="BS298">
            <v>0</v>
          </cell>
          <cell r="BT298">
            <v>0</v>
          </cell>
        </row>
        <row r="299">
          <cell r="A299" t="str">
            <v>Mexico2017100 / 100</v>
          </cell>
          <cell r="B299" t="str">
            <v>Mexico</v>
          </cell>
          <cell r="C299">
            <v>2017</v>
          </cell>
          <cell r="D299" t="str">
            <v>100 / 100</v>
          </cell>
          <cell r="E299" t="e">
            <v>#N/A</v>
          </cell>
          <cell r="F299" t="e">
            <v>#N/A</v>
          </cell>
          <cell r="G299" t="e">
            <v>#N/A</v>
          </cell>
          <cell r="H299" t="e">
            <v>#N/A</v>
          </cell>
          <cell r="I299" t="e">
            <v>#N/A</v>
          </cell>
          <cell r="J299" t="e">
            <v>#N/A</v>
          </cell>
          <cell r="K299" t="e">
            <v>#N/A</v>
          </cell>
          <cell r="L299" t="e">
            <v>#N/A</v>
          </cell>
          <cell r="M299" t="str">
            <v>..</v>
          </cell>
          <cell r="N299" t="str">
            <v>..</v>
          </cell>
          <cell r="O299" t="str">
            <v>..</v>
          </cell>
          <cell r="P299" t="str">
            <v>..</v>
          </cell>
          <cell r="Q299" t="str">
            <v>..</v>
          </cell>
          <cell r="R299" t="str">
            <v>..</v>
          </cell>
          <cell r="S299" t="str">
            <v>..</v>
          </cell>
          <cell r="T299" t="str">
            <v>..</v>
          </cell>
          <cell r="U299" t="str">
            <v>..</v>
          </cell>
          <cell r="V299">
            <v>0</v>
          </cell>
          <cell r="W299">
            <v>0</v>
          </cell>
          <cell r="X299">
            <v>0</v>
          </cell>
          <cell r="Y299" t="str">
            <v>-</v>
          </cell>
          <cell r="Z299" t="str">
            <v>No statutory entitlement</v>
          </cell>
          <cell r="AA299" t="str">
            <v>-</v>
          </cell>
          <cell r="AB299" t="str">
            <v>-</v>
          </cell>
          <cell r="AC299" t="str">
            <v>-</v>
          </cell>
          <cell r="AD299" t="str">
            <v>-</v>
          </cell>
          <cell r="AE299" t="str">
            <v>-</v>
          </cell>
          <cell r="AF299" t="str">
            <v>-</v>
          </cell>
          <cell r="AG299" t="str">
            <v>-</v>
          </cell>
          <cell r="AH299" t="str">
            <v>-</v>
          </cell>
          <cell r="AI299" t="str">
            <v>-</v>
          </cell>
          <cell r="AJ299" t="str">
            <v>-</v>
          </cell>
          <cell r="AK299" t="str">
            <v>-</v>
          </cell>
          <cell r="AL299" t="str">
            <v>-</v>
          </cell>
          <cell r="AM299" t="str">
            <v>-</v>
          </cell>
          <cell r="AN299" t="str">
            <v>-</v>
          </cell>
          <cell r="AO299" t="str">
            <v>-</v>
          </cell>
          <cell r="AP299" t="str">
            <v>-</v>
          </cell>
          <cell r="AQ299" t="str">
            <v>-</v>
          </cell>
          <cell r="AR299" t="str">
            <v>-</v>
          </cell>
          <cell r="AS299" t="str">
            <v>-</v>
          </cell>
          <cell r="AT299" t="str">
            <v>-</v>
          </cell>
          <cell r="AU299" t="str">
            <v>-</v>
          </cell>
          <cell r="AV299" t="str">
            <v>-</v>
          </cell>
          <cell r="AW299" t="str">
            <v>-</v>
          </cell>
          <cell r="AX299" t="str">
            <v>-</v>
          </cell>
          <cell r="AY299" t="str">
            <v>-</v>
          </cell>
          <cell r="AZ299" t="str">
            <v>-</v>
          </cell>
          <cell r="BA299" t="str">
            <v>-</v>
          </cell>
          <cell r="BB299" t="str">
            <v>-</v>
          </cell>
          <cell r="BC299" t="str">
            <v>-</v>
          </cell>
          <cell r="BD299" t="str">
            <v>-</v>
          </cell>
          <cell r="BE299" t="str">
            <v>-</v>
          </cell>
          <cell r="BF299" t="str">
            <v>-</v>
          </cell>
          <cell r="BG299" t="str">
            <v>-</v>
          </cell>
          <cell r="BH299" t="str">
            <v>-</v>
          </cell>
          <cell r="BI299" t="str">
            <v>-</v>
          </cell>
          <cell r="BJ299" t="str">
            <v>-</v>
          </cell>
          <cell r="BK299" t="str">
            <v>-</v>
          </cell>
          <cell r="BL299" t="str">
            <v>-</v>
          </cell>
          <cell r="BM299">
            <v>0</v>
          </cell>
          <cell r="BN299">
            <v>0</v>
          </cell>
          <cell r="BO299" t="str">
            <v>-</v>
          </cell>
          <cell r="BP299" t="str">
            <v>-</v>
          </cell>
          <cell r="BQ299">
            <v>0</v>
          </cell>
          <cell r="BR299">
            <v>0</v>
          </cell>
          <cell r="BS299">
            <v>0</v>
          </cell>
          <cell r="BT299">
            <v>0</v>
          </cell>
        </row>
        <row r="300">
          <cell r="A300" t="str">
            <v>Mexico2018100 / 100</v>
          </cell>
          <cell r="B300" t="str">
            <v>Mexico</v>
          </cell>
          <cell r="C300">
            <v>2018</v>
          </cell>
          <cell r="D300" t="str">
            <v>100 / 100</v>
          </cell>
          <cell r="E300" t="e">
            <v>#N/A</v>
          </cell>
          <cell r="F300" t="e">
            <v>#N/A</v>
          </cell>
          <cell r="G300" t="e">
            <v>#N/A</v>
          </cell>
          <cell r="H300" t="e">
            <v>#N/A</v>
          </cell>
          <cell r="I300" t="e">
            <v>#N/A</v>
          </cell>
          <cell r="J300" t="e">
            <v>#N/A</v>
          </cell>
          <cell r="K300" t="e">
            <v>#N/A</v>
          </cell>
          <cell r="L300" t="e">
            <v>#N/A</v>
          </cell>
          <cell r="M300" t="str">
            <v>..</v>
          </cell>
          <cell r="N300" t="str">
            <v>..</v>
          </cell>
          <cell r="O300" t="str">
            <v>..</v>
          </cell>
          <cell r="P300" t="str">
            <v>..</v>
          </cell>
          <cell r="Q300" t="str">
            <v>..</v>
          </cell>
          <cell r="R300" t="str">
            <v>..</v>
          </cell>
          <cell r="S300" t="str">
            <v>..</v>
          </cell>
          <cell r="T300" t="str">
            <v>..</v>
          </cell>
          <cell r="U300" t="str">
            <v>..</v>
          </cell>
          <cell r="V300">
            <v>0</v>
          </cell>
          <cell r="W300">
            <v>0</v>
          </cell>
          <cell r="X300">
            <v>0</v>
          </cell>
          <cell r="Y300" t="str">
            <v>-</v>
          </cell>
          <cell r="Z300" t="str">
            <v>No statutory entitlement</v>
          </cell>
          <cell r="AA300" t="str">
            <v>-</v>
          </cell>
          <cell r="AB300" t="str">
            <v>-</v>
          </cell>
          <cell r="AC300" t="str">
            <v>-</v>
          </cell>
          <cell r="AD300" t="str">
            <v>-</v>
          </cell>
          <cell r="AE300" t="str">
            <v>-</v>
          </cell>
          <cell r="AF300" t="str">
            <v>-</v>
          </cell>
          <cell r="AG300" t="str">
            <v>-</v>
          </cell>
          <cell r="AH300" t="str">
            <v>-</v>
          </cell>
          <cell r="AI300" t="str">
            <v>-</v>
          </cell>
          <cell r="AJ300" t="str">
            <v>-</v>
          </cell>
          <cell r="AK300" t="str">
            <v>-</v>
          </cell>
          <cell r="AL300" t="str">
            <v>-</v>
          </cell>
          <cell r="AM300" t="str">
            <v>-</v>
          </cell>
          <cell r="AN300" t="str">
            <v>-</v>
          </cell>
          <cell r="AO300" t="str">
            <v>-</v>
          </cell>
          <cell r="AP300" t="str">
            <v>-</v>
          </cell>
          <cell r="AQ300" t="str">
            <v>-</v>
          </cell>
          <cell r="AR300" t="str">
            <v>-</v>
          </cell>
          <cell r="AS300" t="str">
            <v>-</v>
          </cell>
          <cell r="AT300" t="str">
            <v>-</v>
          </cell>
          <cell r="AU300" t="str">
            <v>-</v>
          </cell>
          <cell r="AV300" t="str">
            <v>-</v>
          </cell>
          <cell r="AW300" t="str">
            <v>-</v>
          </cell>
          <cell r="AX300" t="str">
            <v>-</v>
          </cell>
          <cell r="AY300" t="str">
            <v>-</v>
          </cell>
          <cell r="AZ300" t="str">
            <v>-</v>
          </cell>
          <cell r="BA300" t="str">
            <v>-</v>
          </cell>
          <cell r="BB300" t="str">
            <v>-</v>
          </cell>
          <cell r="BC300" t="str">
            <v>-</v>
          </cell>
          <cell r="BD300" t="str">
            <v>-</v>
          </cell>
          <cell r="BE300" t="str">
            <v>-</v>
          </cell>
          <cell r="BF300" t="str">
            <v>-</v>
          </cell>
          <cell r="BG300" t="str">
            <v>-</v>
          </cell>
          <cell r="BH300" t="str">
            <v>-</v>
          </cell>
          <cell r="BI300" t="str">
            <v>-</v>
          </cell>
          <cell r="BJ300" t="str">
            <v>-</v>
          </cell>
          <cell r="BK300" t="str">
            <v>-</v>
          </cell>
          <cell r="BL300" t="str">
            <v>-</v>
          </cell>
          <cell r="BM300">
            <v>0</v>
          </cell>
          <cell r="BN300">
            <v>0</v>
          </cell>
          <cell r="BO300" t="str">
            <v>-</v>
          </cell>
          <cell r="BP300" t="str">
            <v>-</v>
          </cell>
          <cell r="BQ300">
            <v>0</v>
          </cell>
          <cell r="BR300">
            <v>0</v>
          </cell>
          <cell r="BS300">
            <v>0</v>
          </cell>
          <cell r="BT300">
            <v>0</v>
          </cell>
        </row>
        <row r="301">
          <cell r="A301" t="str">
            <v>Mexico2019100 / 100</v>
          </cell>
          <cell r="B301" t="str">
            <v>Mexico</v>
          </cell>
          <cell r="C301">
            <v>2019</v>
          </cell>
          <cell r="D301" t="str">
            <v>100 / 100</v>
          </cell>
          <cell r="E301" t="e">
            <v>#N/A</v>
          </cell>
          <cell r="F301" t="e">
            <v>#N/A</v>
          </cell>
          <cell r="G301" t="e">
            <v>#N/A</v>
          </cell>
          <cell r="H301" t="e">
            <v>#N/A</v>
          </cell>
          <cell r="I301" t="e">
            <v>#N/A</v>
          </cell>
          <cell r="J301" t="e">
            <v>#N/A</v>
          </cell>
          <cell r="K301" t="e">
            <v>#N/A</v>
          </cell>
          <cell r="L301" t="e">
            <v>#N/A</v>
          </cell>
          <cell r="M301" t="str">
            <v>..</v>
          </cell>
          <cell r="N301" t="str">
            <v>..</v>
          </cell>
          <cell r="O301" t="str">
            <v>..</v>
          </cell>
          <cell r="P301" t="str">
            <v>..</v>
          </cell>
          <cell r="Q301" t="str">
            <v>..</v>
          </cell>
          <cell r="R301" t="str">
            <v>..</v>
          </cell>
          <cell r="S301" t="str">
            <v>..</v>
          </cell>
          <cell r="T301" t="str">
            <v>..</v>
          </cell>
          <cell r="U301" t="str">
            <v>..</v>
          </cell>
          <cell r="V301">
            <v>0</v>
          </cell>
          <cell r="W301">
            <v>0</v>
          </cell>
          <cell r="X301">
            <v>0</v>
          </cell>
          <cell r="Y301" t="str">
            <v>-</v>
          </cell>
          <cell r="Z301" t="str">
            <v>No statutory entitlement</v>
          </cell>
          <cell r="AA301" t="str">
            <v>-</v>
          </cell>
          <cell r="AB301" t="str">
            <v>-</v>
          </cell>
          <cell r="AC301" t="str">
            <v>-</v>
          </cell>
          <cell r="AD301" t="str">
            <v>-</v>
          </cell>
          <cell r="AE301" t="str">
            <v>-</v>
          </cell>
          <cell r="AF301" t="str">
            <v>-</v>
          </cell>
          <cell r="AG301" t="str">
            <v>-</v>
          </cell>
          <cell r="AH301" t="str">
            <v>-</v>
          </cell>
          <cell r="AI301" t="str">
            <v>-</v>
          </cell>
          <cell r="AJ301" t="str">
            <v>-</v>
          </cell>
          <cell r="AK301" t="str">
            <v>-</v>
          </cell>
          <cell r="AL301" t="str">
            <v>-</v>
          </cell>
          <cell r="AM301" t="str">
            <v>-</v>
          </cell>
          <cell r="AN301" t="str">
            <v>-</v>
          </cell>
          <cell r="AO301" t="str">
            <v>-</v>
          </cell>
          <cell r="AP301" t="str">
            <v>-</v>
          </cell>
          <cell r="AQ301" t="str">
            <v>-</v>
          </cell>
          <cell r="AR301" t="str">
            <v>-</v>
          </cell>
          <cell r="AS301" t="str">
            <v>-</v>
          </cell>
          <cell r="AT301" t="str">
            <v>-</v>
          </cell>
          <cell r="AU301" t="str">
            <v>-</v>
          </cell>
          <cell r="AV301" t="str">
            <v>-</v>
          </cell>
          <cell r="AW301" t="str">
            <v>-</v>
          </cell>
          <cell r="AX301" t="str">
            <v>-</v>
          </cell>
          <cell r="AY301" t="str">
            <v>-</v>
          </cell>
          <cell r="AZ301" t="str">
            <v>-</v>
          </cell>
          <cell r="BA301" t="str">
            <v>-</v>
          </cell>
          <cell r="BB301" t="str">
            <v>-</v>
          </cell>
          <cell r="BC301" t="str">
            <v>-</v>
          </cell>
          <cell r="BD301" t="str">
            <v>-</v>
          </cell>
          <cell r="BE301" t="str">
            <v>-</v>
          </cell>
          <cell r="BF301" t="str">
            <v>-</v>
          </cell>
          <cell r="BG301" t="str">
            <v>-</v>
          </cell>
          <cell r="BH301" t="str">
            <v>-</v>
          </cell>
          <cell r="BI301" t="str">
            <v>-</v>
          </cell>
          <cell r="BJ301" t="str">
            <v>-</v>
          </cell>
          <cell r="BK301" t="str">
            <v>-</v>
          </cell>
          <cell r="BL301" t="str">
            <v>-</v>
          </cell>
          <cell r="BM301">
            <v>0</v>
          </cell>
          <cell r="BN301">
            <v>0</v>
          </cell>
          <cell r="BO301" t="str">
            <v>-</v>
          </cell>
          <cell r="BP301" t="str">
            <v>-</v>
          </cell>
          <cell r="BQ301">
            <v>0</v>
          </cell>
          <cell r="BR301">
            <v>0</v>
          </cell>
          <cell r="BS301">
            <v>0</v>
          </cell>
          <cell r="BT301">
            <v>0</v>
          </cell>
        </row>
        <row r="302">
          <cell r="A302" t="str">
            <v>Mexico2020100 / 100</v>
          </cell>
          <cell r="B302" t="str">
            <v>Mexico</v>
          </cell>
          <cell r="C302">
            <v>2020</v>
          </cell>
          <cell r="D302" t="str">
            <v>100 / 100</v>
          </cell>
          <cell r="E302" t="e">
            <v>#N/A</v>
          </cell>
          <cell r="F302" t="e">
            <v>#N/A</v>
          </cell>
          <cell r="G302" t="e">
            <v>#N/A</v>
          </cell>
          <cell r="H302" t="e">
            <v>#N/A</v>
          </cell>
          <cell r="I302" t="e">
            <v>#N/A</v>
          </cell>
          <cell r="J302" t="e">
            <v>#N/A</v>
          </cell>
          <cell r="K302" t="e">
            <v>#N/A</v>
          </cell>
          <cell r="L302" t="e">
            <v>#N/A</v>
          </cell>
          <cell r="M302" t="str">
            <v>..</v>
          </cell>
          <cell r="N302" t="str">
            <v>..</v>
          </cell>
          <cell r="O302" t="str">
            <v>..</v>
          </cell>
          <cell r="P302" t="str">
            <v>..</v>
          </cell>
          <cell r="Q302" t="str">
            <v>..</v>
          </cell>
          <cell r="R302" t="str">
            <v>..</v>
          </cell>
          <cell r="S302" t="str">
            <v>..</v>
          </cell>
          <cell r="T302" t="str">
            <v>..</v>
          </cell>
          <cell r="U302" t="str">
            <v>..</v>
          </cell>
          <cell r="V302">
            <v>0</v>
          </cell>
          <cell r="W302">
            <v>0</v>
          </cell>
          <cell r="X302">
            <v>0</v>
          </cell>
          <cell r="Y302" t="str">
            <v>-</v>
          </cell>
          <cell r="Z302" t="str">
            <v>No statutory entitlement</v>
          </cell>
          <cell r="AA302" t="str">
            <v>-</v>
          </cell>
          <cell r="AB302" t="str">
            <v>-</v>
          </cell>
          <cell r="AC302" t="str">
            <v>-</v>
          </cell>
          <cell r="AD302" t="str">
            <v>-</v>
          </cell>
          <cell r="AE302" t="str">
            <v>-</v>
          </cell>
          <cell r="AF302" t="str">
            <v>-</v>
          </cell>
          <cell r="AG302" t="str">
            <v>-</v>
          </cell>
          <cell r="AH302" t="str">
            <v>-</v>
          </cell>
          <cell r="AI302" t="str">
            <v>-</v>
          </cell>
          <cell r="AJ302" t="str">
            <v>-</v>
          </cell>
          <cell r="AK302" t="str">
            <v>-</v>
          </cell>
          <cell r="AL302" t="str">
            <v>-</v>
          </cell>
          <cell r="AM302" t="str">
            <v>-</v>
          </cell>
          <cell r="AN302" t="str">
            <v>-</v>
          </cell>
          <cell r="AO302" t="str">
            <v>-</v>
          </cell>
          <cell r="AP302" t="str">
            <v>-</v>
          </cell>
          <cell r="AQ302" t="str">
            <v>-</v>
          </cell>
          <cell r="AR302" t="str">
            <v>-</v>
          </cell>
          <cell r="AS302" t="str">
            <v>-</v>
          </cell>
          <cell r="AT302" t="str">
            <v>-</v>
          </cell>
          <cell r="AU302" t="str">
            <v>-</v>
          </cell>
          <cell r="AV302" t="str">
            <v>-</v>
          </cell>
          <cell r="AW302" t="str">
            <v>-</v>
          </cell>
          <cell r="AX302" t="str">
            <v>-</v>
          </cell>
          <cell r="AY302" t="str">
            <v>-</v>
          </cell>
          <cell r="AZ302" t="str">
            <v>-</v>
          </cell>
          <cell r="BA302" t="str">
            <v>-</v>
          </cell>
          <cell r="BB302" t="str">
            <v>-</v>
          </cell>
          <cell r="BC302" t="str">
            <v>-</v>
          </cell>
          <cell r="BD302" t="str">
            <v>-</v>
          </cell>
          <cell r="BE302" t="str">
            <v>-</v>
          </cell>
          <cell r="BF302" t="str">
            <v>-</v>
          </cell>
          <cell r="BG302" t="str">
            <v>-</v>
          </cell>
          <cell r="BH302" t="str">
            <v>-</v>
          </cell>
          <cell r="BI302" t="str">
            <v>-</v>
          </cell>
          <cell r="BJ302" t="str">
            <v>-</v>
          </cell>
          <cell r="BK302" t="str">
            <v>-</v>
          </cell>
          <cell r="BL302" t="str">
            <v>-</v>
          </cell>
          <cell r="BM302">
            <v>0</v>
          </cell>
          <cell r="BN302">
            <v>0</v>
          </cell>
          <cell r="BO302" t="str">
            <v>-</v>
          </cell>
          <cell r="BP302" t="str">
            <v>-</v>
          </cell>
          <cell r="BQ302">
            <v>0</v>
          </cell>
          <cell r="BR302">
            <v>0</v>
          </cell>
          <cell r="BS302">
            <v>0</v>
          </cell>
          <cell r="BT302">
            <v>0</v>
          </cell>
        </row>
        <row r="303">
          <cell r="A303" t="str">
            <v>Mexico2021100 / 100</v>
          </cell>
          <cell r="B303" t="str">
            <v>Mexico</v>
          </cell>
          <cell r="C303">
            <v>2021</v>
          </cell>
          <cell r="D303" t="str">
            <v>100 / 100</v>
          </cell>
          <cell r="E303" t="e">
            <v>#N/A</v>
          </cell>
          <cell r="F303" t="e">
            <v>#N/A</v>
          </cell>
          <cell r="G303" t="e">
            <v>#N/A</v>
          </cell>
          <cell r="H303" t="e">
            <v>#N/A</v>
          </cell>
          <cell r="I303" t="e">
            <v>#N/A</v>
          </cell>
          <cell r="J303" t="e">
            <v>#N/A</v>
          </cell>
          <cell r="K303" t="e">
            <v>#N/A</v>
          </cell>
          <cell r="L303" t="e">
            <v>#N/A</v>
          </cell>
          <cell r="M303" t="str">
            <v>..</v>
          </cell>
          <cell r="N303" t="str">
            <v>..</v>
          </cell>
          <cell r="O303" t="str">
            <v>..</v>
          </cell>
          <cell r="P303" t="str">
            <v>..</v>
          </cell>
          <cell r="Q303" t="str">
            <v>..</v>
          </cell>
          <cell r="R303" t="str">
            <v>..</v>
          </cell>
          <cell r="S303" t="str">
            <v>..</v>
          </cell>
          <cell r="T303" t="str">
            <v>..</v>
          </cell>
          <cell r="U303" t="str">
            <v>..</v>
          </cell>
          <cell r="V303">
            <v>0</v>
          </cell>
          <cell r="W303">
            <v>0</v>
          </cell>
          <cell r="X303">
            <v>0</v>
          </cell>
          <cell r="Y303" t="str">
            <v>-</v>
          </cell>
          <cell r="Z303" t="str">
            <v>No statutory entitlement</v>
          </cell>
          <cell r="AA303" t="str">
            <v>-</v>
          </cell>
          <cell r="AB303" t="str">
            <v>-</v>
          </cell>
          <cell r="AC303" t="str">
            <v>-</v>
          </cell>
          <cell r="AD303" t="str">
            <v>-</v>
          </cell>
          <cell r="AE303" t="str">
            <v>-</v>
          </cell>
          <cell r="AF303" t="str">
            <v>-</v>
          </cell>
          <cell r="AG303" t="str">
            <v>-</v>
          </cell>
          <cell r="AH303" t="str">
            <v>-</v>
          </cell>
          <cell r="AI303" t="str">
            <v>-</v>
          </cell>
          <cell r="AJ303" t="str">
            <v>-</v>
          </cell>
          <cell r="AK303" t="str">
            <v>-</v>
          </cell>
          <cell r="AL303" t="str">
            <v>-</v>
          </cell>
          <cell r="AM303" t="str">
            <v>-</v>
          </cell>
          <cell r="AN303" t="str">
            <v>-</v>
          </cell>
          <cell r="AO303" t="str">
            <v>-</v>
          </cell>
          <cell r="AP303" t="str">
            <v>-</v>
          </cell>
          <cell r="AQ303" t="str">
            <v>-</v>
          </cell>
          <cell r="AR303" t="str">
            <v>-</v>
          </cell>
          <cell r="AS303" t="str">
            <v>-</v>
          </cell>
          <cell r="AT303" t="str">
            <v>-</v>
          </cell>
          <cell r="AU303" t="str">
            <v>-</v>
          </cell>
          <cell r="AV303" t="str">
            <v>-</v>
          </cell>
          <cell r="AW303" t="str">
            <v>-</v>
          </cell>
          <cell r="AX303" t="str">
            <v>-</v>
          </cell>
          <cell r="AY303" t="str">
            <v>-</v>
          </cell>
          <cell r="AZ303" t="str">
            <v>-</v>
          </cell>
          <cell r="BA303" t="str">
            <v>-</v>
          </cell>
          <cell r="BB303" t="str">
            <v>-</v>
          </cell>
          <cell r="BC303" t="str">
            <v>-</v>
          </cell>
          <cell r="BD303" t="str">
            <v>-</v>
          </cell>
          <cell r="BE303" t="str">
            <v>-</v>
          </cell>
          <cell r="BF303" t="str">
            <v>-</v>
          </cell>
          <cell r="BG303" t="str">
            <v>-</v>
          </cell>
          <cell r="BH303" t="str">
            <v>-</v>
          </cell>
          <cell r="BI303" t="str">
            <v>-</v>
          </cell>
          <cell r="BJ303" t="str">
            <v>-</v>
          </cell>
          <cell r="BK303" t="str">
            <v>-</v>
          </cell>
          <cell r="BL303" t="str">
            <v>-</v>
          </cell>
          <cell r="BM303">
            <v>0</v>
          </cell>
          <cell r="BN303">
            <v>0</v>
          </cell>
          <cell r="BO303" t="str">
            <v>-</v>
          </cell>
          <cell r="BP303" t="str">
            <v>-</v>
          </cell>
          <cell r="BQ303">
            <v>0</v>
          </cell>
          <cell r="BR303">
            <v>0</v>
          </cell>
          <cell r="BS303">
            <v>0</v>
          </cell>
          <cell r="BT303">
            <v>0</v>
          </cell>
        </row>
        <row r="304">
          <cell r="A304" t="str">
            <v>Mexico2022100 / 100</v>
          </cell>
          <cell r="B304" t="str">
            <v>Mexico</v>
          </cell>
          <cell r="C304">
            <v>2022</v>
          </cell>
          <cell r="D304" t="str">
            <v>100 / 100</v>
          </cell>
          <cell r="E304" t="e">
            <v>#N/A</v>
          </cell>
          <cell r="F304" t="e">
            <v>#N/A</v>
          </cell>
          <cell r="G304" t="e">
            <v>#N/A</v>
          </cell>
          <cell r="H304" t="e">
            <v>#N/A</v>
          </cell>
          <cell r="I304" t="e">
            <v>#N/A</v>
          </cell>
          <cell r="J304" t="e">
            <v>#N/A</v>
          </cell>
          <cell r="K304" t="e">
            <v>#N/A</v>
          </cell>
          <cell r="L304" t="e">
            <v>#N/A</v>
          </cell>
          <cell r="M304" t="str">
            <v>..</v>
          </cell>
          <cell r="N304" t="str">
            <v>..</v>
          </cell>
          <cell r="O304" t="str">
            <v>..</v>
          </cell>
          <cell r="P304" t="str">
            <v>..</v>
          </cell>
          <cell r="Q304" t="str">
            <v>..</v>
          </cell>
          <cell r="R304" t="str">
            <v>..</v>
          </cell>
          <cell r="S304" t="str">
            <v>..</v>
          </cell>
          <cell r="T304" t="str">
            <v>..</v>
          </cell>
          <cell r="U304" t="str">
            <v>..</v>
          </cell>
          <cell r="V304">
            <v>0</v>
          </cell>
          <cell r="W304">
            <v>0</v>
          </cell>
          <cell r="X304">
            <v>0</v>
          </cell>
          <cell r="Y304" t="str">
            <v>-</v>
          </cell>
          <cell r="Z304" t="str">
            <v>No statutory entitlement</v>
          </cell>
          <cell r="AA304" t="str">
            <v>-</v>
          </cell>
          <cell r="AB304" t="str">
            <v>-</v>
          </cell>
          <cell r="AC304" t="str">
            <v>-</v>
          </cell>
          <cell r="AD304" t="str">
            <v>-</v>
          </cell>
          <cell r="AE304" t="str">
            <v>-</v>
          </cell>
          <cell r="AF304" t="str">
            <v>-</v>
          </cell>
          <cell r="AG304" t="str">
            <v>-</v>
          </cell>
          <cell r="AH304" t="str">
            <v>-</v>
          </cell>
          <cell r="AI304" t="str">
            <v>-</v>
          </cell>
          <cell r="AJ304" t="str">
            <v>-</v>
          </cell>
          <cell r="AK304" t="str">
            <v>-</v>
          </cell>
          <cell r="AL304" t="str">
            <v>-</v>
          </cell>
          <cell r="AM304" t="str">
            <v>-</v>
          </cell>
          <cell r="AN304" t="str">
            <v>-</v>
          </cell>
          <cell r="AO304" t="str">
            <v>-</v>
          </cell>
          <cell r="AP304" t="str">
            <v>-</v>
          </cell>
          <cell r="AQ304" t="str">
            <v>-</v>
          </cell>
          <cell r="AR304" t="str">
            <v>-</v>
          </cell>
          <cell r="AS304" t="str">
            <v>-</v>
          </cell>
          <cell r="AT304" t="str">
            <v>-</v>
          </cell>
          <cell r="AU304" t="str">
            <v>-</v>
          </cell>
          <cell r="AV304" t="str">
            <v>-</v>
          </cell>
          <cell r="AW304" t="str">
            <v>-</v>
          </cell>
          <cell r="AX304" t="str">
            <v>-</v>
          </cell>
          <cell r="AY304" t="str">
            <v>-</v>
          </cell>
          <cell r="AZ304" t="str">
            <v>-</v>
          </cell>
          <cell r="BA304" t="str">
            <v>-</v>
          </cell>
          <cell r="BB304" t="str">
            <v>-</v>
          </cell>
          <cell r="BC304" t="str">
            <v>-</v>
          </cell>
          <cell r="BD304" t="str">
            <v>-</v>
          </cell>
          <cell r="BE304" t="str">
            <v>-</v>
          </cell>
          <cell r="BF304" t="str">
            <v>-</v>
          </cell>
          <cell r="BG304" t="str">
            <v>-</v>
          </cell>
          <cell r="BH304" t="str">
            <v>-</v>
          </cell>
          <cell r="BI304" t="str">
            <v>-</v>
          </cell>
          <cell r="BJ304" t="str">
            <v>-</v>
          </cell>
          <cell r="BK304" t="str">
            <v>-</v>
          </cell>
          <cell r="BL304" t="str">
            <v>-</v>
          </cell>
          <cell r="BM304">
            <v>0</v>
          </cell>
          <cell r="BN304">
            <v>0</v>
          </cell>
          <cell r="BO304" t="str">
            <v>-</v>
          </cell>
          <cell r="BP304" t="str">
            <v>-</v>
          </cell>
          <cell r="BQ304">
            <v>0</v>
          </cell>
          <cell r="BR304">
            <v>0</v>
          </cell>
          <cell r="BS304">
            <v>0</v>
          </cell>
          <cell r="BT304">
            <v>0</v>
          </cell>
        </row>
        <row r="305">
          <cell r="A305" t="str">
            <v>Mexico2023100 / 100</v>
          </cell>
          <cell r="B305" t="str">
            <v>Mexico</v>
          </cell>
          <cell r="C305">
            <v>2023</v>
          </cell>
          <cell r="D305" t="str">
            <v>100 / 100</v>
          </cell>
          <cell r="E305" t="e">
            <v>#N/A</v>
          </cell>
          <cell r="F305" t="e">
            <v>#N/A</v>
          </cell>
          <cell r="G305" t="e">
            <v>#N/A</v>
          </cell>
          <cell r="H305" t="e">
            <v>#N/A</v>
          </cell>
          <cell r="I305" t="e">
            <v>#N/A</v>
          </cell>
          <cell r="J305" t="e">
            <v>#N/A</v>
          </cell>
          <cell r="K305" t="e">
            <v>#N/A</v>
          </cell>
          <cell r="L305" t="e">
            <v>#N/A</v>
          </cell>
          <cell r="M305" t="str">
            <v>..</v>
          </cell>
          <cell r="N305" t="str">
            <v>..</v>
          </cell>
          <cell r="O305" t="str">
            <v>..</v>
          </cell>
          <cell r="P305" t="str">
            <v>..</v>
          </cell>
          <cell r="Q305" t="str">
            <v>..</v>
          </cell>
          <cell r="R305" t="str">
            <v>..</v>
          </cell>
          <cell r="S305" t="str">
            <v>..</v>
          </cell>
          <cell r="T305" t="str">
            <v>..</v>
          </cell>
          <cell r="U305" t="str">
            <v>..</v>
          </cell>
          <cell r="V305">
            <v>0</v>
          </cell>
          <cell r="W305">
            <v>0</v>
          </cell>
          <cell r="X305">
            <v>0</v>
          </cell>
          <cell r="Y305" t="str">
            <v>-</v>
          </cell>
          <cell r="Z305" t="str">
            <v>No statutory entitlement</v>
          </cell>
          <cell r="AA305" t="str">
            <v>-</v>
          </cell>
          <cell r="AB305" t="str">
            <v>-</v>
          </cell>
          <cell r="AC305" t="str">
            <v>-</v>
          </cell>
          <cell r="AD305" t="str">
            <v>-</v>
          </cell>
          <cell r="AE305" t="str">
            <v>-</v>
          </cell>
          <cell r="AF305" t="str">
            <v>-</v>
          </cell>
          <cell r="AG305" t="str">
            <v>-</v>
          </cell>
          <cell r="AH305" t="str">
            <v>-</v>
          </cell>
          <cell r="AI305" t="str">
            <v>-</v>
          </cell>
          <cell r="AJ305" t="str">
            <v>-</v>
          </cell>
          <cell r="AK305" t="str">
            <v>-</v>
          </cell>
          <cell r="AL305" t="str">
            <v>-</v>
          </cell>
          <cell r="AM305" t="str">
            <v>-</v>
          </cell>
          <cell r="AN305" t="str">
            <v>-</v>
          </cell>
          <cell r="AO305" t="str">
            <v>-</v>
          </cell>
          <cell r="AP305" t="str">
            <v>-</v>
          </cell>
          <cell r="AQ305" t="str">
            <v>-</v>
          </cell>
          <cell r="AR305" t="str">
            <v>-</v>
          </cell>
          <cell r="AS305" t="str">
            <v>-</v>
          </cell>
          <cell r="AT305" t="str">
            <v>-</v>
          </cell>
          <cell r="AU305" t="str">
            <v>-</v>
          </cell>
          <cell r="AV305" t="str">
            <v>-</v>
          </cell>
          <cell r="AW305" t="str">
            <v>-</v>
          </cell>
          <cell r="AX305" t="str">
            <v>-</v>
          </cell>
          <cell r="AY305" t="str">
            <v>-</v>
          </cell>
          <cell r="AZ305" t="str">
            <v>-</v>
          </cell>
          <cell r="BA305" t="str">
            <v>-</v>
          </cell>
          <cell r="BB305" t="str">
            <v>-</v>
          </cell>
          <cell r="BC305" t="str">
            <v>-</v>
          </cell>
          <cell r="BD305" t="str">
            <v>-</v>
          </cell>
          <cell r="BE305" t="str">
            <v>-</v>
          </cell>
          <cell r="BF305" t="str">
            <v>-</v>
          </cell>
          <cell r="BG305" t="str">
            <v>-</v>
          </cell>
          <cell r="BH305" t="str">
            <v>-</v>
          </cell>
          <cell r="BI305" t="str">
            <v>-</v>
          </cell>
          <cell r="BJ305" t="str">
            <v>-</v>
          </cell>
          <cell r="BK305" t="str">
            <v>-</v>
          </cell>
          <cell r="BL305" t="str">
            <v>-</v>
          </cell>
          <cell r="BM305">
            <v>0</v>
          </cell>
          <cell r="BN305">
            <v>0</v>
          </cell>
          <cell r="BO305" t="str">
            <v>-</v>
          </cell>
          <cell r="BP305" t="str">
            <v>-</v>
          </cell>
          <cell r="BQ305">
            <v>0</v>
          </cell>
          <cell r="BR305">
            <v>0</v>
          </cell>
          <cell r="BS305">
            <v>0</v>
          </cell>
          <cell r="BT305">
            <v>0</v>
          </cell>
        </row>
        <row r="306">
          <cell r="A306" t="str">
            <v>Mexico2024100 / 100</v>
          </cell>
          <cell r="B306" t="str">
            <v>Mexico</v>
          </cell>
          <cell r="C306">
            <v>2024</v>
          </cell>
          <cell r="D306" t="str">
            <v>100 / 100</v>
          </cell>
          <cell r="E306" t="e">
            <v>#N/A</v>
          </cell>
          <cell r="F306" t="e">
            <v>#N/A</v>
          </cell>
          <cell r="G306" t="e">
            <v>#N/A</v>
          </cell>
          <cell r="H306" t="e">
            <v>#N/A</v>
          </cell>
          <cell r="I306" t="e">
            <v>#N/A</v>
          </cell>
          <cell r="J306" t="e">
            <v>#N/A</v>
          </cell>
          <cell r="K306" t="e">
            <v>#N/A</v>
          </cell>
          <cell r="L306" t="e">
            <v>#N/A</v>
          </cell>
          <cell r="M306" t="str">
            <v>..</v>
          </cell>
          <cell r="N306" t="str">
            <v>..</v>
          </cell>
          <cell r="O306" t="str">
            <v>..</v>
          </cell>
          <cell r="P306" t="str">
            <v>..</v>
          </cell>
          <cell r="Q306" t="str">
            <v>..</v>
          </cell>
          <cell r="R306" t="str">
            <v>..</v>
          </cell>
          <cell r="S306" t="str">
            <v>..</v>
          </cell>
          <cell r="T306" t="str">
            <v>..</v>
          </cell>
          <cell r="U306" t="str">
            <v>..</v>
          </cell>
          <cell r="V306">
            <v>0</v>
          </cell>
          <cell r="W306">
            <v>0</v>
          </cell>
          <cell r="X306">
            <v>0</v>
          </cell>
          <cell r="Y306" t="str">
            <v>-</v>
          </cell>
          <cell r="Z306" t="str">
            <v>No statutory entitlement</v>
          </cell>
          <cell r="AA306" t="str">
            <v>-</v>
          </cell>
          <cell r="AB306" t="str">
            <v>-</v>
          </cell>
          <cell r="AC306" t="str">
            <v>-</v>
          </cell>
          <cell r="AD306" t="str">
            <v>-</v>
          </cell>
          <cell r="AE306" t="str">
            <v>-</v>
          </cell>
          <cell r="AF306" t="str">
            <v>-</v>
          </cell>
          <cell r="AG306" t="str">
            <v>-</v>
          </cell>
          <cell r="AH306" t="str">
            <v>-</v>
          </cell>
          <cell r="AI306" t="str">
            <v>-</v>
          </cell>
          <cell r="AJ306" t="str">
            <v>-</v>
          </cell>
          <cell r="AK306" t="str">
            <v>-</v>
          </cell>
          <cell r="AL306" t="str">
            <v>-</v>
          </cell>
          <cell r="AM306" t="str">
            <v>-</v>
          </cell>
          <cell r="AN306" t="str">
            <v>-</v>
          </cell>
          <cell r="AO306" t="str">
            <v>-</v>
          </cell>
          <cell r="AP306" t="str">
            <v>-</v>
          </cell>
          <cell r="AQ306" t="str">
            <v>-</v>
          </cell>
          <cell r="AR306" t="str">
            <v>-</v>
          </cell>
          <cell r="AS306" t="str">
            <v>-</v>
          </cell>
          <cell r="AT306" t="str">
            <v>-</v>
          </cell>
          <cell r="AU306" t="str">
            <v>-</v>
          </cell>
          <cell r="AV306" t="str">
            <v>-</v>
          </cell>
          <cell r="AW306" t="str">
            <v>-</v>
          </cell>
          <cell r="AX306" t="str">
            <v>-</v>
          </cell>
          <cell r="AY306" t="str">
            <v>-</v>
          </cell>
          <cell r="AZ306" t="str">
            <v>-</v>
          </cell>
          <cell r="BA306" t="str">
            <v>-</v>
          </cell>
          <cell r="BB306" t="str">
            <v>-</v>
          </cell>
          <cell r="BC306" t="str">
            <v>-</v>
          </cell>
          <cell r="BD306" t="str">
            <v>-</v>
          </cell>
          <cell r="BE306" t="str">
            <v>-</v>
          </cell>
          <cell r="BF306" t="str">
            <v>-</v>
          </cell>
          <cell r="BG306" t="str">
            <v>-</v>
          </cell>
          <cell r="BH306" t="str">
            <v>-</v>
          </cell>
          <cell r="BI306" t="str">
            <v>-</v>
          </cell>
          <cell r="BJ306" t="str">
            <v>-</v>
          </cell>
          <cell r="BK306" t="str">
            <v>-</v>
          </cell>
          <cell r="BL306" t="str">
            <v>-</v>
          </cell>
          <cell r="BM306">
            <v>0</v>
          </cell>
          <cell r="BN306">
            <v>0</v>
          </cell>
          <cell r="BO306" t="str">
            <v>-</v>
          </cell>
          <cell r="BP306" t="str">
            <v>-</v>
          </cell>
          <cell r="BQ306">
            <v>0</v>
          </cell>
          <cell r="BR306">
            <v>0</v>
          </cell>
          <cell r="BS306">
            <v>0</v>
          </cell>
          <cell r="BT306">
            <v>0</v>
          </cell>
        </row>
        <row r="307">
          <cell r="A307" t="str">
            <v>Mexico2025100 / 100</v>
          </cell>
          <cell r="B307" t="str">
            <v>Mexico</v>
          </cell>
          <cell r="C307">
            <v>2025</v>
          </cell>
          <cell r="D307" t="str">
            <v>100 / 100</v>
          </cell>
          <cell r="E307" t="e">
            <v>#N/A</v>
          </cell>
          <cell r="F307" t="e">
            <v>#N/A</v>
          </cell>
          <cell r="G307" t="e">
            <v>#N/A</v>
          </cell>
          <cell r="H307" t="e">
            <v>#N/A</v>
          </cell>
          <cell r="I307" t="e">
            <v>#N/A</v>
          </cell>
          <cell r="J307" t="e">
            <v>#N/A</v>
          </cell>
          <cell r="K307" t="e">
            <v>#N/A</v>
          </cell>
          <cell r="L307" t="e">
            <v>#N/A</v>
          </cell>
          <cell r="M307" t="str">
            <v>..</v>
          </cell>
          <cell r="N307" t="str">
            <v>..</v>
          </cell>
          <cell r="O307" t="str">
            <v>..</v>
          </cell>
          <cell r="P307" t="str">
            <v>..</v>
          </cell>
          <cell r="Q307" t="str">
            <v>..</v>
          </cell>
          <cell r="R307" t="str">
            <v>..</v>
          </cell>
          <cell r="S307" t="str">
            <v>..</v>
          </cell>
          <cell r="T307" t="str">
            <v>..</v>
          </cell>
          <cell r="U307" t="str">
            <v>..</v>
          </cell>
          <cell r="V307">
            <v>0</v>
          </cell>
          <cell r="W307">
            <v>0</v>
          </cell>
          <cell r="X307">
            <v>0</v>
          </cell>
          <cell r="Y307" t="str">
            <v>-</v>
          </cell>
          <cell r="Z307" t="str">
            <v>No statutory entitlement</v>
          </cell>
          <cell r="AA307" t="str">
            <v>-</v>
          </cell>
          <cell r="AB307" t="str">
            <v>-</v>
          </cell>
          <cell r="AC307" t="str">
            <v>-</v>
          </cell>
          <cell r="AD307" t="str">
            <v>-</v>
          </cell>
          <cell r="AE307" t="str">
            <v>-</v>
          </cell>
          <cell r="AF307" t="str">
            <v>-</v>
          </cell>
          <cell r="AG307" t="str">
            <v>-</v>
          </cell>
          <cell r="AH307" t="str">
            <v>-</v>
          </cell>
          <cell r="AI307" t="str">
            <v>-</v>
          </cell>
          <cell r="AJ307" t="str">
            <v>-</v>
          </cell>
          <cell r="AK307" t="str">
            <v>-</v>
          </cell>
          <cell r="AL307" t="str">
            <v>-</v>
          </cell>
          <cell r="AM307" t="str">
            <v>-</v>
          </cell>
          <cell r="AN307" t="str">
            <v>-</v>
          </cell>
          <cell r="AO307" t="str">
            <v>-</v>
          </cell>
          <cell r="AP307" t="str">
            <v>-</v>
          </cell>
          <cell r="AQ307" t="str">
            <v>-</v>
          </cell>
          <cell r="AR307" t="str">
            <v>-</v>
          </cell>
          <cell r="AS307" t="str">
            <v>-</v>
          </cell>
          <cell r="AT307" t="str">
            <v>-</v>
          </cell>
          <cell r="AU307" t="str">
            <v>-</v>
          </cell>
          <cell r="AV307" t="str">
            <v>-</v>
          </cell>
          <cell r="AW307" t="str">
            <v>-</v>
          </cell>
          <cell r="AX307" t="str">
            <v>-</v>
          </cell>
          <cell r="AY307" t="str">
            <v>-</v>
          </cell>
          <cell r="AZ307" t="str">
            <v>-</v>
          </cell>
          <cell r="BA307" t="str">
            <v>-</v>
          </cell>
          <cell r="BB307" t="str">
            <v>-</v>
          </cell>
          <cell r="BC307" t="str">
            <v>-</v>
          </cell>
          <cell r="BD307" t="str">
            <v>-</v>
          </cell>
          <cell r="BE307" t="str">
            <v>-</v>
          </cell>
          <cell r="BF307" t="str">
            <v>-</v>
          </cell>
          <cell r="BG307" t="str">
            <v>-</v>
          </cell>
          <cell r="BH307" t="str">
            <v>-</v>
          </cell>
          <cell r="BI307" t="str">
            <v>-</v>
          </cell>
          <cell r="BJ307" t="str">
            <v>-</v>
          </cell>
          <cell r="BK307" t="str">
            <v>-</v>
          </cell>
          <cell r="BL307" t="str">
            <v>-</v>
          </cell>
          <cell r="BM307">
            <v>0</v>
          </cell>
          <cell r="BN307">
            <v>0</v>
          </cell>
          <cell r="BO307" t="str">
            <v>-</v>
          </cell>
          <cell r="BP307" t="str">
            <v>-</v>
          </cell>
          <cell r="BQ307">
            <v>0</v>
          </cell>
          <cell r="BR307">
            <v>0</v>
          </cell>
          <cell r="BS307">
            <v>0</v>
          </cell>
          <cell r="BT307">
            <v>0</v>
          </cell>
        </row>
        <row r="308">
          <cell r="A308" t="str">
            <v>Netherlands2014100 / 100</v>
          </cell>
          <cell r="B308" t="str">
            <v>Netherlands</v>
          </cell>
          <cell r="C308">
            <v>2014</v>
          </cell>
          <cell r="D308" t="str">
            <v>100 / 100</v>
          </cell>
          <cell r="E308">
            <v>48360</v>
          </cell>
          <cell r="F308">
            <v>4030</v>
          </cell>
          <cell r="G308">
            <v>930.00715390118376</v>
          </cell>
          <cell r="H308">
            <v>186.00143078023675</v>
          </cell>
          <cell r="I308">
            <v>48360</v>
          </cell>
          <cell r="J308">
            <v>4030</v>
          </cell>
          <cell r="K308">
            <v>930.00715390118376</v>
          </cell>
          <cell r="L308">
            <v>186.00143078023675</v>
          </cell>
          <cell r="M308" t="str">
            <v>..</v>
          </cell>
          <cell r="N308" t="str">
            <v>..</v>
          </cell>
          <cell r="O308" t="str">
            <v>..</v>
          </cell>
          <cell r="P308" t="str">
            <v>..</v>
          </cell>
          <cell r="Q308" t="str">
            <v>..</v>
          </cell>
          <cell r="R308" t="str">
            <v>..</v>
          </cell>
          <cell r="S308" t="str">
            <v>..</v>
          </cell>
          <cell r="T308" t="str">
            <v>..</v>
          </cell>
          <cell r="U308" t="str">
            <v>..</v>
          </cell>
          <cell r="V308">
            <v>26</v>
          </cell>
          <cell r="W308">
            <v>26</v>
          </cell>
          <cell r="X308">
            <v>0</v>
          </cell>
          <cell r="Y308" t="str">
            <v>-</v>
          </cell>
          <cell r="Z308" t="str">
            <v xml:space="preserve">Six months (to be taken part-time): technically unpaid, but all parents taking Parental leave are entitled to a tax reduction of €4.24 an hour for each hour of leave. [NOTE: assumed an 8 hour working day]. </v>
          </cell>
          <cell r="AA308" t="str">
            <v>Gross</v>
          </cell>
          <cell r="AB308" t="str">
            <v>N</v>
          </cell>
          <cell r="AC308">
            <v>26</v>
          </cell>
          <cell r="AD308" t="str">
            <v>-</v>
          </cell>
          <cell r="AE308" t="str">
            <v>-</v>
          </cell>
          <cell r="AF308" t="str">
            <v>-</v>
          </cell>
          <cell r="AG308" t="str">
            <v>-</v>
          </cell>
          <cell r="AH308" t="str">
            <v>-</v>
          </cell>
          <cell r="AI308">
            <v>33.92</v>
          </cell>
          <cell r="AJ308" t="str">
            <v>day</v>
          </cell>
          <cell r="AK308" t="str">
            <v>-</v>
          </cell>
          <cell r="AL308" t="str">
            <v>-</v>
          </cell>
          <cell r="AM308" t="str">
            <v>-</v>
          </cell>
          <cell r="AN308" t="str">
            <v>-</v>
          </cell>
          <cell r="AO308" t="str">
            <v>-</v>
          </cell>
          <cell r="AP308" t="str">
            <v>-</v>
          </cell>
          <cell r="AQ308" t="str">
            <v>-</v>
          </cell>
          <cell r="AR308" t="str">
            <v>-</v>
          </cell>
          <cell r="AS308" t="str">
            <v>-</v>
          </cell>
          <cell r="AT308" t="str">
            <v>-</v>
          </cell>
          <cell r="AU308" t="str">
            <v>-</v>
          </cell>
          <cell r="AV308" t="str">
            <v>-</v>
          </cell>
          <cell r="AW308" t="str">
            <v>-</v>
          </cell>
          <cell r="AX308" t="str">
            <v>-</v>
          </cell>
          <cell r="AY308" t="str">
            <v>-</v>
          </cell>
          <cell r="AZ308" t="str">
            <v>-</v>
          </cell>
          <cell r="BA308" t="str">
            <v>-</v>
          </cell>
          <cell r="BB308" t="str">
            <v>-</v>
          </cell>
          <cell r="BC308" t="str">
            <v>-</v>
          </cell>
          <cell r="BD308" t="str">
            <v>-</v>
          </cell>
          <cell r="BE308" t="str">
            <v>-</v>
          </cell>
          <cell r="BF308" t="str">
            <v>-</v>
          </cell>
          <cell r="BG308" t="str">
            <v>-</v>
          </cell>
          <cell r="BH308" t="str">
            <v>-</v>
          </cell>
          <cell r="BI308" t="str">
            <v>-</v>
          </cell>
          <cell r="BJ308" t="str">
            <v>-</v>
          </cell>
          <cell r="BK308" t="str">
            <v>-</v>
          </cell>
          <cell r="BL308" t="str">
            <v>-</v>
          </cell>
          <cell r="BM308">
            <v>0.18236418858560796</v>
          </cell>
          <cell r="BN308">
            <v>0.18236418858560796</v>
          </cell>
          <cell r="BO308" t="str">
            <v>-</v>
          </cell>
          <cell r="BP308" t="str">
            <v>-</v>
          </cell>
          <cell r="BQ308">
            <v>8819.132160000001</v>
          </cell>
          <cell r="BR308">
            <v>734.92768000000012</v>
          </cell>
          <cell r="BS308">
            <v>169.6</v>
          </cell>
          <cell r="BT308">
            <v>33.92</v>
          </cell>
        </row>
        <row r="309">
          <cell r="A309" t="str">
            <v>Netherlands2015100 / 100</v>
          </cell>
          <cell r="B309" t="str">
            <v>Netherlands</v>
          </cell>
          <cell r="C309">
            <v>2015</v>
          </cell>
          <cell r="D309" t="str">
            <v>100 / 100</v>
          </cell>
          <cell r="E309">
            <v>49540</v>
          </cell>
          <cell r="F309">
            <v>4128.333333333333</v>
          </cell>
          <cell r="G309">
            <v>952.69963615104712</v>
          </cell>
          <cell r="H309">
            <v>190.53992723020943</v>
          </cell>
          <cell r="I309">
            <v>49540</v>
          </cell>
          <cell r="J309">
            <v>4128.333333333333</v>
          </cell>
          <cell r="K309">
            <v>952.69963615104712</v>
          </cell>
          <cell r="L309">
            <v>190.53992723020943</v>
          </cell>
          <cell r="M309" t="str">
            <v>..</v>
          </cell>
          <cell r="N309" t="str">
            <v>..</v>
          </cell>
          <cell r="O309" t="str">
            <v>..</v>
          </cell>
          <cell r="P309" t="str">
            <v>..</v>
          </cell>
          <cell r="Q309" t="str">
            <v>..</v>
          </cell>
          <cell r="R309" t="str">
            <v>..</v>
          </cell>
          <cell r="S309" t="str">
            <v>..</v>
          </cell>
          <cell r="T309" t="str">
            <v>..</v>
          </cell>
          <cell r="U309" t="str">
            <v>..</v>
          </cell>
          <cell r="V309">
            <v>26</v>
          </cell>
          <cell r="W309">
            <v>0</v>
          </cell>
          <cell r="X309">
            <v>26</v>
          </cell>
          <cell r="Y309" t="str">
            <v>-</v>
          </cell>
          <cell r="Z309" t="str">
            <v>Six months unpaid</v>
          </cell>
          <cell r="AA309" t="str">
            <v>-</v>
          </cell>
          <cell r="AB309" t="str">
            <v>-</v>
          </cell>
          <cell r="AC309" t="str">
            <v>-</v>
          </cell>
          <cell r="AD309" t="str">
            <v>-</v>
          </cell>
          <cell r="AE309" t="str">
            <v>-</v>
          </cell>
          <cell r="AF309" t="str">
            <v>-</v>
          </cell>
          <cell r="AG309" t="str">
            <v>-</v>
          </cell>
          <cell r="AH309" t="str">
            <v>-</v>
          </cell>
          <cell r="AI309" t="str">
            <v>-</v>
          </cell>
          <cell r="AJ309" t="str">
            <v>-</v>
          </cell>
          <cell r="AK309" t="str">
            <v>-</v>
          </cell>
          <cell r="AL309" t="str">
            <v>-</v>
          </cell>
          <cell r="AM309" t="str">
            <v>-</v>
          </cell>
          <cell r="AN309" t="str">
            <v>-</v>
          </cell>
          <cell r="AO309" t="str">
            <v>-</v>
          </cell>
          <cell r="AP309" t="str">
            <v>-</v>
          </cell>
          <cell r="AQ309" t="str">
            <v>-</v>
          </cell>
          <cell r="AR309" t="str">
            <v>-</v>
          </cell>
          <cell r="AS309" t="str">
            <v>-</v>
          </cell>
          <cell r="AT309" t="str">
            <v>-</v>
          </cell>
          <cell r="AU309" t="str">
            <v>-</v>
          </cell>
          <cell r="AV309" t="str">
            <v>-</v>
          </cell>
          <cell r="AW309" t="str">
            <v>-</v>
          </cell>
          <cell r="AX309" t="str">
            <v>-</v>
          </cell>
          <cell r="AY309" t="str">
            <v>-</v>
          </cell>
          <cell r="AZ309" t="str">
            <v>-</v>
          </cell>
          <cell r="BA309" t="str">
            <v>-</v>
          </cell>
          <cell r="BB309" t="str">
            <v>-</v>
          </cell>
          <cell r="BC309" t="str">
            <v>-</v>
          </cell>
          <cell r="BD309" t="str">
            <v>-</v>
          </cell>
          <cell r="BE309" t="str">
            <v>-</v>
          </cell>
          <cell r="BF309" t="str">
            <v>-</v>
          </cell>
          <cell r="BG309" t="str">
            <v>-</v>
          </cell>
          <cell r="BH309" t="str">
            <v>-</v>
          </cell>
          <cell r="BI309" t="str">
            <v>-</v>
          </cell>
          <cell r="BJ309" t="str">
            <v>-</v>
          </cell>
          <cell r="BK309" t="str">
            <v>-</v>
          </cell>
          <cell r="BL309" t="str">
            <v>-</v>
          </cell>
          <cell r="BM309">
            <v>0</v>
          </cell>
          <cell r="BN309">
            <v>0</v>
          </cell>
          <cell r="BO309" t="str">
            <v>-</v>
          </cell>
          <cell r="BP309" t="str">
            <v>-</v>
          </cell>
          <cell r="BQ309">
            <v>0</v>
          </cell>
          <cell r="BR309">
            <v>0</v>
          </cell>
          <cell r="BS309">
            <v>0</v>
          </cell>
          <cell r="BT309">
            <v>0</v>
          </cell>
        </row>
        <row r="310">
          <cell r="A310" t="str">
            <v>Netherlands2016100 / 100</v>
          </cell>
          <cell r="B310" t="str">
            <v>Netherlands</v>
          </cell>
          <cell r="C310">
            <v>2016</v>
          </cell>
          <cell r="D310" t="str">
            <v>100 / 100</v>
          </cell>
          <cell r="E310">
            <v>50120</v>
          </cell>
          <cell r="F310">
            <v>4176.666666666667</v>
          </cell>
          <cell r="G310">
            <v>963.85356810436997</v>
          </cell>
          <cell r="H310">
            <v>192.77071362087401</v>
          </cell>
          <cell r="I310">
            <v>50120</v>
          </cell>
          <cell r="J310">
            <v>4176.666666666667</v>
          </cell>
          <cell r="K310">
            <v>963.85356810436997</v>
          </cell>
          <cell r="L310">
            <v>192.77071362087401</v>
          </cell>
          <cell r="M310" t="str">
            <v>..</v>
          </cell>
          <cell r="N310" t="str">
            <v>..</v>
          </cell>
          <cell r="O310" t="str">
            <v>..</v>
          </cell>
          <cell r="P310" t="str">
            <v>..</v>
          </cell>
          <cell r="Q310" t="str">
            <v>..</v>
          </cell>
          <cell r="R310" t="str">
            <v>..</v>
          </cell>
          <cell r="S310" t="str">
            <v>..</v>
          </cell>
          <cell r="T310" t="str">
            <v>..</v>
          </cell>
          <cell r="U310" t="str">
            <v>..</v>
          </cell>
          <cell r="V310">
            <v>26</v>
          </cell>
          <cell r="W310">
            <v>0</v>
          </cell>
          <cell r="X310">
            <v>26</v>
          </cell>
          <cell r="Y310" t="str">
            <v>-</v>
          </cell>
          <cell r="Z310" t="str">
            <v>Six months unpaid</v>
          </cell>
          <cell r="AA310" t="str">
            <v>-</v>
          </cell>
          <cell r="AB310" t="str">
            <v>-</v>
          </cell>
          <cell r="AC310" t="str">
            <v>-</v>
          </cell>
          <cell r="AD310" t="str">
            <v>-</v>
          </cell>
          <cell r="AE310" t="str">
            <v>-</v>
          </cell>
          <cell r="AF310" t="str">
            <v>-</v>
          </cell>
          <cell r="AG310" t="str">
            <v>-</v>
          </cell>
          <cell r="AH310" t="str">
            <v>-</v>
          </cell>
          <cell r="AI310" t="str">
            <v>-</v>
          </cell>
          <cell r="AJ310" t="str">
            <v>-</v>
          </cell>
          <cell r="AK310" t="str">
            <v>-</v>
          </cell>
          <cell r="AL310" t="str">
            <v>-</v>
          </cell>
          <cell r="AM310" t="str">
            <v>-</v>
          </cell>
          <cell r="AN310" t="str">
            <v>-</v>
          </cell>
          <cell r="AO310" t="str">
            <v>-</v>
          </cell>
          <cell r="AP310" t="str">
            <v>-</v>
          </cell>
          <cell r="AQ310" t="str">
            <v>-</v>
          </cell>
          <cell r="AR310" t="str">
            <v>-</v>
          </cell>
          <cell r="AS310" t="str">
            <v>-</v>
          </cell>
          <cell r="AT310" t="str">
            <v>-</v>
          </cell>
          <cell r="AU310" t="str">
            <v>-</v>
          </cell>
          <cell r="AV310" t="str">
            <v>-</v>
          </cell>
          <cell r="AW310" t="str">
            <v>-</v>
          </cell>
          <cell r="AX310" t="str">
            <v>-</v>
          </cell>
          <cell r="AY310" t="str">
            <v>-</v>
          </cell>
          <cell r="AZ310" t="str">
            <v>-</v>
          </cell>
          <cell r="BA310" t="str">
            <v>-</v>
          </cell>
          <cell r="BB310" t="str">
            <v>-</v>
          </cell>
          <cell r="BC310" t="str">
            <v>-</v>
          </cell>
          <cell r="BD310" t="str">
            <v>-</v>
          </cell>
          <cell r="BE310" t="str">
            <v>-</v>
          </cell>
          <cell r="BF310" t="str">
            <v>-</v>
          </cell>
          <cell r="BG310" t="str">
            <v>-</v>
          </cell>
          <cell r="BH310" t="str">
            <v>-</v>
          </cell>
          <cell r="BI310" t="str">
            <v>-</v>
          </cell>
          <cell r="BJ310" t="str">
            <v>-</v>
          </cell>
          <cell r="BK310" t="str">
            <v>-</v>
          </cell>
          <cell r="BL310" t="str">
            <v>-</v>
          </cell>
          <cell r="BM310">
            <v>0</v>
          </cell>
          <cell r="BN310">
            <v>0</v>
          </cell>
          <cell r="BO310" t="str">
            <v>-</v>
          </cell>
          <cell r="BP310" t="str">
            <v>-</v>
          </cell>
          <cell r="BQ310">
            <v>0</v>
          </cell>
          <cell r="BR310">
            <v>0</v>
          </cell>
          <cell r="BS310">
            <v>0</v>
          </cell>
          <cell r="BT310">
            <v>0</v>
          </cell>
        </row>
        <row r="311">
          <cell r="A311" t="str">
            <v>Netherlands2017100 / 100</v>
          </cell>
          <cell r="B311" t="str">
            <v>Netherlands</v>
          </cell>
          <cell r="C311">
            <v>2017</v>
          </cell>
          <cell r="D311" t="str">
            <v>100 / 100</v>
          </cell>
          <cell r="E311">
            <v>50850</v>
          </cell>
          <cell r="F311">
            <v>4237.5</v>
          </cell>
          <cell r="G311">
            <v>977.89213763182784</v>
          </cell>
          <cell r="H311">
            <v>195.57842752636557</v>
          </cell>
          <cell r="I311">
            <v>50850</v>
          </cell>
          <cell r="J311">
            <v>4237.5</v>
          </cell>
          <cell r="K311">
            <v>977.89213763182784</v>
          </cell>
          <cell r="L311">
            <v>195.57842752636557</v>
          </cell>
          <cell r="M311" t="str">
            <v>..</v>
          </cell>
          <cell r="N311" t="str">
            <v>..</v>
          </cell>
          <cell r="O311" t="str">
            <v>..</v>
          </cell>
          <cell r="P311" t="str">
            <v>..</v>
          </cell>
          <cell r="Q311" t="str">
            <v>..</v>
          </cell>
          <cell r="R311" t="str">
            <v>..</v>
          </cell>
          <cell r="S311" t="str">
            <v>..</v>
          </cell>
          <cell r="T311" t="str">
            <v>..</v>
          </cell>
          <cell r="U311" t="str">
            <v>..</v>
          </cell>
          <cell r="V311">
            <v>26</v>
          </cell>
          <cell r="W311">
            <v>0</v>
          </cell>
          <cell r="X311">
            <v>26</v>
          </cell>
          <cell r="Y311" t="str">
            <v>-</v>
          </cell>
          <cell r="Z311" t="str">
            <v>Six months unpaid</v>
          </cell>
          <cell r="AA311" t="str">
            <v>-</v>
          </cell>
          <cell r="AB311" t="str">
            <v>-</v>
          </cell>
          <cell r="AC311" t="str">
            <v>-</v>
          </cell>
          <cell r="AD311" t="str">
            <v>-</v>
          </cell>
          <cell r="AE311" t="str">
            <v>-</v>
          </cell>
          <cell r="AF311" t="str">
            <v>-</v>
          </cell>
          <cell r="AG311" t="str">
            <v>-</v>
          </cell>
          <cell r="AH311" t="str">
            <v>-</v>
          </cell>
          <cell r="AI311" t="str">
            <v>-</v>
          </cell>
          <cell r="AJ311" t="str">
            <v>-</v>
          </cell>
          <cell r="AK311" t="str">
            <v>-</v>
          </cell>
          <cell r="AL311" t="str">
            <v>-</v>
          </cell>
          <cell r="AM311" t="str">
            <v>-</v>
          </cell>
          <cell r="AN311" t="str">
            <v>-</v>
          </cell>
          <cell r="AO311" t="str">
            <v>-</v>
          </cell>
          <cell r="AP311" t="str">
            <v>-</v>
          </cell>
          <cell r="AQ311" t="str">
            <v>-</v>
          </cell>
          <cell r="AR311" t="str">
            <v>-</v>
          </cell>
          <cell r="AS311" t="str">
            <v>-</v>
          </cell>
          <cell r="AT311" t="str">
            <v>-</v>
          </cell>
          <cell r="AU311" t="str">
            <v>-</v>
          </cell>
          <cell r="AV311" t="str">
            <v>-</v>
          </cell>
          <cell r="AW311" t="str">
            <v>-</v>
          </cell>
          <cell r="AX311" t="str">
            <v>-</v>
          </cell>
          <cell r="AY311" t="str">
            <v>-</v>
          </cell>
          <cell r="AZ311" t="str">
            <v>-</v>
          </cell>
          <cell r="BA311" t="str">
            <v>-</v>
          </cell>
          <cell r="BB311" t="str">
            <v>-</v>
          </cell>
          <cell r="BC311" t="str">
            <v>-</v>
          </cell>
          <cell r="BD311" t="str">
            <v>-</v>
          </cell>
          <cell r="BE311" t="str">
            <v>-</v>
          </cell>
          <cell r="BF311" t="str">
            <v>-</v>
          </cell>
          <cell r="BG311" t="str">
            <v>-</v>
          </cell>
          <cell r="BH311" t="str">
            <v>-</v>
          </cell>
          <cell r="BI311" t="str">
            <v>-</v>
          </cell>
          <cell r="BJ311" t="str">
            <v>-</v>
          </cell>
          <cell r="BK311" t="str">
            <v>-</v>
          </cell>
          <cell r="BL311" t="str">
            <v>-</v>
          </cell>
          <cell r="BM311">
            <v>0</v>
          </cell>
          <cell r="BN311">
            <v>0</v>
          </cell>
          <cell r="BO311" t="str">
            <v>-</v>
          </cell>
          <cell r="BP311" t="str">
            <v>-</v>
          </cell>
          <cell r="BQ311">
            <v>0</v>
          </cell>
          <cell r="BR311">
            <v>0</v>
          </cell>
          <cell r="BS311">
            <v>0</v>
          </cell>
          <cell r="BT311">
            <v>0</v>
          </cell>
        </row>
        <row r="312">
          <cell r="A312" t="str">
            <v>Netherlands2018100 / 100</v>
          </cell>
          <cell r="B312" t="str">
            <v>Netherlands</v>
          </cell>
          <cell r="C312">
            <v>2018</v>
          </cell>
          <cell r="D312" t="str">
            <v>100 / 100</v>
          </cell>
          <cell r="E312">
            <v>51590</v>
          </cell>
          <cell r="F312">
            <v>4299.166666666667</v>
          </cell>
          <cell r="G312">
            <v>992.12301633089487</v>
          </cell>
          <cell r="H312">
            <v>198.42460326617896</v>
          </cell>
          <cell r="I312">
            <v>51590</v>
          </cell>
          <cell r="J312">
            <v>4299.166666666667</v>
          </cell>
          <cell r="K312">
            <v>992.12301633089487</v>
          </cell>
          <cell r="L312">
            <v>198.42460326617896</v>
          </cell>
          <cell r="M312" t="str">
            <v>..</v>
          </cell>
          <cell r="N312" t="str">
            <v>..</v>
          </cell>
          <cell r="O312" t="str">
            <v>..</v>
          </cell>
          <cell r="P312" t="str">
            <v>..</v>
          </cell>
          <cell r="Q312" t="str">
            <v>..</v>
          </cell>
          <cell r="R312" t="str">
            <v>..</v>
          </cell>
          <cell r="S312" t="str">
            <v>..</v>
          </cell>
          <cell r="T312" t="str">
            <v>..</v>
          </cell>
          <cell r="U312" t="str">
            <v>..</v>
          </cell>
          <cell r="V312">
            <v>26</v>
          </cell>
          <cell r="W312">
            <v>0</v>
          </cell>
          <cell r="X312">
            <v>26</v>
          </cell>
          <cell r="Y312" t="str">
            <v>-</v>
          </cell>
          <cell r="Z312" t="str">
            <v>Six months unpaid</v>
          </cell>
          <cell r="AA312" t="str">
            <v>-</v>
          </cell>
          <cell r="AB312" t="str">
            <v>-</v>
          </cell>
          <cell r="AC312" t="str">
            <v>-</v>
          </cell>
          <cell r="AD312" t="str">
            <v>-</v>
          </cell>
          <cell r="AE312" t="str">
            <v>-</v>
          </cell>
          <cell r="AF312" t="str">
            <v>-</v>
          </cell>
          <cell r="AG312" t="str">
            <v>-</v>
          </cell>
          <cell r="AH312" t="str">
            <v>-</v>
          </cell>
          <cell r="AI312" t="str">
            <v>-</v>
          </cell>
          <cell r="AJ312" t="str">
            <v>-</v>
          </cell>
          <cell r="AK312" t="str">
            <v>-</v>
          </cell>
          <cell r="AL312" t="str">
            <v>-</v>
          </cell>
          <cell r="AM312" t="str">
            <v>-</v>
          </cell>
          <cell r="AN312" t="str">
            <v>-</v>
          </cell>
          <cell r="AO312" t="str">
            <v>-</v>
          </cell>
          <cell r="AP312" t="str">
            <v>-</v>
          </cell>
          <cell r="AQ312" t="str">
            <v>-</v>
          </cell>
          <cell r="AR312" t="str">
            <v>-</v>
          </cell>
          <cell r="AS312" t="str">
            <v>-</v>
          </cell>
          <cell r="AT312" t="str">
            <v>-</v>
          </cell>
          <cell r="AU312" t="str">
            <v>-</v>
          </cell>
          <cell r="AV312" t="str">
            <v>-</v>
          </cell>
          <cell r="AW312" t="str">
            <v>-</v>
          </cell>
          <cell r="AX312" t="str">
            <v>-</v>
          </cell>
          <cell r="AY312" t="str">
            <v>-</v>
          </cell>
          <cell r="AZ312" t="str">
            <v>-</v>
          </cell>
          <cell r="BA312" t="str">
            <v>-</v>
          </cell>
          <cell r="BB312" t="str">
            <v>-</v>
          </cell>
          <cell r="BC312" t="str">
            <v>-</v>
          </cell>
          <cell r="BD312" t="str">
            <v>-</v>
          </cell>
          <cell r="BE312" t="str">
            <v>-</v>
          </cell>
          <cell r="BF312" t="str">
            <v>-</v>
          </cell>
          <cell r="BG312" t="str">
            <v>-</v>
          </cell>
          <cell r="BH312" t="str">
            <v>-</v>
          </cell>
          <cell r="BI312" t="str">
            <v>-</v>
          </cell>
          <cell r="BJ312" t="str">
            <v>-</v>
          </cell>
          <cell r="BK312" t="str">
            <v>-</v>
          </cell>
          <cell r="BL312" t="str">
            <v>-</v>
          </cell>
          <cell r="BM312">
            <v>0</v>
          </cell>
          <cell r="BN312">
            <v>0</v>
          </cell>
          <cell r="BO312" t="str">
            <v>-</v>
          </cell>
          <cell r="BP312" t="str">
            <v>-</v>
          </cell>
          <cell r="BQ312">
            <v>0</v>
          </cell>
          <cell r="BR312">
            <v>0</v>
          </cell>
          <cell r="BS312">
            <v>0</v>
          </cell>
          <cell r="BT312">
            <v>0</v>
          </cell>
        </row>
        <row r="313">
          <cell r="A313" t="str">
            <v>Netherlands2019100 / 100</v>
          </cell>
          <cell r="B313" t="str">
            <v>Netherlands</v>
          </cell>
          <cell r="C313">
            <v>2019</v>
          </cell>
          <cell r="D313" t="str">
            <v>100 / 100</v>
          </cell>
          <cell r="E313">
            <v>52970</v>
          </cell>
          <cell r="F313">
            <v>4414.166666666667</v>
          </cell>
          <cell r="G313">
            <v>1018.6616820129385</v>
          </cell>
          <cell r="H313">
            <v>203.73233640258769</v>
          </cell>
          <cell r="I313">
            <v>52970</v>
          </cell>
          <cell r="J313">
            <v>4414.166666666667</v>
          </cell>
          <cell r="K313">
            <v>1018.6616820129385</v>
          </cell>
          <cell r="L313">
            <v>203.73233640258769</v>
          </cell>
          <cell r="M313" t="str">
            <v>..</v>
          </cell>
          <cell r="N313" t="str">
            <v>..</v>
          </cell>
          <cell r="O313" t="str">
            <v>..</v>
          </cell>
          <cell r="P313" t="str">
            <v>..</v>
          </cell>
          <cell r="Q313" t="str">
            <v>..</v>
          </cell>
          <cell r="R313" t="str">
            <v>..</v>
          </cell>
          <cell r="S313" t="str">
            <v>..</v>
          </cell>
          <cell r="T313" t="str">
            <v>..</v>
          </cell>
          <cell r="U313" t="str">
            <v>..</v>
          </cell>
          <cell r="V313">
            <v>26</v>
          </cell>
          <cell r="W313">
            <v>0</v>
          </cell>
          <cell r="X313">
            <v>26</v>
          </cell>
          <cell r="Y313" t="str">
            <v>-</v>
          </cell>
          <cell r="Z313" t="str">
            <v>Six months unpaid</v>
          </cell>
          <cell r="AA313" t="str">
            <v>-</v>
          </cell>
          <cell r="AB313" t="str">
            <v>-</v>
          </cell>
          <cell r="AC313" t="str">
            <v>-</v>
          </cell>
          <cell r="AD313" t="str">
            <v>-</v>
          </cell>
          <cell r="AE313" t="str">
            <v>-</v>
          </cell>
          <cell r="AF313" t="str">
            <v>-</v>
          </cell>
          <cell r="AG313" t="str">
            <v>-</v>
          </cell>
          <cell r="AH313" t="str">
            <v>-</v>
          </cell>
          <cell r="AI313" t="str">
            <v>-</v>
          </cell>
          <cell r="AJ313" t="str">
            <v>-</v>
          </cell>
          <cell r="AK313" t="str">
            <v>-</v>
          </cell>
          <cell r="AL313" t="str">
            <v>-</v>
          </cell>
          <cell r="AM313" t="str">
            <v>-</v>
          </cell>
          <cell r="AN313" t="str">
            <v>-</v>
          </cell>
          <cell r="AO313" t="str">
            <v>-</v>
          </cell>
          <cell r="AP313" t="str">
            <v>-</v>
          </cell>
          <cell r="AQ313" t="str">
            <v>-</v>
          </cell>
          <cell r="AR313" t="str">
            <v>-</v>
          </cell>
          <cell r="AS313" t="str">
            <v>-</v>
          </cell>
          <cell r="AT313" t="str">
            <v>-</v>
          </cell>
          <cell r="AU313" t="str">
            <v>-</v>
          </cell>
          <cell r="AV313" t="str">
            <v>-</v>
          </cell>
          <cell r="AW313" t="str">
            <v>-</v>
          </cell>
          <cell r="AX313" t="str">
            <v>-</v>
          </cell>
          <cell r="AY313" t="str">
            <v>-</v>
          </cell>
          <cell r="AZ313" t="str">
            <v>-</v>
          </cell>
          <cell r="BA313" t="str">
            <v>-</v>
          </cell>
          <cell r="BB313" t="str">
            <v>-</v>
          </cell>
          <cell r="BC313" t="str">
            <v>-</v>
          </cell>
          <cell r="BD313" t="str">
            <v>-</v>
          </cell>
          <cell r="BE313" t="str">
            <v>-</v>
          </cell>
          <cell r="BF313" t="str">
            <v>-</v>
          </cell>
          <cell r="BG313" t="str">
            <v>-</v>
          </cell>
          <cell r="BH313" t="str">
            <v>-</v>
          </cell>
          <cell r="BI313" t="str">
            <v>-</v>
          </cell>
          <cell r="BJ313" t="str">
            <v>-</v>
          </cell>
          <cell r="BK313" t="str">
            <v>-</v>
          </cell>
          <cell r="BL313" t="str">
            <v>-</v>
          </cell>
          <cell r="BM313">
            <v>0</v>
          </cell>
          <cell r="BN313">
            <v>0</v>
          </cell>
          <cell r="BO313" t="str">
            <v>-</v>
          </cell>
          <cell r="BP313" t="str">
            <v>-</v>
          </cell>
          <cell r="BQ313">
            <v>0</v>
          </cell>
          <cell r="BR313">
            <v>0</v>
          </cell>
          <cell r="BS313">
            <v>0</v>
          </cell>
          <cell r="BT313">
            <v>0</v>
          </cell>
        </row>
        <row r="314">
          <cell r="A314" t="str">
            <v>Netherlands2020100 / 100</v>
          </cell>
          <cell r="B314" t="str">
            <v>Netherlands</v>
          </cell>
          <cell r="C314">
            <v>2020</v>
          </cell>
          <cell r="D314" t="str">
            <v>100 / 100</v>
          </cell>
          <cell r="E314">
            <v>54710</v>
          </cell>
          <cell r="F314">
            <v>4559.166666666667</v>
          </cell>
          <cell r="G314">
            <v>1052.1234778729067</v>
          </cell>
          <cell r="H314">
            <v>210.42469557458134</v>
          </cell>
          <cell r="I314">
            <v>54710</v>
          </cell>
          <cell r="J314">
            <v>4559.166666666667</v>
          </cell>
          <cell r="K314">
            <v>1052.1234778729067</v>
          </cell>
          <cell r="L314">
            <v>210.42469557458134</v>
          </cell>
          <cell r="M314" t="str">
            <v>..</v>
          </cell>
          <cell r="N314" t="str">
            <v>..</v>
          </cell>
          <cell r="O314" t="str">
            <v>..</v>
          </cell>
          <cell r="P314" t="str">
            <v>..</v>
          </cell>
          <cell r="Q314" t="str">
            <v>..</v>
          </cell>
          <cell r="R314" t="str">
            <v>..</v>
          </cell>
          <cell r="S314" t="str">
            <v>..</v>
          </cell>
          <cell r="T314" t="str">
            <v>..</v>
          </cell>
          <cell r="U314" t="str">
            <v>..</v>
          </cell>
          <cell r="V314">
            <v>26</v>
          </cell>
          <cell r="W314">
            <v>0</v>
          </cell>
          <cell r="X314">
            <v>26</v>
          </cell>
          <cell r="Y314" t="str">
            <v>-</v>
          </cell>
          <cell r="Z314" t="str">
            <v>Six months unpaid</v>
          </cell>
          <cell r="AA314" t="str">
            <v>-</v>
          </cell>
          <cell r="AB314" t="str">
            <v>-</v>
          </cell>
          <cell r="AC314" t="str">
            <v>-</v>
          </cell>
          <cell r="AD314" t="str">
            <v>-</v>
          </cell>
          <cell r="AE314" t="str">
            <v>-</v>
          </cell>
          <cell r="AF314" t="str">
            <v>-</v>
          </cell>
          <cell r="AG314" t="str">
            <v>-</v>
          </cell>
          <cell r="AH314" t="str">
            <v>-</v>
          </cell>
          <cell r="AI314" t="str">
            <v>-</v>
          </cell>
          <cell r="AJ314" t="str">
            <v>-</v>
          </cell>
          <cell r="AK314" t="str">
            <v>-</v>
          </cell>
          <cell r="AL314" t="str">
            <v>-</v>
          </cell>
          <cell r="AM314" t="str">
            <v>-</v>
          </cell>
          <cell r="AN314" t="str">
            <v>-</v>
          </cell>
          <cell r="AO314" t="str">
            <v>-</v>
          </cell>
          <cell r="AP314" t="str">
            <v>-</v>
          </cell>
          <cell r="AQ314" t="str">
            <v>-</v>
          </cell>
          <cell r="AR314" t="str">
            <v>-</v>
          </cell>
          <cell r="AS314" t="str">
            <v>-</v>
          </cell>
          <cell r="AT314" t="str">
            <v>-</v>
          </cell>
          <cell r="AU314" t="str">
            <v>-</v>
          </cell>
          <cell r="AV314" t="str">
            <v>-</v>
          </cell>
          <cell r="AW314" t="str">
            <v>-</v>
          </cell>
          <cell r="AX314" t="str">
            <v>-</v>
          </cell>
          <cell r="AY314" t="str">
            <v>-</v>
          </cell>
          <cell r="AZ314" t="str">
            <v>-</v>
          </cell>
          <cell r="BA314" t="str">
            <v>-</v>
          </cell>
          <cell r="BB314" t="str">
            <v>-</v>
          </cell>
          <cell r="BC314" t="str">
            <v>-</v>
          </cell>
          <cell r="BD314" t="str">
            <v>-</v>
          </cell>
          <cell r="BE314" t="str">
            <v>-</v>
          </cell>
          <cell r="BF314" t="str">
            <v>-</v>
          </cell>
          <cell r="BG314" t="str">
            <v>-</v>
          </cell>
          <cell r="BH314" t="str">
            <v>-</v>
          </cell>
          <cell r="BI314" t="str">
            <v>-</v>
          </cell>
          <cell r="BJ314" t="str">
            <v>-</v>
          </cell>
          <cell r="BK314" t="str">
            <v>-</v>
          </cell>
          <cell r="BL314" t="str">
            <v>-</v>
          </cell>
          <cell r="BM314">
            <v>0</v>
          </cell>
          <cell r="BN314">
            <v>0</v>
          </cell>
          <cell r="BO314" t="str">
            <v>-</v>
          </cell>
          <cell r="BP314" t="str">
            <v>-</v>
          </cell>
          <cell r="BQ314">
            <v>0</v>
          </cell>
          <cell r="BR314">
            <v>0</v>
          </cell>
          <cell r="BS314">
            <v>0</v>
          </cell>
          <cell r="BT314">
            <v>0</v>
          </cell>
        </row>
        <row r="315">
          <cell r="A315" t="str">
            <v>Netherlands2021100 / 100</v>
          </cell>
          <cell r="B315" t="str">
            <v>Netherlands</v>
          </cell>
          <cell r="C315">
            <v>2021</v>
          </cell>
          <cell r="D315" t="str">
            <v>100 / 100</v>
          </cell>
          <cell r="E315">
            <v>56320</v>
          </cell>
          <cell r="F315">
            <v>4693.333333333333</v>
          </cell>
          <cell r="G315">
            <v>1083.0852545019575</v>
          </cell>
          <cell r="H315">
            <v>216.61705090039149</v>
          </cell>
          <cell r="I315">
            <v>56320</v>
          </cell>
          <cell r="J315">
            <v>4693.333333333333</v>
          </cell>
          <cell r="K315">
            <v>1083.0852545019575</v>
          </cell>
          <cell r="L315">
            <v>216.61705090039149</v>
          </cell>
          <cell r="M315" t="str">
            <v>..</v>
          </cell>
          <cell r="N315" t="str">
            <v>..</v>
          </cell>
          <cell r="O315" t="str">
            <v>..</v>
          </cell>
          <cell r="P315" t="str">
            <v>..</v>
          </cell>
          <cell r="Q315" t="str">
            <v>..</v>
          </cell>
          <cell r="R315" t="str">
            <v>..</v>
          </cell>
          <cell r="S315" t="str">
            <v>..</v>
          </cell>
          <cell r="T315" t="str">
            <v>..</v>
          </cell>
          <cell r="U315" t="str">
            <v>..</v>
          </cell>
          <cell r="V315">
            <v>26</v>
          </cell>
          <cell r="W315">
            <v>0</v>
          </cell>
          <cell r="X315">
            <v>26</v>
          </cell>
          <cell r="Y315" t="str">
            <v>-</v>
          </cell>
          <cell r="Z315" t="str">
            <v>Six months unpaid</v>
          </cell>
          <cell r="AA315" t="str">
            <v>-</v>
          </cell>
          <cell r="AB315" t="str">
            <v>-</v>
          </cell>
          <cell r="AC315" t="str">
            <v>-</v>
          </cell>
          <cell r="AD315" t="str">
            <v>-</v>
          </cell>
          <cell r="AE315" t="str">
            <v>-</v>
          </cell>
          <cell r="AF315" t="str">
            <v>-</v>
          </cell>
          <cell r="AG315" t="str">
            <v>-</v>
          </cell>
          <cell r="AH315" t="str">
            <v>-</v>
          </cell>
          <cell r="AI315" t="str">
            <v>-</v>
          </cell>
          <cell r="AJ315" t="str">
            <v>-</v>
          </cell>
          <cell r="AK315" t="str">
            <v>-</v>
          </cell>
          <cell r="AL315" t="str">
            <v>-</v>
          </cell>
          <cell r="AM315" t="str">
            <v>-</v>
          </cell>
          <cell r="AN315" t="str">
            <v>-</v>
          </cell>
          <cell r="AO315" t="str">
            <v>-</v>
          </cell>
          <cell r="AP315" t="str">
            <v>-</v>
          </cell>
          <cell r="AQ315" t="str">
            <v>-</v>
          </cell>
          <cell r="AR315" t="str">
            <v>-</v>
          </cell>
          <cell r="AS315" t="str">
            <v>-</v>
          </cell>
          <cell r="AT315" t="str">
            <v>-</v>
          </cell>
          <cell r="AU315" t="str">
            <v>-</v>
          </cell>
          <cell r="AV315" t="str">
            <v>-</v>
          </cell>
          <cell r="AW315" t="str">
            <v>-</v>
          </cell>
          <cell r="AX315" t="str">
            <v>-</v>
          </cell>
          <cell r="AY315" t="str">
            <v>-</v>
          </cell>
          <cell r="AZ315" t="str">
            <v>-</v>
          </cell>
          <cell r="BA315" t="str">
            <v>-</v>
          </cell>
          <cell r="BB315" t="str">
            <v>-</v>
          </cell>
          <cell r="BC315" t="str">
            <v>-</v>
          </cell>
          <cell r="BD315" t="str">
            <v>-</v>
          </cell>
          <cell r="BE315" t="str">
            <v>-</v>
          </cell>
          <cell r="BF315" t="str">
            <v>-</v>
          </cell>
          <cell r="BG315" t="str">
            <v>-</v>
          </cell>
          <cell r="BH315" t="str">
            <v>-</v>
          </cell>
          <cell r="BI315" t="str">
            <v>-</v>
          </cell>
          <cell r="BJ315" t="str">
            <v>-</v>
          </cell>
          <cell r="BK315" t="str">
            <v>-</v>
          </cell>
          <cell r="BL315" t="str">
            <v>-</v>
          </cell>
          <cell r="BM315">
            <v>0</v>
          </cell>
          <cell r="BN315">
            <v>0</v>
          </cell>
          <cell r="BO315" t="str">
            <v>-</v>
          </cell>
          <cell r="BP315" t="str">
            <v>-</v>
          </cell>
          <cell r="BQ315">
            <v>0</v>
          </cell>
          <cell r="BR315">
            <v>0</v>
          </cell>
          <cell r="BS315">
            <v>0</v>
          </cell>
          <cell r="BT315">
            <v>0</v>
          </cell>
        </row>
        <row r="316">
          <cell r="A316" t="str">
            <v>Netherlands2022100 / 100</v>
          </cell>
          <cell r="B316" t="str">
            <v>Netherlands</v>
          </cell>
          <cell r="C316">
            <v>2022</v>
          </cell>
          <cell r="D316" t="str">
            <v>100 / 100</v>
          </cell>
          <cell r="E316">
            <v>58810</v>
          </cell>
          <cell r="F316">
            <v>4900.833333333333</v>
          </cell>
          <cell r="G316">
            <v>1130.9702382326016</v>
          </cell>
          <cell r="H316">
            <v>226.19404764652032</v>
          </cell>
          <cell r="I316">
            <v>58810</v>
          </cell>
          <cell r="J316">
            <v>4900.833333333333</v>
          </cell>
          <cell r="K316">
            <v>1130.9702382326016</v>
          </cell>
          <cell r="L316">
            <v>226.19404764652032</v>
          </cell>
          <cell r="M316" t="str">
            <v>..</v>
          </cell>
          <cell r="N316" t="str">
            <v>..</v>
          </cell>
          <cell r="O316" t="str">
            <v>..</v>
          </cell>
          <cell r="P316" t="str">
            <v>..</v>
          </cell>
          <cell r="Q316" t="str">
            <v>..</v>
          </cell>
          <cell r="R316" t="str">
            <v>..</v>
          </cell>
          <cell r="S316" t="str">
            <v>..</v>
          </cell>
          <cell r="T316" t="str">
            <v>..</v>
          </cell>
          <cell r="U316" t="str">
            <v>..</v>
          </cell>
          <cell r="V316">
            <v>26</v>
          </cell>
          <cell r="W316">
            <v>0</v>
          </cell>
          <cell r="X316">
            <v>26</v>
          </cell>
          <cell r="Y316" t="str">
            <v>-</v>
          </cell>
          <cell r="Z316" t="str">
            <v>Six months unpaid</v>
          </cell>
          <cell r="AA316" t="str">
            <v>-</v>
          </cell>
          <cell r="AB316" t="str">
            <v>-</v>
          </cell>
          <cell r="AC316" t="str">
            <v>-</v>
          </cell>
          <cell r="AD316" t="str">
            <v>-</v>
          </cell>
          <cell r="AE316" t="str">
            <v>-</v>
          </cell>
          <cell r="AF316" t="str">
            <v>-</v>
          </cell>
          <cell r="AG316" t="str">
            <v>-</v>
          </cell>
          <cell r="AH316" t="str">
            <v>-</v>
          </cell>
          <cell r="AI316" t="str">
            <v>-</v>
          </cell>
          <cell r="AJ316" t="str">
            <v>-</v>
          </cell>
          <cell r="AK316" t="str">
            <v>-</v>
          </cell>
          <cell r="AL316" t="str">
            <v>-</v>
          </cell>
          <cell r="AM316" t="str">
            <v>-</v>
          </cell>
          <cell r="AN316" t="str">
            <v>-</v>
          </cell>
          <cell r="AO316" t="str">
            <v>-</v>
          </cell>
          <cell r="AP316" t="str">
            <v>-</v>
          </cell>
          <cell r="AQ316" t="str">
            <v>-</v>
          </cell>
          <cell r="AR316" t="str">
            <v>-</v>
          </cell>
          <cell r="AS316" t="str">
            <v>-</v>
          </cell>
          <cell r="AT316" t="str">
            <v>-</v>
          </cell>
          <cell r="AU316" t="str">
            <v>-</v>
          </cell>
          <cell r="AV316" t="str">
            <v>-</v>
          </cell>
          <cell r="AW316" t="str">
            <v>-</v>
          </cell>
          <cell r="AX316" t="str">
            <v>-</v>
          </cell>
          <cell r="AY316" t="str">
            <v>-</v>
          </cell>
          <cell r="AZ316" t="str">
            <v>-</v>
          </cell>
          <cell r="BA316" t="str">
            <v>-</v>
          </cell>
          <cell r="BB316" t="str">
            <v>-</v>
          </cell>
          <cell r="BC316" t="str">
            <v>-</v>
          </cell>
          <cell r="BD316" t="str">
            <v>-</v>
          </cell>
          <cell r="BE316" t="str">
            <v>-</v>
          </cell>
          <cell r="BF316" t="str">
            <v>-</v>
          </cell>
          <cell r="BG316" t="str">
            <v>-</v>
          </cell>
          <cell r="BH316" t="str">
            <v>-</v>
          </cell>
          <cell r="BI316" t="str">
            <v>-</v>
          </cell>
          <cell r="BJ316" t="str">
            <v>-</v>
          </cell>
          <cell r="BK316" t="str">
            <v>-</v>
          </cell>
          <cell r="BL316" t="str">
            <v>-</v>
          </cell>
          <cell r="BM316">
            <v>0</v>
          </cell>
          <cell r="BN316">
            <v>0</v>
          </cell>
          <cell r="BO316" t="str">
            <v>-</v>
          </cell>
          <cell r="BP316" t="str">
            <v>-</v>
          </cell>
          <cell r="BQ316">
            <v>0</v>
          </cell>
          <cell r="BR316">
            <v>0</v>
          </cell>
          <cell r="BS316">
            <v>0</v>
          </cell>
          <cell r="BT316">
            <v>0</v>
          </cell>
        </row>
        <row r="317">
          <cell r="A317" t="str">
            <v>Netherlands2023100 / 100</v>
          </cell>
          <cell r="B317" t="str">
            <v>Netherlands</v>
          </cell>
          <cell r="C317">
            <v>2023</v>
          </cell>
          <cell r="D317" t="str">
            <v>100 / 100</v>
          </cell>
          <cell r="E317">
            <v>61715.035000000003</v>
          </cell>
          <cell r="F317">
            <v>5142.9195833333333</v>
          </cell>
          <cell r="G317">
            <v>1186.8367256671204</v>
          </cell>
          <cell r="H317">
            <v>237.36734513342407</v>
          </cell>
          <cell r="I317">
            <v>61715.035000000003</v>
          </cell>
          <cell r="J317">
            <v>5142.9195833333333</v>
          </cell>
          <cell r="K317">
            <v>1186.8367256671204</v>
          </cell>
          <cell r="L317">
            <v>237.36734513342407</v>
          </cell>
          <cell r="M317" t="str">
            <v>..</v>
          </cell>
          <cell r="N317" t="str">
            <v>..</v>
          </cell>
          <cell r="O317" t="str">
            <v>..</v>
          </cell>
          <cell r="P317" t="str">
            <v>..</v>
          </cell>
          <cell r="Q317" t="str">
            <v>..</v>
          </cell>
          <cell r="R317" t="str">
            <v>..</v>
          </cell>
          <cell r="S317" t="str">
            <v>..</v>
          </cell>
          <cell r="T317" t="str">
            <v>..</v>
          </cell>
          <cell r="U317" t="str">
            <v>..</v>
          </cell>
          <cell r="V317">
            <v>26</v>
          </cell>
          <cell r="W317">
            <v>9</v>
          </cell>
          <cell r="X317">
            <v>17</v>
          </cell>
          <cell r="Y317" t="str">
            <v>-</v>
          </cell>
          <cell r="Z317" t="str">
            <v xml:space="preserve">Twenty-six times the number of working hours per week per parent per child. For example, a full-time job of 38 hours per week gives a leave entitlement of 988 hours. Leave is an individual, non-transferable entitlement. The first nine weeks of leave, if taken during the first year of the child's life, is paid at 70% of earnings up to an upper limit of 70 per cent of the daily maximum wage (256.54) in 2023. </v>
          </cell>
          <cell r="AA317" t="str">
            <v>-</v>
          </cell>
          <cell r="AB317" t="str">
            <v>-</v>
          </cell>
          <cell r="AC317">
            <v>9</v>
          </cell>
          <cell r="AD317">
            <v>0.7</v>
          </cell>
          <cell r="AE317">
            <v>179.6</v>
          </cell>
          <cell r="AF317" t="str">
            <v>-</v>
          </cell>
          <cell r="AG317" t="str">
            <v>-</v>
          </cell>
          <cell r="AH317" t="str">
            <v>-</v>
          </cell>
          <cell r="AI317" t="str">
            <v>-</v>
          </cell>
          <cell r="AJ317" t="str">
            <v>-</v>
          </cell>
          <cell r="AK317" t="str">
            <v>-</v>
          </cell>
          <cell r="AL317" t="str">
            <v>-</v>
          </cell>
          <cell r="AM317" t="str">
            <v>-</v>
          </cell>
          <cell r="AN317" t="str">
            <v>-</v>
          </cell>
          <cell r="AO317" t="str">
            <v>-</v>
          </cell>
          <cell r="AP317" t="str">
            <v>-</v>
          </cell>
          <cell r="AQ317" t="str">
            <v>-</v>
          </cell>
          <cell r="AR317" t="str">
            <v>-</v>
          </cell>
          <cell r="AS317" t="str">
            <v>-</v>
          </cell>
          <cell r="AT317" t="str">
            <v>-</v>
          </cell>
          <cell r="AU317" t="str">
            <v>-</v>
          </cell>
          <cell r="AV317" t="str">
            <v>-</v>
          </cell>
          <cell r="AW317" t="str">
            <v>-</v>
          </cell>
          <cell r="AX317" t="str">
            <v>-</v>
          </cell>
          <cell r="AY317" t="str">
            <v>-</v>
          </cell>
          <cell r="AZ317" t="str">
            <v>-</v>
          </cell>
          <cell r="BA317" t="str">
            <v>-</v>
          </cell>
          <cell r="BB317" t="str">
            <v>-</v>
          </cell>
          <cell r="BC317" t="str">
            <v>-</v>
          </cell>
          <cell r="BD317" t="str">
            <v>-</v>
          </cell>
          <cell r="BE317" t="str">
            <v>-</v>
          </cell>
          <cell r="BF317" t="str">
            <v>-</v>
          </cell>
          <cell r="BG317" t="str">
            <v>-</v>
          </cell>
          <cell r="BH317" t="str">
            <v>-</v>
          </cell>
          <cell r="BI317" t="str">
            <v>-</v>
          </cell>
          <cell r="BJ317" t="str">
            <v>-</v>
          </cell>
          <cell r="BK317" t="str">
            <v>-</v>
          </cell>
          <cell r="BL317" t="str">
            <v>-</v>
          </cell>
          <cell r="BM317">
            <v>0.7</v>
          </cell>
          <cell r="BN317">
            <v>0.24230769230769231</v>
          </cell>
          <cell r="BO317" t="str">
            <v>-</v>
          </cell>
          <cell r="BP317" t="str">
            <v>-</v>
          </cell>
          <cell r="BQ317">
            <v>43200.5245</v>
          </cell>
          <cell r="BR317">
            <v>3600.0437083333331</v>
          </cell>
          <cell r="BS317">
            <v>830.78570796698421</v>
          </cell>
          <cell r="BT317">
            <v>166.15714159339683</v>
          </cell>
        </row>
        <row r="318">
          <cell r="A318" t="str">
            <v>Netherlands2024100 / 100</v>
          </cell>
          <cell r="B318" t="str">
            <v>Netherlands</v>
          </cell>
          <cell r="C318">
            <v>2024</v>
          </cell>
          <cell r="D318" t="str">
            <v>100 / 100</v>
          </cell>
          <cell r="E318">
            <v>65781.66</v>
          </cell>
          <cell r="F318">
            <v>5481.8050000000003</v>
          </cell>
          <cell r="G318">
            <v>1265.0416541665704</v>
          </cell>
          <cell r="H318">
            <v>253.00833083331409</v>
          </cell>
          <cell r="I318">
            <v>65781.66</v>
          </cell>
          <cell r="J318">
            <v>5481.8050000000003</v>
          </cell>
          <cell r="K318">
            <v>1265.0416541665704</v>
          </cell>
          <cell r="L318">
            <v>253.00833083331409</v>
          </cell>
          <cell r="M318" t="str">
            <v>..</v>
          </cell>
          <cell r="N318" t="str">
            <v>..</v>
          </cell>
          <cell r="O318" t="str">
            <v>..</v>
          </cell>
          <cell r="P318" t="str">
            <v>..</v>
          </cell>
          <cell r="Q318" t="str">
            <v>..</v>
          </cell>
          <cell r="R318" t="str">
            <v>..</v>
          </cell>
          <cell r="S318" t="str">
            <v>..</v>
          </cell>
          <cell r="T318" t="str">
            <v>..</v>
          </cell>
          <cell r="U318" t="str">
            <v>..</v>
          </cell>
          <cell r="V318">
            <v>26</v>
          </cell>
          <cell r="W318">
            <v>9</v>
          </cell>
          <cell r="X318">
            <v>17</v>
          </cell>
          <cell r="Y318" t="str">
            <v>-</v>
          </cell>
          <cell r="Z318" t="str">
            <v xml:space="preserve">Twenty-six times the number of working hours per week per parent per child. For example, a full-time job of 38 hours per week gives a leave entitlement of 988 hours. Leave is an individual, non-transferable entitlement. The first nine weeks of leave, if taken during the first year of the child's life, is paid at 70% of earnings up to an upper limit of 70 per cent of the daily maximum wage (EUR 274.44) in 2024. </v>
          </cell>
          <cell r="AA318" t="str">
            <v>-</v>
          </cell>
          <cell r="AB318" t="str">
            <v>-</v>
          </cell>
          <cell r="AC318">
            <v>9</v>
          </cell>
          <cell r="AD318">
            <v>0.7</v>
          </cell>
          <cell r="AE318">
            <v>274.44</v>
          </cell>
          <cell r="AF318" t="str">
            <v>day</v>
          </cell>
          <cell r="AG318" t="str">
            <v>-</v>
          </cell>
          <cell r="AH318" t="str">
            <v>-</v>
          </cell>
          <cell r="AI318" t="str">
            <v>-</v>
          </cell>
          <cell r="AJ318" t="str">
            <v>-</v>
          </cell>
          <cell r="AK318" t="str">
            <v>-</v>
          </cell>
          <cell r="AL318" t="str">
            <v>-</v>
          </cell>
          <cell r="AM318" t="str">
            <v>-</v>
          </cell>
          <cell r="AN318" t="str">
            <v>-</v>
          </cell>
          <cell r="AO318" t="str">
            <v>-</v>
          </cell>
          <cell r="AP318" t="str">
            <v>-</v>
          </cell>
          <cell r="AQ318" t="str">
            <v>-</v>
          </cell>
          <cell r="AR318" t="str">
            <v>-</v>
          </cell>
          <cell r="AS318" t="str">
            <v>-</v>
          </cell>
          <cell r="AT318" t="str">
            <v>-</v>
          </cell>
          <cell r="AU318" t="str">
            <v>-</v>
          </cell>
          <cell r="AV318" t="str">
            <v>-</v>
          </cell>
          <cell r="AW318" t="str">
            <v>-</v>
          </cell>
          <cell r="AX318" t="str">
            <v>-</v>
          </cell>
          <cell r="AY318" t="str">
            <v>-</v>
          </cell>
          <cell r="AZ318" t="str">
            <v>-</v>
          </cell>
          <cell r="BA318" t="str">
            <v>-</v>
          </cell>
          <cell r="BB318" t="str">
            <v>-</v>
          </cell>
          <cell r="BC318" t="str">
            <v>-</v>
          </cell>
          <cell r="BD318" t="str">
            <v>-</v>
          </cell>
          <cell r="BE318" t="str">
            <v>-</v>
          </cell>
          <cell r="BF318" t="str">
            <v>-</v>
          </cell>
          <cell r="BG318" t="str">
            <v>-</v>
          </cell>
          <cell r="BH318" t="str">
            <v>-</v>
          </cell>
          <cell r="BI318" t="str">
            <v>-</v>
          </cell>
          <cell r="BJ318" t="str">
            <v>-</v>
          </cell>
          <cell r="BK318" t="str">
            <v>-</v>
          </cell>
          <cell r="BL318" t="str">
            <v>-</v>
          </cell>
          <cell r="BM318">
            <v>0.7</v>
          </cell>
          <cell r="BN318">
            <v>0.24230769230769231</v>
          </cell>
          <cell r="BO318" t="str">
            <v>-</v>
          </cell>
          <cell r="BP318" t="str">
            <v>-</v>
          </cell>
          <cell r="BQ318">
            <v>46047.161999999997</v>
          </cell>
          <cell r="BR318">
            <v>3837.2635</v>
          </cell>
          <cell r="BS318">
            <v>885.52915791659927</v>
          </cell>
          <cell r="BT318">
            <v>177.10583158331985</v>
          </cell>
        </row>
        <row r="319">
          <cell r="A319" t="str">
            <v>Netherlands2025100 / 100</v>
          </cell>
          <cell r="B319" t="str">
            <v>Netherlands</v>
          </cell>
          <cell r="C319">
            <v>2025</v>
          </cell>
          <cell r="D319" t="str">
            <v>100 / 100</v>
          </cell>
          <cell r="E319">
            <v>65781.66</v>
          </cell>
          <cell r="F319">
            <v>5481.8050000000003</v>
          </cell>
          <cell r="G319">
            <v>1265.0416541665704</v>
          </cell>
          <cell r="H319">
            <v>253.00833083331409</v>
          </cell>
          <cell r="I319">
            <v>65781.66</v>
          </cell>
          <cell r="J319">
            <v>5481.8050000000003</v>
          </cell>
          <cell r="K319">
            <v>1265.0416541665704</v>
          </cell>
          <cell r="L319">
            <v>253.00833083331409</v>
          </cell>
          <cell r="M319" t="str">
            <v>..</v>
          </cell>
          <cell r="N319" t="str">
            <v>..</v>
          </cell>
          <cell r="O319" t="str">
            <v>..</v>
          </cell>
          <cell r="P319" t="str">
            <v>..</v>
          </cell>
          <cell r="Q319" t="str">
            <v>..</v>
          </cell>
          <cell r="R319" t="str">
            <v>..</v>
          </cell>
          <cell r="S319" t="str">
            <v>..</v>
          </cell>
          <cell r="T319" t="str">
            <v>..</v>
          </cell>
          <cell r="U319" t="str">
            <v>..</v>
          </cell>
          <cell r="V319">
            <v>26</v>
          </cell>
          <cell r="W319">
            <v>9</v>
          </cell>
          <cell r="X319">
            <v>17</v>
          </cell>
          <cell r="Y319" t="str">
            <v>-</v>
          </cell>
          <cell r="Z319" t="str">
            <v xml:space="preserve">Twenty-six times the number of working hours per week per parent per child. For example, a full-time job of 38 hours per week gives a leave entitlement of 988 hours. Leave is an individual, non-transferable entitlement. The first nine weeks of leave, if taken during the first year of the child's life, is paid at 70% of earnings up to an upper limit of 70 per cent of the daily maximum wage (EUR 290.67) in 2025. </v>
          </cell>
          <cell r="AA319" t="str">
            <v>-</v>
          </cell>
          <cell r="AB319" t="str">
            <v>-</v>
          </cell>
          <cell r="AC319">
            <v>9</v>
          </cell>
          <cell r="AD319">
            <v>0.7</v>
          </cell>
          <cell r="AE319">
            <v>290.67</v>
          </cell>
          <cell r="AF319" t="str">
            <v>day</v>
          </cell>
          <cell r="AG319" t="str">
            <v>-</v>
          </cell>
          <cell r="AH319" t="str">
            <v>-</v>
          </cell>
          <cell r="AI319" t="str">
            <v>-</v>
          </cell>
          <cell r="AJ319" t="str">
            <v>-</v>
          </cell>
          <cell r="AK319" t="str">
            <v>-</v>
          </cell>
          <cell r="AL319" t="str">
            <v>-</v>
          </cell>
          <cell r="AM319" t="str">
            <v>-</v>
          </cell>
          <cell r="AN319" t="str">
            <v>-</v>
          </cell>
          <cell r="AO319" t="str">
            <v>-</v>
          </cell>
          <cell r="AP319" t="str">
            <v>-</v>
          </cell>
          <cell r="AQ319" t="str">
            <v>-</v>
          </cell>
          <cell r="AR319" t="str">
            <v>-</v>
          </cell>
          <cell r="AS319" t="str">
            <v>-</v>
          </cell>
          <cell r="AT319" t="str">
            <v>-</v>
          </cell>
          <cell r="AU319" t="str">
            <v>-</v>
          </cell>
          <cell r="AV319" t="str">
            <v>-</v>
          </cell>
          <cell r="AW319" t="str">
            <v>-</v>
          </cell>
          <cell r="AX319" t="str">
            <v>-</v>
          </cell>
          <cell r="AY319" t="str">
            <v>-</v>
          </cell>
          <cell r="AZ319" t="str">
            <v>-</v>
          </cell>
          <cell r="BA319" t="str">
            <v>-</v>
          </cell>
          <cell r="BB319" t="str">
            <v>-</v>
          </cell>
          <cell r="BC319" t="str">
            <v>-</v>
          </cell>
          <cell r="BD319" t="str">
            <v>-</v>
          </cell>
          <cell r="BE319" t="str">
            <v>-</v>
          </cell>
          <cell r="BF319" t="str">
            <v>-</v>
          </cell>
          <cell r="BG319" t="str">
            <v>-</v>
          </cell>
          <cell r="BH319" t="str">
            <v>-</v>
          </cell>
          <cell r="BI319" t="str">
            <v>-</v>
          </cell>
          <cell r="BJ319" t="str">
            <v>-</v>
          </cell>
          <cell r="BK319" t="str">
            <v>-</v>
          </cell>
          <cell r="BL319" t="str">
            <v>-</v>
          </cell>
          <cell r="BM319">
            <v>0.7</v>
          </cell>
          <cell r="BN319">
            <v>0.24230769230769231</v>
          </cell>
          <cell r="BO319" t="str">
            <v>-</v>
          </cell>
          <cell r="BP319" t="str">
            <v>-</v>
          </cell>
          <cell r="BQ319">
            <v>46047.161999999997</v>
          </cell>
          <cell r="BR319">
            <v>3837.2635</v>
          </cell>
          <cell r="BS319">
            <v>885.52915791659927</v>
          </cell>
          <cell r="BT319">
            <v>177.10583158331985</v>
          </cell>
        </row>
        <row r="320">
          <cell r="A320" t="str">
            <v>New Zealand2014100 / 100</v>
          </cell>
          <cell r="B320" t="str">
            <v>New Zealand</v>
          </cell>
          <cell r="C320">
            <v>2014</v>
          </cell>
          <cell r="D320" t="str">
            <v>100 / 100</v>
          </cell>
          <cell r="E320">
            <v>55018</v>
          </cell>
          <cell r="F320">
            <v>4584.833333333333</v>
          </cell>
          <cell r="G320">
            <v>1058.046600358464</v>
          </cell>
          <cell r="H320">
            <v>211.60932007169282</v>
          </cell>
          <cell r="I320">
            <v>55018</v>
          </cell>
          <cell r="J320">
            <v>4584.833333333333</v>
          </cell>
          <cell r="K320">
            <v>1058.046600358464</v>
          </cell>
          <cell r="L320">
            <v>211.60932007169282</v>
          </cell>
          <cell r="M320" t="str">
            <v>..</v>
          </cell>
          <cell r="N320" t="str">
            <v>..</v>
          </cell>
          <cell r="O320" t="str">
            <v>..</v>
          </cell>
          <cell r="P320" t="str">
            <v>..</v>
          </cell>
          <cell r="Q320" t="str">
            <v>..</v>
          </cell>
          <cell r="R320" t="str">
            <v>..</v>
          </cell>
          <cell r="S320" t="str">
            <v>..</v>
          </cell>
          <cell r="T320" t="str">
            <v>..</v>
          </cell>
          <cell r="U320" t="str">
            <v>..</v>
          </cell>
          <cell r="V320">
            <v>0</v>
          </cell>
          <cell r="W320">
            <v>0</v>
          </cell>
          <cell r="X320">
            <v>0</v>
          </cell>
          <cell r="Y320" t="str">
            <v>-</v>
          </cell>
          <cell r="Z320" t="str">
            <v>No statutory entitlement</v>
          </cell>
          <cell r="AA320" t="str">
            <v>-</v>
          </cell>
          <cell r="AB320" t="str">
            <v>-</v>
          </cell>
          <cell r="AC320" t="str">
            <v>-</v>
          </cell>
          <cell r="AD320" t="str">
            <v>-</v>
          </cell>
          <cell r="AE320" t="str">
            <v>-</v>
          </cell>
          <cell r="AF320" t="str">
            <v>-</v>
          </cell>
          <cell r="AG320" t="str">
            <v>-</v>
          </cell>
          <cell r="AH320" t="str">
            <v>-</v>
          </cell>
          <cell r="AI320" t="str">
            <v>-</v>
          </cell>
          <cell r="AJ320" t="str">
            <v>-</v>
          </cell>
          <cell r="AK320" t="str">
            <v>-</v>
          </cell>
          <cell r="AL320" t="str">
            <v>-</v>
          </cell>
          <cell r="AM320" t="str">
            <v>-</v>
          </cell>
          <cell r="AN320" t="str">
            <v>-</v>
          </cell>
          <cell r="AO320" t="str">
            <v>-</v>
          </cell>
          <cell r="AP320" t="str">
            <v>-</v>
          </cell>
          <cell r="AQ320" t="str">
            <v>-</v>
          </cell>
          <cell r="AR320" t="str">
            <v>-</v>
          </cell>
          <cell r="AS320" t="str">
            <v>-</v>
          </cell>
          <cell r="AT320" t="str">
            <v>-</v>
          </cell>
          <cell r="AU320" t="str">
            <v>-</v>
          </cell>
          <cell r="AV320" t="str">
            <v>-</v>
          </cell>
          <cell r="AW320" t="str">
            <v>-</v>
          </cell>
          <cell r="AX320" t="str">
            <v>-</v>
          </cell>
          <cell r="AY320" t="str">
            <v>-</v>
          </cell>
          <cell r="AZ320" t="str">
            <v>-</v>
          </cell>
          <cell r="BA320" t="str">
            <v>-</v>
          </cell>
          <cell r="BB320" t="str">
            <v>-</v>
          </cell>
          <cell r="BC320" t="str">
            <v>-</v>
          </cell>
          <cell r="BD320" t="str">
            <v>-</v>
          </cell>
          <cell r="BE320" t="str">
            <v>-</v>
          </cell>
          <cell r="BF320" t="str">
            <v>-</v>
          </cell>
          <cell r="BG320" t="str">
            <v>-</v>
          </cell>
          <cell r="BH320" t="str">
            <v>-</v>
          </cell>
          <cell r="BI320" t="str">
            <v>-</v>
          </cell>
          <cell r="BJ320" t="str">
            <v>-</v>
          </cell>
          <cell r="BK320" t="str">
            <v>-</v>
          </cell>
          <cell r="BL320" t="str">
            <v>-</v>
          </cell>
          <cell r="BM320">
            <v>0</v>
          </cell>
          <cell r="BN320">
            <v>0</v>
          </cell>
          <cell r="BO320" t="str">
            <v>-</v>
          </cell>
          <cell r="BP320" t="str">
            <v>-</v>
          </cell>
          <cell r="BQ320">
            <v>0</v>
          </cell>
          <cell r="BR320">
            <v>0</v>
          </cell>
          <cell r="BS320">
            <v>0</v>
          </cell>
          <cell r="BT320">
            <v>0</v>
          </cell>
        </row>
        <row r="321">
          <cell r="A321" t="str">
            <v>New Zealand2015100 / 100</v>
          </cell>
          <cell r="B321" t="str">
            <v>New Zealand</v>
          </cell>
          <cell r="C321">
            <v>2015</v>
          </cell>
          <cell r="D321" t="str">
            <v>100 / 100</v>
          </cell>
          <cell r="E321">
            <v>56436</v>
          </cell>
          <cell r="F321">
            <v>4703</v>
          </cell>
          <cell r="G321">
            <v>1085.3160408926221</v>
          </cell>
          <cell r="H321">
            <v>217.06320817852443</v>
          </cell>
          <cell r="I321">
            <v>56436</v>
          </cell>
          <cell r="J321">
            <v>4703</v>
          </cell>
          <cell r="K321">
            <v>1085.3160408926221</v>
          </cell>
          <cell r="L321">
            <v>217.06320817852443</v>
          </cell>
          <cell r="M321" t="str">
            <v>..</v>
          </cell>
          <cell r="N321" t="str">
            <v>..</v>
          </cell>
          <cell r="O321" t="str">
            <v>..</v>
          </cell>
          <cell r="P321" t="str">
            <v>..</v>
          </cell>
          <cell r="Q321" t="str">
            <v>..</v>
          </cell>
          <cell r="R321" t="str">
            <v>..</v>
          </cell>
          <cell r="S321" t="str">
            <v>..</v>
          </cell>
          <cell r="T321" t="str">
            <v>..</v>
          </cell>
          <cell r="U321" t="str">
            <v>..</v>
          </cell>
          <cell r="V321">
            <v>0</v>
          </cell>
          <cell r="W321">
            <v>0</v>
          </cell>
          <cell r="X321">
            <v>0</v>
          </cell>
          <cell r="Y321" t="str">
            <v>-</v>
          </cell>
          <cell r="Z321" t="str">
            <v>No statutory entitlement</v>
          </cell>
          <cell r="AA321" t="str">
            <v>-</v>
          </cell>
          <cell r="AB321" t="str">
            <v>-</v>
          </cell>
          <cell r="AC321" t="str">
            <v>-</v>
          </cell>
          <cell r="AD321" t="str">
            <v>-</v>
          </cell>
          <cell r="AE321" t="str">
            <v>-</v>
          </cell>
          <cell r="AF321" t="str">
            <v>-</v>
          </cell>
          <cell r="AG321" t="str">
            <v>-</v>
          </cell>
          <cell r="AH321" t="str">
            <v>-</v>
          </cell>
          <cell r="AI321" t="str">
            <v>-</v>
          </cell>
          <cell r="AJ321" t="str">
            <v>-</v>
          </cell>
          <cell r="AK321" t="str">
            <v>-</v>
          </cell>
          <cell r="AL321" t="str">
            <v>-</v>
          </cell>
          <cell r="AM321" t="str">
            <v>-</v>
          </cell>
          <cell r="AN321" t="str">
            <v>-</v>
          </cell>
          <cell r="AO321" t="str">
            <v>-</v>
          </cell>
          <cell r="AP321" t="str">
            <v>-</v>
          </cell>
          <cell r="AQ321" t="str">
            <v>-</v>
          </cell>
          <cell r="AR321" t="str">
            <v>-</v>
          </cell>
          <cell r="AS321" t="str">
            <v>-</v>
          </cell>
          <cell r="AT321" t="str">
            <v>-</v>
          </cell>
          <cell r="AU321" t="str">
            <v>-</v>
          </cell>
          <cell r="AV321" t="str">
            <v>-</v>
          </cell>
          <cell r="AW321" t="str">
            <v>-</v>
          </cell>
          <cell r="AX321" t="str">
            <v>-</v>
          </cell>
          <cell r="AY321" t="str">
            <v>-</v>
          </cell>
          <cell r="AZ321" t="str">
            <v>-</v>
          </cell>
          <cell r="BA321" t="str">
            <v>-</v>
          </cell>
          <cell r="BB321" t="str">
            <v>-</v>
          </cell>
          <cell r="BC321" t="str">
            <v>-</v>
          </cell>
          <cell r="BD321" t="str">
            <v>-</v>
          </cell>
          <cell r="BE321" t="str">
            <v>-</v>
          </cell>
          <cell r="BF321" t="str">
            <v>-</v>
          </cell>
          <cell r="BG321" t="str">
            <v>-</v>
          </cell>
          <cell r="BH321" t="str">
            <v>-</v>
          </cell>
          <cell r="BI321" t="str">
            <v>-</v>
          </cell>
          <cell r="BJ321" t="str">
            <v>-</v>
          </cell>
          <cell r="BK321" t="str">
            <v>-</v>
          </cell>
          <cell r="BL321" t="str">
            <v>-</v>
          </cell>
          <cell r="BM321">
            <v>0</v>
          </cell>
          <cell r="BN321">
            <v>0</v>
          </cell>
          <cell r="BO321" t="str">
            <v>-</v>
          </cell>
          <cell r="BP321" t="str">
            <v>-</v>
          </cell>
          <cell r="BQ321">
            <v>0</v>
          </cell>
          <cell r="BR321">
            <v>0</v>
          </cell>
          <cell r="BS321">
            <v>0</v>
          </cell>
          <cell r="BT321">
            <v>0</v>
          </cell>
        </row>
        <row r="322">
          <cell r="A322" t="str">
            <v>New Zealand2016100 / 100</v>
          </cell>
          <cell r="B322" t="str">
            <v>New Zealand</v>
          </cell>
          <cell r="C322">
            <v>2016</v>
          </cell>
          <cell r="D322" t="str">
            <v>100 / 100</v>
          </cell>
          <cell r="E322">
            <v>58177</v>
          </cell>
          <cell r="F322">
            <v>4848.083333333333</v>
          </cell>
          <cell r="G322">
            <v>1118.7970676697512</v>
          </cell>
          <cell r="H322">
            <v>223.75941353395024</v>
          </cell>
          <cell r="I322">
            <v>58177</v>
          </cell>
          <cell r="J322">
            <v>4848.083333333333</v>
          </cell>
          <cell r="K322">
            <v>1118.7970676697512</v>
          </cell>
          <cell r="L322">
            <v>223.75941353395024</v>
          </cell>
          <cell r="M322" t="str">
            <v>..</v>
          </cell>
          <cell r="N322" t="str">
            <v>..</v>
          </cell>
          <cell r="O322" t="str">
            <v>..</v>
          </cell>
          <cell r="P322" t="str">
            <v>..</v>
          </cell>
          <cell r="Q322" t="str">
            <v>..</v>
          </cell>
          <cell r="R322" t="str">
            <v>..</v>
          </cell>
          <cell r="S322" t="str">
            <v>..</v>
          </cell>
          <cell r="T322" t="str">
            <v>..</v>
          </cell>
          <cell r="U322" t="str">
            <v>..</v>
          </cell>
          <cell r="V322">
            <v>0</v>
          </cell>
          <cell r="W322">
            <v>0</v>
          </cell>
          <cell r="X322">
            <v>0</v>
          </cell>
          <cell r="Y322" t="str">
            <v>-</v>
          </cell>
          <cell r="Z322" t="str">
            <v>No statutory entitlement</v>
          </cell>
          <cell r="AA322" t="str">
            <v>-</v>
          </cell>
          <cell r="AB322" t="str">
            <v>-</v>
          </cell>
          <cell r="AC322" t="str">
            <v>-</v>
          </cell>
          <cell r="AD322" t="str">
            <v>-</v>
          </cell>
          <cell r="AE322" t="str">
            <v>-</v>
          </cell>
          <cell r="AF322" t="str">
            <v>-</v>
          </cell>
          <cell r="AG322" t="str">
            <v>-</v>
          </cell>
          <cell r="AH322" t="str">
            <v>-</v>
          </cell>
          <cell r="AI322" t="str">
            <v>-</v>
          </cell>
          <cell r="AJ322" t="str">
            <v>-</v>
          </cell>
          <cell r="AK322" t="str">
            <v>-</v>
          </cell>
          <cell r="AL322" t="str">
            <v>-</v>
          </cell>
          <cell r="AM322" t="str">
            <v>-</v>
          </cell>
          <cell r="AN322" t="str">
            <v>-</v>
          </cell>
          <cell r="AO322" t="str">
            <v>-</v>
          </cell>
          <cell r="AP322" t="str">
            <v>-</v>
          </cell>
          <cell r="AQ322" t="str">
            <v>-</v>
          </cell>
          <cell r="AR322" t="str">
            <v>-</v>
          </cell>
          <cell r="AS322" t="str">
            <v>-</v>
          </cell>
          <cell r="AT322" t="str">
            <v>-</v>
          </cell>
          <cell r="AU322" t="str">
            <v>-</v>
          </cell>
          <cell r="AV322" t="str">
            <v>-</v>
          </cell>
          <cell r="AW322" t="str">
            <v>-</v>
          </cell>
          <cell r="AX322" t="str">
            <v>-</v>
          </cell>
          <cell r="AY322" t="str">
            <v>-</v>
          </cell>
          <cell r="AZ322" t="str">
            <v>-</v>
          </cell>
          <cell r="BA322" t="str">
            <v>-</v>
          </cell>
          <cell r="BB322" t="str">
            <v>-</v>
          </cell>
          <cell r="BC322" t="str">
            <v>-</v>
          </cell>
          <cell r="BD322" t="str">
            <v>-</v>
          </cell>
          <cell r="BE322" t="str">
            <v>-</v>
          </cell>
          <cell r="BF322" t="str">
            <v>-</v>
          </cell>
          <cell r="BG322" t="str">
            <v>-</v>
          </cell>
          <cell r="BH322" t="str">
            <v>-</v>
          </cell>
          <cell r="BI322" t="str">
            <v>-</v>
          </cell>
          <cell r="BJ322" t="str">
            <v>-</v>
          </cell>
          <cell r="BK322" t="str">
            <v>-</v>
          </cell>
          <cell r="BL322" t="str">
            <v>-</v>
          </cell>
          <cell r="BM322">
            <v>0</v>
          </cell>
          <cell r="BN322">
            <v>0</v>
          </cell>
          <cell r="BO322" t="str">
            <v>-</v>
          </cell>
          <cell r="BP322" t="str">
            <v>-</v>
          </cell>
          <cell r="BQ322">
            <v>0</v>
          </cell>
          <cell r="BR322">
            <v>0</v>
          </cell>
          <cell r="BS322">
            <v>0</v>
          </cell>
          <cell r="BT322">
            <v>0</v>
          </cell>
        </row>
        <row r="323">
          <cell r="A323" t="str">
            <v>New Zealand2017100 / 100</v>
          </cell>
          <cell r="B323" t="str">
            <v>New Zealand</v>
          </cell>
          <cell r="C323">
            <v>2017</v>
          </cell>
          <cell r="D323" t="str">
            <v>100 / 100</v>
          </cell>
          <cell r="E323">
            <v>59583</v>
          </cell>
          <cell r="F323">
            <v>4965.25</v>
          </cell>
          <cell r="G323">
            <v>1145.8357371979785</v>
          </cell>
          <cell r="H323">
            <v>229.16714743959568</v>
          </cell>
          <cell r="I323">
            <v>59583</v>
          </cell>
          <cell r="J323">
            <v>4965.25</v>
          </cell>
          <cell r="K323">
            <v>1145.8357371979785</v>
          </cell>
          <cell r="L323">
            <v>229.16714743959568</v>
          </cell>
          <cell r="M323" t="str">
            <v>..</v>
          </cell>
          <cell r="N323" t="str">
            <v>..</v>
          </cell>
          <cell r="O323" t="str">
            <v>..</v>
          </cell>
          <cell r="P323" t="str">
            <v>..</v>
          </cell>
          <cell r="Q323" t="str">
            <v>..</v>
          </cell>
          <cell r="R323" t="str">
            <v>..</v>
          </cell>
          <cell r="S323" t="str">
            <v>..</v>
          </cell>
          <cell r="T323" t="str">
            <v>..</v>
          </cell>
          <cell r="U323" t="str">
            <v>..</v>
          </cell>
          <cell r="V323">
            <v>0</v>
          </cell>
          <cell r="W323">
            <v>0</v>
          </cell>
          <cell r="X323">
            <v>0</v>
          </cell>
          <cell r="Y323" t="str">
            <v>-</v>
          </cell>
          <cell r="Z323" t="str">
            <v>No statutory entitlement</v>
          </cell>
          <cell r="AA323" t="str">
            <v>-</v>
          </cell>
          <cell r="AB323" t="str">
            <v>-</v>
          </cell>
          <cell r="AC323" t="str">
            <v>-</v>
          </cell>
          <cell r="AD323" t="str">
            <v>-</v>
          </cell>
          <cell r="AE323" t="str">
            <v>-</v>
          </cell>
          <cell r="AF323" t="str">
            <v>-</v>
          </cell>
          <cell r="AG323" t="str">
            <v>-</v>
          </cell>
          <cell r="AH323" t="str">
            <v>-</v>
          </cell>
          <cell r="AI323" t="str">
            <v>-</v>
          </cell>
          <cell r="AJ323" t="str">
            <v>-</v>
          </cell>
          <cell r="AK323" t="str">
            <v>-</v>
          </cell>
          <cell r="AL323" t="str">
            <v>-</v>
          </cell>
          <cell r="AM323" t="str">
            <v>-</v>
          </cell>
          <cell r="AN323" t="str">
            <v>-</v>
          </cell>
          <cell r="AO323" t="str">
            <v>-</v>
          </cell>
          <cell r="AP323" t="str">
            <v>-</v>
          </cell>
          <cell r="AQ323" t="str">
            <v>-</v>
          </cell>
          <cell r="AR323" t="str">
            <v>-</v>
          </cell>
          <cell r="AS323" t="str">
            <v>-</v>
          </cell>
          <cell r="AT323" t="str">
            <v>-</v>
          </cell>
          <cell r="AU323" t="str">
            <v>-</v>
          </cell>
          <cell r="AV323" t="str">
            <v>-</v>
          </cell>
          <cell r="AW323" t="str">
            <v>-</v>
          </cell>
          <cell r="AX323" t="str">
            <v>-</v>
          </cell>
          <cell r="AY323" t="str">
            <v>-</v>
          </cell>
          <cell r="AZ323" t="str">
            <v>-</v>
          </cell>
          <cell r="BA323" t="str">
            <v>-</v>
          </cell>
          <cell r="BB323" t="str">
            <v>-</v>
          </cell>
          <cell r="BC323" t="str">
            <v>-</v>
          </cell>
          <cell r="BD323" t="str">
            <v>-</v>
          </cell>
          <cell r="BE323" t="str">
            <v>-</v>
          </cell>
          <cell r="BF323" t="str">
            <v>-</v>
          </cell>
          <cell r="BG323" t="str">
            <v>-</v>
          </cell>
          <cell r="BH323" t="str">
            <v>-</v>
          </cell>
          <cell r="BI323" t="str">
            <v>-</v>
          </cell>
          <cell r="BJ323" t="str">
            <v>-</v>
          </cell>
          <cell r="BK323" t="str">
            <v>-</v>
          </cell>
          <cell r="BL323" t="str">
            <v>-</v>
          </cell>
          <cell r="BM323">
            <v>0</v>
          </cell>
          <cell r="BN323">
            <v>0</v>
          </cell>
          <cell r="BO323" t="str">
            <v>-</v>
          </cell>
          <cell r="BP323" t="str">
            <v>-</v>
          </cell>
          <cell r="BQ323">
            <v>0</v>
          </cell>
          <cell r="BR323">
            <v>0</v>
          </cell>
          <cell r="BS323">
            <v>0</v>
          </cell>
          <cell r="BT323">
            <v>0</v>
          </cell>
        </row>
        <row r="324">
          <cell r="A324" t="str">
            <v>New Zealand2018100 / 100</v>
          </cell>
          <cell r="B324" t="str">
            <v>New Zealand</v>
          </cell>
          <cell r="C324">
            <v>2018</v>
          </cell>
          <cell r="D324" t="str">
            <v>100 / 100</v>
          </cell>
          <cell r="E324">
            <v>61279</v>
          </cell>
          <cell r="F324">
            <v>5106.583333333333</v>
          </cell>
          <cell r="G324">
            <v>1178.4513727028668</v>
          </cell>
          <cell r="H324">
            <v>235.69027454057337</v>
          </cell>
          <cell r="I324">
            <v>61279</v>
          </cell>
          <cell r="J324">
            <v>5106.583333333333</v>
          </cell>
          <cell r="K324">
            <v>1178.4513727028668</v>
          </cell>
          <cell r="L324">
            <v>235.69027454057337</v>
          </cell>
          <cell r="M324" t="str">
            <v>..</v>
          </cell>
          <cell r="N324" t="str">
            <v>..</v>
          </cell>
          <cell r="O324" t="str">
            <v>..</v>
          </cell>
          <cell r="P324" t="str">
            <v>..</v>
          </cell>
          <cell r="Q324" t="str">
            <v>..</v>
          </cell>
          <cell r="R324" t="str">
            <v>..</v>
          </cell>
          <cell r="S324" t="str">
            <v>..</v>
          </cell>
          <cell r="T324" t="str">
            <v>..</v>
          </cell>
          <cell r="U324" t="str">
            <v>..</v>
          </cell>
          <cell r="V324">
            <v>0</v>
          </cell>
          <cell r="W324">
            <v>0</v>
          </cell>
          <cell r="X324">
            <v>0</v>
          </cell>
          <cell r="Y324" t="str">
            <v>-</v>
          </cell>
          <cell r="Z324" t="str">
            <v>No statutory entitlement</v>
          </cell>
          <cell r="AA324" t="str">
            <v>-</v>
          </cell>
          <cell r="AB324" t="str">
            <v>-</v>
          </cell>
          <cell r="AC324" t="str">
            <v>-</v>
          </cell>
          <cell r="AD324" t="str">
            <v>-</v>
          </cell>
          <cell r="AE324" t="str">
            <v>-</v>
          </cell>
          <cell r="AF324" t="str">
            <v>-</v>
          </cell>
          <cell r="AG324" t="str">
            <v>-</v>
          </cell>
          <cell r="AH324" t="str">
            <v>-</v>
          </cell>
          <cell r="AI324" t="str">
            <v>-</v>
          </cell>
          <cell r="AJ324" t="str">
            <v>-</v>
          </cell>
          <cell r="AK324" t="str">
            <v>-</v>
          </cell>
          <cell r="AL324" t="str">
            <v>-</v>
          </cell>
          <cell r="AM324" t="str">
            <v>-</v>
          </cell>
          <cell r="AN324" t="str">
            <v>-</v>
          </cell>
          <cell r="AO324" t="str">
            <v>-</v>
          </cell>
          <cell r="AP324" t="str">
            <v>-</v>
          </cell>
          <cell r="AQ324" t="str">
            <v>-</v>
          </cell>
          <cell r="AR324" t="str">
            <v>-</v>
          </cell>
          <cell r="AS324" t="str">
            <v>-</v>
          </cell>
          <cell r="AT324" t="str">
            <v>-</v>
          </cell>
          <cell r="AU324" t="str">
            <v>-</v>
          </cell>
          <cell r="AV324" t="str">
            <v>-</v>
          </cell>
          <cell r="AW324" t="str">
            <v>-</v>
          </cell>
          <cell r="AX324" t="str">
            <v>-</v>
          </cell>
          <cell r="AY324" t="str">
            <v>-</v>
          </cell>
          <cell r="AZ324" t="str">
            <v>-</v>
          </cell>
          <cell r="BA324" t="str">
            <v>-</v>
          </cell>
          <cell r="BB324" t="str">
            <v>-</v>
          </cell>
          <cell r="BC324" t="str">
            <v>-</v>
          </cell>
          <cell r="BD324" t="str">
            <v>-</v>
          </cell>
          <cell r="BE324" t="str">
            <v>-</v>
          </cell>
          <cell r="BF324" t="str">
            <v>-</v>
          </cell>
          <cell r="BG324" t="str">
            <v>-</v>
          </cell>
          <cell r="BH324" t="str">
            <v>-</v>
          </cell>
          <cell r="BI324" t="str">
            <v>-</v>
          </cell>
          <cell r="BJ324" t="str">
            <v>-</v>
          </cell>
          <cell r="BK324" t="str">
            <v>-</v>
          </cell>
          <cell r="BL324" t="str">
            <v>-</v>
          </cell>
          <cell r="BM324">
            <v>0</v>
          </cell>
          <cell r="BN324">
            <v>0</v>
          </cell>
          <cell r="BO324" t="str">
            <v>-</v>
          </cell>
          <cell r="BP324" t="str">
            <v>-</v>
          </cell>
          <cell r="BQ324">
            <v>0</v>
          </cell>
          <cell r="BR324">
            <v>0</v>
          </cell>
          <cell r="BS324">
            <v>0</v>
          </cell>
          <cell r="BT324">
            <v>0</v>
          </cell>
        </row>
        <row r="325">
          <cell r="A325" t="str">
            <v>New Zealand2019100 / 100</v>
          </cell>
          <cell r="B325" t="str">
            <v>New Zealand</v>
          </cell>
          <cell r="C325">
            <v>2019</v>
          </cell>
          <cell r="D325" t="str">
            <v>100 / 100</v>
          </cell>
          <cell r="E325">
            <v>63171</v>
          </cell>
          <cell r="F325">
            <v>5264.25</v>
          </cell>
          <cell r="G325">
            <v>1214.836267971292</v>
          </cell>
          <cell r="H325">
            <v>242.96725359425841</v>
          </cell>
          <cell r="I325">
            <v>63171</v>
          </cell>
          <cell r="J325">
            <v>5264.25</v>
          </cell>
          <cell r="K325">
            <v>1214.836267971292</v>
          </cell>
          <cell r="L325">
            <v>242.96725359425841</v>
          </cell>
          <cell r="M325" t="str">
            <v>..</v>
          </cell>
          <cell r="N325" t="str">
            <v>..</v>
          </cell>
          <cell r="O325" t="str">
            <v>..</v>
          </cell>
          <cell r="P325" t="str">
            <v>..</v>
          </cell>
          <cell r="Q325" t="str">
            <v>..</v>
          </cell>
          <cell r="R325" t="str">
            <v>..</v>
          </cell>
          <cell r="S325" t="str">
            <v>..</v>
          </cell>
          <cell r="T325" t="str">
            <v>..</v>
          </cell>
          <cell r="U325" t="str">
            <v>..</v>
          </cell>
          <cell r="V325">
            <v>0</v>
          </cell>
          <cell r="W325">
            <v>0</v>
          </cell>
          <cell r="X325">
            <v>0</v>
          </cell>
          <cell r="Y325" t="str">
            <v>-</v>
          </cell>
          <cell r="Z325" t="str">
            <v>No statutory entitlement</v>
          </cell>
          <cell r="AA325" t="str">
            <v>-</v>
          </cell>
          <cell r="AB325" t="str">
            <v>-</v>
          </cell>
          <cell r="AC325" t="str">
            <v>-</v>
          </cell>
          <cell r="AD325" t="str">
            <v>-</v>
          </cell>
          <cell r="AE325" t="str">
            <v>-</v>
          </cell>
          <cell r="AF325" t="str">
            <v>-</v>
          </cell>
          <cell r="AG325" t="str">
            <v>-</v>
          </cell>
          <cell r="AH325" t="str">
            <v>-</v>
          </cell>
          <cell r="AI325" t="str">
            <v>-</v>
          </cell>
          <cell r="AJ325" t="str">
            <v>-</v>
          </cell>
          <cell r="AK325" t="str">
            <v>-</v>
          </cell>
          <cell r="AL325" t="str">
            <v>-</v>
          </cell>
          <cell r="AM325" t="str">
            <v>-</v>
          </cell>
          <cell r="AN325" t="str">
            <v>-</v>
          </cell>
          <cell r="AO325" t="str">
            <v>-</v>
          </cell>
          <cell r="AP325" t="str">
            <v>-</v>
          </cell>
          <cell r="AQ325" t="str">
            <v>-</v>
          </cell>
          <cell r="AR325" t="str">
            <v>-</v>
          </cell>
          <cell r="AS325" t="str">
            <v>-</v>
          </cell>
          <cell r="AT325" t="str">
            <v>-</v>
          </cell>
          <cell r="AU325" t="str">
            <v>-</v>
          </cell>
          <cell r="AV325" t="str">
            <v>-</v>
          </cell>
          <cell r="AW325" t="str">
            <v>-</v>
          </cell>
          <cell r="AX325" t="str">
            <v>-</v>
          </cell>
          <cell r="AY325" t="str">
            <v>-</v>
          </cell>
          <cell r="AZ325" t="str">
            <v>-</v>
          </cell>
          <cell r="BA325" t="str">
            <v>-</v>
          </cell>
          <cell r="BB325" t="str">
            <v>-</v>
          </cell>
          <cell r="BC325" t="str">
            <v>-</v>
          </cell>
          <cell r="BD325" t="str">
            <v>-</v>
          </cell>
          <cell r="BE325" t="str">
            <v>-</v>
          </cell>
          <cell r="BF325" t="str">
            <v>-</v>
          </cell>
          <cell r="BG325" t="str">
            <v>-</v>
          </cell>
          <cell r="BH325" t="str">
            <v>-</v>
          </cell>
          <cell r="BI325" t="str">
            <v>-</v>
          </cell>
          <cell r="BJ325" t="str">
            <v>-</v>
          </cell>
          <cell r="BK325" t="str">
            <v>-</v>
          </cell>
          <cell r="BL325" t="str">
            <v>-</v>
          </cell>
          <cell r="BM325">
            <v>0</v>
          </cell>
          <cell r="BN325">
            <v>0</v>
          </cell>
          <cell r="BO325" t="str">
            <v>-</v>
          </cell>
          <cell r="BP325" t="str">
            <v>-</v>
          </cell>
          <cell r="BQ325">
            <v>0</v>
          </cell>
          <cell r="BR325">
            <v>0</v>
          </cell>
          <cell r="BS325">
            <v>0</v>
          </cell>
          <cell r="BT325">
            <v>0</v>
          </cell>
        </row>
        <row r="326">
          <cell r="A326" t="str">
            <v>New Zealand2020100 / 100</v>
          </cell>
          <cell r="B326" t="str">
            <v>New Zealand</v>
          </cell>
          <cell r="C326">
            <v>2020</v>
          </cell>
          <cell r="D326" t="str">
            <v>100 / 100</v>
          </cell>
          <cell r="E326">
            <v>64994</v>
          </cell>
          <cell r="F326">
            <v>5416.166666666667</v>
          </cell>
          <cell r="G326">
            <v>1249.8942299556149</v>
          </cell>
          <cell r="H326">
            <v>249.97884599112299</v>
          </cell>
          <cell r="I326">
            <v>64994</v>
          </cell>
          <cell r="J326">
            <v>5416.166666666667</v>
          </cell>
          <cell r="K326">
            <v>1249.8942299556149</v>
          </cell>
          <cell r="L326">
            <v>249.97884599112299</v>
          </cell>
          <cell r="M326" t="str">
            <v>..</v>
          </cell>
          <cell r="N326" t="str">
            <v>..</v>
          </cell>
          <cell r="O326" t="str">
            <v>..</v>
          </cell>
          <cell r="P326" t="str">
            <v>..</v>
          </cell>
          <cell r="Q326" t="str">
            <v>..</v>
          </cell>
          <cell r="R326" t="str">
            <v>..</v>
          </cell>
          <cell r="S326" t="str">
            <v>..</v>
          </cell>
          <cell r="T326" t="str">
            <v>..</v>
          </cell>
          <cell r="U326" t="str">
            <v>..</v>
          </cell>
          <cell r="V326">
            <v>0</v>
          </cell>
          <cell r="W326">
            <v>0</v>
          </cell>
          <cell r="X326">
            <v>0</v>
          </cell>
          <cell r="Y326" t="str">
            <v>-</v>
          </cell>
          <cell r="Z326" t="str">
            <v>No statutory entitlement</v>
          </cell>
          <cell r="AA326" t="str">
            <v>-</v>
          </cell>
          <cell r="AB326" t="str">
            <v>-</v>
          </cell>
          <cell r="AC326" t="str">
            <v>-</v>
          </cell>
          <cell r="AD326" t="str">
            <v>-</v>
          </cell>
          <cell r="AE326" t="str">
            <v>-</v>
          </cell>
          <cell r="AF326" t="str">
            <v>-</v>
          </cell>
          <cell r="AG326" t="str">
            <v>-</v>
          </cell>
          <cell r="AH326" t="str">
            <v>-</v>
          </cell>
          <cell r="AI326" t="str">
            <v>-</v>
          </cell>
          <cell r="AJ326" t="str">
            <v>-</v>
          </cell>
          <cell r="AK326" t="str">
            <v>-</v>
          </cell>
          <cell r="AL326" t="str">
            <v>-</v>
          </cell>
          <cell r="AM326" t="str">
            <v>-</v>
          </cell>
          <cell r="AN326" t="str">
            <v>-</v>
          </cell>
          <cell r="AO326" t="str">
            <v>-</v>
          </cell>
          <cell r="AP326" t="str">
            <v>-</v>
          </cell>
          <cell r="AQ326" t="str">
            <v>-</v>
          </cell>
          <cell r="AR326" t="str">
            <v>-</v>
          </cell>
          <cell r="AS326" t="str">
            <v>-</v>
          </cell>
          <cell r="AT326" t="str">
            <v>-</v>
          </cell>
          <cell r="AU326" t="str">
            <v>-</v>
          </cell>
          <cell r="AV326" t="str">
            <v>-</v>
          </cell>
          <cell r="AW326" t="str">
            <v>-</v>
          </cell>
          <cell r="AX326" t="str">
            <v>-</v>
          </cell>
          <cell r="AY326" t="str">
            <v>-</v>
          </cell>
          <cell r="AZ326" t="str">
            <v>-</v>
          </cell>
          <cell r="BA326" t="str">
            <v>-</v>
          </cell>
          <cell r="BB326" t="str">
            <v>-</v>
          </cell>
          <cell r="BC326" t="str">
            <v>-</v>
          </cell>
          <cell r="BD326" t="str">
            <v>-</v>
          </cell>
          <cell r="BE326" t="str">
            <v>-</v>
          </cell>
          <cell r="BF326" t="str">
            <v>-</v>
          </cell>
          <cell r="BG326" t="str">
            <v>-</v>
          </cell>
          <cell r="BH326" t="str">
            <v>-</v>
          </cell>
          <cell r="BI326" t="str">
            <v>-</v>
          </cell>
          <cell r="BJ326" t="str">
            <v>-</v>
          </cell>
          <cell r="BK326" t="str">
            <v>-</v>
          </cell>
          <cell r="BL326" t="str">
            <v>-</v>
          </cell>
          <cell r="BM326">
            <v>0</v>
          </cell>
          <cell r="BN326">
            <v>0</v>
          </cell>
          <cell r="BO326" t="str">
            <v>-</v>
          </cell>
          <cell r="BP326" t="str">
            <v>-</v>
          </cell>
          <cell r="BQ326">
            <v>0</v>
          </cell>
          <cell r="BR326">
            <v>0</v>
          </cell>
          <cell r="BS326">
            <v>0</v>
          </cell>
          <cell r="BT326">
            <v>0</v>
          </cell>
        </row>
        <row r="327">
          <cell r="A327" t="str">
            <v>New Zealand2021100 / 100</v>
          </cell>
          <cell r="B327" t="str">
            <v>New Zealand</v>
          </cell>
          <cell r="C327">
            <v>2021</v>
          </cell>
          <cell r="D327" t="str">
            <v>100 / 100</v>
          </cell>
          <cell r="E327">
            <v>65957</v>
          </cell>
          <cell r="F327">
            <v>5496.416666666667</v>
          </cell>
          <cell r="G327">
            <v>1268.4136031815628</v>
          </cell>
          <cell r="H327">
            <v>253.68272063631258</v>
          </cell>
          <cell r="I327">
            <v>65957</v>
          </cell>
          <cell r="J327">
            <v>5496.416666666667</v>
          </cell>
          <cell r="K327">
            <v>1268.4136031815628</v>
          </cell>
          <cell r="L327">
            <v>253.68272063631258</v>
          </cell>
          <cell r="M327" t="str">
            <v>..</v>
          </cell>
          <cell r="N327" t="str">
            <v>..</v>
          </cell>
          <cell r="O327" t="str">
            <v>..</v>
          </cell>
          <cell r="P327" t="str">
            <v>..</v>
          </cell>
          <cell r="Q327" t="str">
            <v>..</v>
          </cell>
          <cell r="R327" t="str">
            <v>..</v>
          </cell>
          <cell r="S327" t="str">
            <v>..</v>
          </cell>
          <cell r="T327" t="str">
            <v>..</v>
          </cell>
          <cell r="U327" t="str">
            <v>..</v>
          </cell>
          <cell r="V327">
            <v>0</v>
          </cell>
          <cell r="W327">
            <v>0</v>
          </cell>
          <cell r="X327">
            <v>0</v>
          </cell>
          <cell r="Y327" t="str">
            <v>-</v>
          </cell>
          <cell r="Z327" t="str">
            <v>No statutory entitlement</v>
          </cell>
          <cell r="AA327" t="str">
            <v>-</v>
          </cell>
          <cell r="AB327" t="str">
            <v>-</v>
          </cell>
          <cell r="AC327" t="str">
            <v>-</v>
          </cell>
          <cell r="AD327" t="str">
            <v>-</v>
          </cell>
          <cell r="AE327" t="str">
            <v>-</v>
          </cell>
          <cell r="AF327" t="str">
            <v>-</v>
          </cell>
          <cell r="AG327" t="str">
            <v>-</v>
          </cell>
          <cell r="AH327" t="str">
            <v>-</v>
          </cell>
          <cell r="AI327" t="str">
            <v>-</v>
          </cell>
          <cell r="AJ327" t="str">
            <v>-</v>
          </cell>
          <cell r="AK327" t="str">
            <v>-</v>
          </cell>
          <cell r="AL327" t="str">
            <v>-</v>
          </cell>
          <cell r="AM327" t="str">
            <v>-</v>
          </cell>
          <cell r="AN327" t="str">
            <v>-</v>
          </cell>
          <cell r="AO327" t="str">
            <v>-</v>
          </cell>
          <cell r="AP327" t="str">
            <v>-</v>
          </cell>
          <cell r="AQ327" t="str">
            <v>-</v>
          </cell>
          <cell r="AR327" t="str">
            <v>-</v>
          </cell>
          <cell r="AS327" t="str">
            <v>-</v>
          </cell>
          <cell r="AT327" t="str">
            <v>-</v>
          </cell>
          <cell r="AU327" t="str">
            <v>-</v>
          </cell>
          <cell r="AV327" t="str">
            <v>-</v>
          </cell>
          <cell r="AW327" t="str">
            <v>-</v>
          </cell>
          <cell r="AX327" t="str">
            <v>-</v>
          </cell>
          <cell r="AY327" t="str">
            <v>-</v>
          </cell>
          <cell r="AZ327" t="str">
            <v>-</v>
          </cell>
          <cell r="BA327" t="str">
            <v>-</v>
          </cell>
          <cell r="BB327" t="str">
            <v>-</v>
          </cell>
          <cell r="BC327" t="str">
            <v>-</v>
          </cell>
          <cell r="BD327" t="str">
            <v>-</v>
          </cell>
          <cell r="BE327" t="str">
            <v>-</v>
          </cell>
          <cell r="BF327" t="str">
            <v>-</v>
          </cell>
          <cell r="BG327" t="str">
            <v>-</v>
          </cell>
          <cell r="BH327" t="str">
            <v>-</v>
          </cell>
          <cell r="BI327" t="str">
            <v>-</v>
          </cell>
          <cell r="BJ327" t="str">
            <v>-</v>
          </cell>
          <cell r="BK327" t="str">
            <v>-</v>
          </cell>
          <cell r="BL327" t="str">
            <v>-</v>
          </cell>
          <cell r="BM327">
            <v>0</v>
          </cell>
          <cell r="BN327">
            <v>0</v>
          </cell>
          <cell r="BO327" t="str">
            <v>-</v>
          </cell>
          <cell r="BP327" t="str">
            <v>-</v>
          </cell>
          <cell r="BQ327">
            <v>0</v>
          </cell>
          <cell r="BR327">
            <v>0</v>
          </cell>
          <cell r="BS327">
            <v>0</v>
          </cell>
          <cell r="BT327">
            <v>0</v>
          </cell>
        </row>
        <row r="328">
          <cell r="A328" t="str">
            <v>New Zealand2022100 / 100</v>
          </cell>
          <cell r="B328" t="str">
            <v>New Zealand</v>
          </cell>
          <cell r="C328">
            <v>2022</v>
          </cell>
          <cell r="D328" t="str">
            <v>100 / 100</v>
          </cell>
          <cell r="E328">
            <v>70588</v>
          </cell>
          <cell r="F328">
            <v>5882.333333333333</v>
          </cell>
          <cell r="G328">
            <v>1357.4719805536963</v>
          </cell>
          <cell r="H328">
            <v>271.49439611073927</v>
          </cell>
          <cell r="I328">
            <v>70588</v>
          </cell>
          <cell r="J328">
            <v>5882.333333333333</v>
          </cell>
          <cell r="K328">
            <v>1357.4719805536963</v>
          </cell>
          <cell r="L328">
            <v>271.49439611073927</v>
          </cell>
          <cell r="M328" t="str">
            <v>..</v>
          </cell>
          <cell r="N328" t="str">
            <v>..</v>
          </cell>
          <cell r="O328" t="str">
            <v>..</v>
          </cell>
          <cell r="P328" t="str">
            <v>..</v>
          </cell>
          <cell r="Q328" t="str">
            <v>..</v>
          </cell>
          <cell r="R328" t="str">
            <v>..</v>
          </cell>
          <cell r="S328" t="str">
            <v>..</v>
          </cell>
          <cell r="T328" t="str">
            <v>..</v>
          </cell>
          <cell r="U328" t="str">
            <v>..</v>
          </cell>
          <cell r="V328">
            <v>0</v>
          </cell>
          <cell r="W328">
            <v>0</v>
          </cell>
          <cell r="X328">
            <v>0</v>
          </cell>
          <cell r="Y328" t="str">
            <v>-</v>
          </cell>
          <cell r="Z328" t="str">
            <v>No statutory entitlement</v>
          </cell>
          <cell r="AA328" t="str">
            <v>-</v>
          </cell>
          <cell r="AB328" t="str">
            <v>-</v>
          </cell>
          <cell r="AC328" t="str">
            <v>-</v>
          </cell>
          <cell r="AD328" t="str">
            <v>-</v>
          </cell>
          <cell r="AE328" t="str">
            <v>-</v>
          </cell>
          <cell r="AF328" t="str">
            <v>-</v>
          </cell>
          <cell r="AG328" t="str">
            <v>-</v>
          </cell>
          <cell r="AH328" t="str">
            <v>-</v>
          </cell>
          <cell r="AI328" t="str">
            <v>-</v>
          </cell>
          <cell r="AJ328" t="str">
            <v>-</v>
          </cell>
          <cell r="AK328" t="str">
            <v>-</v>
          </cell>
          <cell r="AL328" t="str">
            <v>-</v>
          </cell>
          <cell r="AM328" t="str">
            <v>-</v>
          </cell>
          <cell r="AN328" t="str">
            <v>-</v>
          </cell>
          <cell r="AO328" t="str">
            <v>-</v>
          </cell>
          <cell r="AP328" t="str">
            <v>-</v>
          </cell>
          <cell r="AQ328" t="str">
            <v>-</v>
          </cell>
          <cell r="AR328" t="str">
            <v>-</v>
          </cell>
          <cell r="AS328" t="str">
            <v>-</v>
          </cell>
          <cell r="AT328" t="str">
            <v>-</v>
          </cell>
          <cell r="AU328" t="str">
            <v>-</v>
          </cell>
          <cell r="AV328" t="str">
            <v>-</v>
          </cell>
          <cell r="AW328" t="str">
            <v>-</v>
          </cell>
          <cell r="AX328" t="str">
            <v>-</v>
          </cell>
          <cell r="AY328" t="str">
            <v>-</v>
          </cell>
          <cell r="AZ328" t="str">
            <v>-</v>
          </cell>
          <cell r="BA328" t="str">
            <v>-</v>
          </cell>
          <cell r="BB328" t="str">
            <v>-</v>
          </cell>
          <cell r="BC328" t="str">
            <v>-</v>
          </cell>
          <cell r="BD328" t="str">
            <v>-</v>
          </cell>
          <cell r="BE328" t="str">
            <v>-</v>
          </cell>
          <cell r="BF328" t="str">
            <v>-</v>
          </cell>
          <cell r="BG328" t="str">
            <v>-</v>
          </cell>
          <cell r="BH328" t="str">
            <v>-</v>
          </cell>
          <cell r="BI328" t="str">
            <v>-</v>
          </cell>
          <cell r="BJ328" t="str">
            <v>-</v>
          </cell>
          <cell r="BK328" t="str">
            <v>-</v>
          </cell>
          <cell r="BL328" t="str">
            <v>-</v>
          </cell>
          <cell r="BM328">
            <v>0</v>
          </cell>
          <cell r="BN328">
            <v>0</v>
          </cell>
          <cell r="BO328" t="str">
            <v>-</v>
          </cell>
          <cell r="BP328" t="str">
            <v>-</v>
          </cell>
          <cell r="BQ328">
            <v>0</v>
          </cell>
          <cell r="BR328">
            <v>0</v>
          </cell>
          <cell r="BS328">
            <v>0</v>
          </cell>
          <cell r="BT328">
            <v>0</v>
          </cell>
        </row>
        <row r="329">
          <cell r="A329" t="str">
            <v>New Zealand2023100 / 100</v>
          </cell>
          <cell r="B329" t="str">
            <v>New Zealand</v>
          </cell>
          <cell r="C329">
            <v>2023</v>
          </cell>
          <cell r="D329" t="str">
            <v>100 / 100</v>
          </cell>
          <cell r="E329">
            <v>76001</v>
          </cell>
          <cell r="F329">
            <v>6333.416666666667</v>
          </cell>
          <cell r="G329">
            <v>1461.5689351456549</v>
          </cell>
          <cell r="H329">
            <v>292.31378702913099</v>
          </cell>
          <cell r="I329">
            <v>76001</v>
          </cell>
          <cell r="J329">
            <v>6333.416666666667</v>
          </cell>
          <cell r="K329">
            <v>1461.5689351456549</v>
          </cell>
          <cell r="L329">
            <v>292.31378702913099</v>
          </cell>
          <cell r="M329" t="str">
            <v>..</v>
          </cell>
          <cell r="N329" t="str">
            <v>..</v>
          </cell>
          <cell r="O329" t="str">
            <v>..</v>
          </cell>
          <cell r="P329" t="str">
            <v>..</v>
          </cell>
          <cell r="Q329" t="str">
            <v>..</v>
          </cell>
          <cell r="R329" t="str">
            <v>..</v>
          </cell>
          <cell r="S329" t="str">
            <v>..</v>
          </cell>
          <cell r="T329" t="str">
            <v>..</v>
          </cell>
          <cell r="U329" t="str">
            <v>..</v>
          </cell>
          <cell r="V329">
            <v>0</v>
          </cell>
          <cell r="W329">
            <v>0</v>
          </cell>
          <cell r="X329">
            <v>0</v>
          </cell>
          <cell r="Y329" t="str">
            <v>-</v>
          </cell>
          <cell r="Z329" t="str">
            <v>No statutory entitlement</v>
          </cell>
          <cell r="AA329" t="str">
            <v>-</v>
          </cell>
          <cell r="AB329" t="str">
            <v>-</v>
          </cell>
          <cell r="AC329" t="str">
            <v>-</v>
          </cell>
          <cell r="AD329" t="str">
            <v>-</v>
          </cell>
          <cell r="AE329" t="str">
            <v>-</v>
          </cell>
          <cell r="AF329" t="str">
            <v>-</v>
          </cell>
          <cell r="AG329" t="str">
            <v>-</v>
          </cell>
          <cell r="AH329" t="str">
            <v>-</v>
          </cell>
          <cell r="AI329" t="str">
            <v>-</v>
          </cell>
          <cell r="AJ329" t="str">
            <v>-</v>
          </cell>
          <cell r="AK329" t="str">
            <v>-</v>
          </cell>
          <cell r="AL329" t="str">
            <v>-</v>
          </cell>
          <cell r="AM329" t="str">
            <v>-</v>
          </cell>
          <cell r="AN329" t="str">
            <v>-</v>
          </cell>
          <cell r="AO329" t="str">
            <v>-</v>
          </cell>
          <cell r="AP329" t="str">
            <v>-</v>
          </cell>
          <cell r="AQ329" t="str">
            <v>-</v>
          </cell>
          <cell r="AR329" t="str">
            <v>-</v>
          </cell>
          <cell r="AS329" t="str">
            <v>-</v>
          </cell>
          <cell r="AT329" t="str">
            <v>-</v>
          </cell>
          <cell r="AU329" t="str">
            <v>-</v>
          </cell>
          <cell r="AV329" t="str">
            <v>-</v>
          </cell>
          <cell r="AW329" t="str">
            <v>-</v>
          </cell>
          <cell r="AX329" t="str">
            <v>-</v>
          </cell>
          <cell r="AY329" t="str">
            <v>-</v>
          </cell>
          <cell r="AZ329" t="str">
            <v>-</v>
          </cell>
          <cell r="BA329" t="str">
            <v>-</v>
          </cell>
          <cell r="BB329" t="str">
            <v>-</v>
          </cell>
          <cell r="BC329" t="str">
            <v>-</v>
          </cell>
          <cell r="BD329" t="str">
            <v>-</v>
          </cell>
          <cell r="BE329" t="str">
            <v>-</v>
          </cell>
          <cell r="BF329" t="str">
            <v>-</v>
          </cell>
          <cell r="BG329" t="str">
            <v>-</v>
          </cell>
          <cell r="BH329" t="str">
            <v>-</v>
          </cell>
          <cell r="BI329" t="str">
            <v>-</v>
          </cell>
          <cell r="BJ329" t="str">
            <v>-</v>
          </cell>
          <cell r="BK329" t="str">
            <v>-</v>
          </cell>
          <cell r="BL329" t="str">
            <v>-</v>
          </cell>
          <cell r="BM329">
            <v>0</v>
          </cell>
          <cell r="BN329">
            <v>0</v>
          </cell>
          <cell r="BO329" t="str">
            <v>-</v>
          </cell>
          <cell r="BP329" t="str">
            <v>-</v>
          </cell>
          <cell r="BQ329">
            <v>0</v>
          </cell>
          <cell r="BR329">
            <v>0</v>
          </cell>
          <cell r="BS329">
            <v>0</v>
          </cell>
          <cell r="BT329">
            <v>0</v>
          </cell>
        </row>
        <row r="330">
          <cell r="A330" t="str">
            <v>New Zealand2024100 / 100</v>
          </cell>
          <cell r="B330" t="str">
            <v>New Zealand</v>
          </cell>
          <cell r="C330">
            <v>2024</v>
          </cell>
          <cell r="D330" t="str">
            <v>100 / 100</v>
          </cell>
          <cell r="E330">
            <v>80019</v>
          </cell>
          <cell r="F330">
            <v>6668.25</v>
          </cell>
          <cell r="G330">
            <v>1538.8387602981561</v>
          </cell>
          <cell r="H330">
            <v>307.76775205963122</v>
          </cell>
          <cell r="I330">
            <v>80019</v>
          </cell>
          <cell r="J330">
            <v>6668.25</v>
          </cell>
          <cell r="K330">
            <v>1538.8387602981561</v>
          </cell>
          <cell r="L330">
            <v>307.76775205963122</v>
          </cell>
          <cell r="M330" t="str">
            <v>..</v>
          </cell>
          <cell r="N330" t="str">
            <v>..</v>
          </cell>
          <cell r="O330" t="str">
            <v>..</v>
          </cell>
          <cell r="P330" t="str">
            <v>..</v>
          </cell>
          <cell r="Q330" t="str">
            <v>..</v>
          </cell>
          <cell r="R330" t="str">
            <v>..</v>
          </cell>
          <cell r="S330" t="str">
            <v>..</v>
          </cell>
          <cell r="T330" t="str">
            <v>..</v>
          </cell>
          <cell r="U330" t="str">
            <v>..</v>
          </cell>
          <cell r="V330">
            <v>0</v>
          </cell>
          <cell r="W330">
            <v>0</v>
          </cell>
          <cell r="X330">
            <v>0</v>
          </cell>
          <cell r="Y330" t="str">
            <v>-</v>
          </cell>
          <cell r="Z330" t="str">
            <v>No statutory entitlement</v>
          </cell>
          <cell r="AA330" t="str">
            <v>-</v>
          </cell>
          <cell r="AB330" t="str">
            <v>-</v>
          </cell>
          <cell r="AC330" t="str">
            <v>-</v>
          </cell>
          <cell r="AD330" t="str">
            <v>-</v>
          </cell>
          <cell r="AE330" t="str">
            <v>-</v>
          </cell>
          <cell r="AF330" t="str">
            <v>-</v>
          </cell>
          <cell r="AG330" t="str">
            <v>-</v>
          </cell>
          <cell r="AH330" t="str">
            <v>-</v>
          </cell>
          <cell r="AI330" t="str">
            <v>-</v>
          </cell>
          <cell r="AJ330" t="str">
            <v>-</v>
          </cell>
          <cell r="AK330" t="str">
            <v>-</v>
          </cell>
          <cell r="AL330" t="str">
            <v>-</v>
          </cell>
          <cell r="AM330" t="str">
            <v>-</v>
          </cell>
          <cell r="AN330" t="str">
            <v>-</v>
          </cell>
          <cell r="AO330" t="str">
            <v>-</v>
          </cell>
          <cell r="AP330" t="str">
            <v>-</v>
          </cell>
          <cell r="AQ330" t="str">
            <v>-</v>
          </cell>
          <cell r="AR330" t="str">
            <v>-</v>
          </cell>
          <cell r="AS330" t="str">
            <v>-</v>
          </cell>
          <cell r="AT330" t="str">
            <v>-</v>
          </cell>
          <cell r="AU330" t="str">
            <v>-</v>
          </cell>
          <cell r="AV330" t="str">
            <v>-</v>
          </cell>
          <cell r="AW330" t="str">
            <v>-</v>
          </cell>
          <cell r="AX330" t="str">
            <v>-</v>
          </cell>
          <cell r="AY330" t="str">
            <v>-</v>
          </cell>
          <cell r="AZ330" t="str">
            <v>-</v>
          </cell>
          <cell r="BA330" t="str">
            <v>-</v>
          </cell>
          <cell r="BB330" t="str">
            <v>-</v>
          </cell>
          <cell r="BC330" t="str">
            <v>-</v>
          </cell>
          <cell r="BD330" t="str">
            <v>-</v>
          </cell>
          <cell r="BE330" t="str">
            <v>-</v>
          </cell>
          <cell r="BF330" t="str">
            <v>-</v>
          </cell>
          <cell r="BG330" t="str">
            <v>-</v>
          </cell>
          <cell r="BH330" t="str">
            <v>-</v>
          </cell>
          <cell r="BI330" t="str">
            <v>-</v>
          </cell>
          <cell r="BJ330" t="str">
            <v>-</v>
          </cell>
          <cell r="BK330" t="str">
            <v>-</v>
          </cell>
          <cell r="BL330" t="str">
            <v>-</v>
          </cell>
          <cell r="BM330">
            <v>0</v>
          </cell>
          <cell r="BN330">
            <v>0</v>
          </cell>
          <cell r="BO330" t="str">
            <v>-</v>
          </cell>
          <cell r="BP330" t="str">
            <v>-</v>
          </cell>
          <cell r="BQ330">
            <v>0</v>
          </cell>
          <cell r="BR330">
            <v>0</v>
          </cell>
          <cell r="BS330">
            <v>0</v>
          </cell>
          <cell r="BT330">
            <v>0</v>
          </cell>
        </row>
        <row r="331">
          <cell r="A331" t="str">
            <v>New Zealand2025100 / 100</v>
          </cell>
          <cell r="B331" t="str">
            <v>New Zealand</v>
          </cell>
          <cell r="C331">
            <v>2025</v>
          </cell>
          <cell r="D331" t="str">
            <v>100 / 100</v>
          </cell>
          <cell r="E331">
            <v>80019</v>
          </cell>
          <cell r="F331">
            <v>6668.25</v>
          </cell>
          <cell r="G331">
            <v>1538.8387602981561</v>
          </cell>
          <cell r="H331">
            <v>307.76775205963122</v>
          </cell>
          <cell r="I331">
            <v>80019</v>
          </cell>
          <cell r="J331">
            <v>6668.25</v>
          </cell>
          <cell r="K331">
            <v>1538.8387602981561</v>
          </cell>
          <cell r="L331">
            <v>307.76775205963122</v>
          </cell>
          <cell r="M331" t="str">
            <v>..</v>
          </cell>
          <cell r="N331" t="str">
            <v>..</v>
          </cell>
          <cell r="O331" t="str">
            <v>..</v>
          </cell>
          <cell r="P331" t="str">
            <v>..</v>
          </cell>
          <cell r="Q331" t="str">
            <v>..</v>
          </cell>
          <cell r="R331" t="str">
            <v>..</v>
          </cell>
          <cell r="S331" t="str">
            <v>..</v>
          </cell>
          <cell r="T331" t="str">
            <v>..</v>
          </cell>
          <cell r="U331" t="str">
            <v>..</v>
          </cell>
          <cell r="V331">
            <v>0</v>
          </cell>
          <cell r="W331">
            <v>0</v>
          </cell>
          <cell r="X331">
            <v>0</v>
          </cell>
          <cell r="Y331" t="str">
            <v>-</v>
          </cell>
          <cell r="Z331" t="str">
            <v>No statutory entitlement</v>
          </cell>
          <cell r="AA331" t="str">
            <v>-</v>
          </cell>
          <cell r="AB331" t="str">
            <v>-</v>
          </cell>
          <cell r="AC331" t="str">
            <v>-</v>
          </cell>
          <cell r="AD331" t="str">
            <v>-</v>
          </cell>
          <cell r="AE331" t="str">
            <v>-</v>
          </cell>
          <cell r="AF331" t="str">
            <v>-</v>
          </cell>
          <cell r="AG331" t="str">
            <v>-</v>
          </cell>
          <cell r="AH331" t="str">
            <v>-</v>
          </cell>
          <cell r="AI331" t="str">
            <v>-</v>
          </cell>
          <cell r="AJ331" t="str">
            <v>-</v>
          </cell>
          <cell r="AK331" t="str">
            <v>-</v>
          </cell>
          <cell r="AL331" t="str">
            <v>-</v>
          </cell>
          <cell r="AM331" t="str">
            <v>-</v>
          </cell>
          <cell r="AN331" t="str">
            <v>-</v>
          </cell>
          <cell r="AO331" t="str">
            <v>-</v>
          </cell>
          <cell r="AP331" t="str">
            <v>-</v>
          </cell>
          <cell r="AQ331" t="str">
            <v>-</v>
          </cell>
          <cell r="AR331" t="str">
            <v>-</v>
          </cell>
          <cell r="AS331" t="str">
            <v>-</v>
          </cell>
          <cell r="AT331" t="str">
            <v>-</v>
          </cell>
          <cell r="AU331" t="str">
            <v>-</v>
          </cell>
          <cell r="AV331" t="str">
            <v>-</v>
          </cell>
          <cell r="AW331" t="str">
            <v>-</v>
          </cell>
          <cell r="AX331" t="str">
            <v>-</v>
          </cell>
          <cell r="AY331" t="str">
            <v>-</v>
          </cell>
          <cell r="AZ331" t="str">
            <v>-</v>
          </cell>
          <cell r="BA331" t="str">
            <v>-</v>
          </cell>
          <cell r="BB331" t="str">
            <v>-</v>
          </cell>
          <cell r="BC331" t="str">
            <v>-</v>
          </cell>
          <cell r="BD331" t="str">
            <v>-</v>
          </cell>
          <cell r="BE331" t="str">
            <v>-</v>
          </cell>
          <cell r="BF331" t="str">
            <v>-</v>
          </cell>
          <cell r="BG331" t="str">
            <v>-</v>
          </cell>
          <cell r="BH331" t="str">
            <v>-</v>
          </cell>
          <cell r="BI331" t="str">
            <v>-</v>
          </cell>
          <cell r="BJ331" t="str">
            <v>-</v>
          </cell>
          <cell r="BK331" t="str">
            <v>-</v>
          </cell>
          <cell r="BL331" t="str">
            <v>-</v>
          </cell>
          <cell r="BM331">
            <v>0</v>
          </cell>
          <cell r="BN331">
            <v>0</v>
          </cell>
          <cell r="BO331" t="str">
            <v>-</v>
          </cell>
          <cell r="BP331" t="str">
            <v>-</v>
          </cell>
          <cell r="BQ331">
            <v>0</v>
          </cell>
          <cell r="BR331">
            <v>0</v>
          </cell>
          <cell r="BS331">
            <v>0</v>
          </cell>
          <cell r="BT331">
            <v>0</v>
          </cell>
        </row>
        <row r="332">
          <cell r="A332" t="str">
            <v>Norway2014100 / 100</v>
          </cell>
          <cell r="B332" t="str">
            <v>Norway</v>
          </cell>
          <cell r="C332">
            <v>2014</v>
          </cell>
          <cell r="D332" t="str">
            <v>100 / 100</v>
          </cell>
          <cell r="E332">
            <v>537881</v>
          </cell>
          <cell r="F332">
            <v>44823.416666666664</v>
          </cell>
          <cell r="G332">
            <v>10343.944953422717</v>
          </cell>
          <cell r="H332">
            <v>2068.7889906845435</v>
          </cell>
          <cell r="I332">
            <v>537881</v>
          </cell>
          <cell r="J332">
            <v>44823.416666666664</v>
          </cell>
          <cell r="K332">
            <v>10343.944953422717</v>
          </cell>
          <cell r="L332">
            <v>2068.7889906845435</v>
          </cell>
          <cell r="M332" t="str">
            <v>..</v>
          </cell>
          <cell r="N332" t="str">
            <v>..</v>
          </cell>
          <cell r="O332" t="str">
            <v>..</v>
          </cell>
          <cell r="P332" t="str">
            <v>..</v>
          </cell>
          <cell r="Q332" t="str">
            <v>..</v>
          </cell>
          <cell r="R332" t="str">
            <v>..</v>
          </cell>
          <cell r="S332" t="str">
            <v>..</v>
          </cell>
          <cell r="T332" t="str">
            <v>..</v>
          </cell>
          <cell r="U332" t="str">
            <v>..</v>
          </cell>
          <cell r="V332">
            <v>66</v>
          </cell>
          <cell r="W332">
            <v>14</v>
          </cell>
          <cell r="X332">
            <v>52</v>
          </cell>
          <cell r="Y332" t="str">
            <v>-</v>
          </cell>
          <cell r="Z332" t="str">
            <v>Fourteen weeks ('father quota' portion of parental leave). Hundred percent of earnings up to a ceiling of six times the basic national insurance benefit payment (i.e. NOK492,732 a year [€60,313]). [NOTE: assumed that parents take the shorter, higher paid option]</v>
          </cell>
          <cell r="AA332" t="str">
            <v>Gross</v>
          </cell>
          <cell r="AB332" t="str">
            <v>Y</v>
          </cell>
          <cell r="AC332">
            <v>14</v>
          </cell>
          <cell r="AD332">
            <v>1</v>
          </cell>
          <cell r="AE332">
            <v>492732</v>
          </cell>
          <cell r="AF332" t="str">
            <v>annual</v>
          </cell>
          <cell r="AG332" t="str">
            <v>-</v>
          </cell>
          <cell r="AH332" t="str">
            <v>-</v>
          </cell>
          <cell r="AI332" t="str">
            <v>-</v>
          </cell>
          <cell r="AJ332" t="str">
            <v>-</v>
          </cell>
          <cell r="AK332" t="str">
            <v>-</v>
          </cell>
          <cell r="AL332" t="str">
            <v>-</v>
          </cell>
          <cell r="AM332" t="str">
            <v>-</v>
          </cell>
          <cell r="AN332" t="str">
            <v>-</v>
          </cell>
          <cell r="AO332" t="str">
            <v>-</v>
          </cell>
          <cell r="AP332" t="str">
            <v>-</v>
          </cell>
          <cell r="AQ332" t="str">
            <v>-</v>
          </cell>
          <cell r="AR332" t="str">
            <v>-</v>
          </cell>
          <cell r="AS332" t="str">
            <v>-</v>
          </cell>
          <cell r="AT332" t="str">
            <v>-</v>
          </cell>
          <cell r="AU332" t="str">
            <v>-</v>
          </cell>
          <cell r="AV332" t="str">
            <v>-</v>
          </cell>
          <cell r="AW332" t="str">
            <v>-</v>
          </cell>
          <cell r="AX332" t="str">
            <v>-</v>
          </cell>
          <cell r="AY332" t="str">
            <v>-</v>
          </cell>
          <cell r="AZ332" t="str">
            <v>-</v>
          </cell>
          <cell r="BA332" t="str">
            <v>-</v>
          </cell>
          <cell r="BB332" t="str">
            <v>-</v>
          </cell>
          <cell r="BC332" t="str">
            <v>-</v>
          </cell>
          <cell r="BD332" t="str">
            <v>-</v>
          </cell>
          <cell r="BE332" t="str">
            <v>-</v>
          </cell>
          <cell r="BF332" t="str">
            <v>-</v>
          </cell>
          <cell r="BG332" t="str">
            <v>-</v>
          </cell>
          <cell r="BH332" t="str">
            <v>-</v>
          </cell>
          <cell r="BI332" t="str">
            <v>-</v>
          </cell>
          <cell r="BJ332" t="str">
            <v>-</v>
          </cell>
          <cell r="BK332" t="str">
            <v>-</v>
          </cell>
          <cell r="BL332" t="str">
            <v>-</v>
          </cell>
          <cell r="BM332">
            <v>0.91606135929694488</v>
          </cell>
          <cell r="BN332">
            <v>0.19431604591147314</v>
          </cell>
          <cell r="BO332" t="str">
            <v>-</v>
          </cell>
          <cell r="BP332" t="str">
            <v>-</v>
          </cell>
          <cell r="BQ332">
            <v>492732</v>
          </cell>
          <cell r="BR332">
            <v>41061</v>
          </cell>
          <cell r="BS332">
            <v>9475.6882745251878</v>
          </cell>
          <cell r="BT332">
            <v>1895.1376549050376</v>
          </cell>
        </row>
        <row r="333">
          <cell r="A333" t="str">
            <v>Norway2015100 / 100</v>
          </cell>
          <cell r="B333" t="str">
            <v>Norway</v>
          </cell>
          <cell r="C333">
            <v>2015</v>
          </cell>
          <cell r="D333" t="str">
            <v>100 / 100</v>
          </cell>
          <cell r="E333">
            <v>553670</v>
          </cell>
          <cell r="F333">
            <v>46139.166666666664</v>
          </cell>
          <cell r="G333">
            <v>10647.581904476187</v>
          </cell>
          <cell r="H333">
            <v>2129.5163808952375</v>
          </cell>
          <cell r="I333">
            <v>553670</v>
          </cell>
          <cell r="J333">
            <v>46139.166666666664</v>
          </cell>
          <cell r="K333">
            <v>10647.581904476187</v>
          </cell>
          <cell r="L333">
            <v>2129.5163808952375</v>
          </cell>
          <cell r="M333" t="str">
            <v>..</v>
          </cell>
          <cell r="N333" t="str">
            <v>..</v>
          </cell>
          <cell r="O333" t="str">
            <v>..</v>
          </cell>
          <cell r="P333" t="str">
            <v>..</v>
          </cell>
          <cell r="Q333" t="str">
            <v>..</v>
          </cell>
          <cell r="R333" t="str">
            <v>..</v>
          </cell>
          <cell r="S333" t="str">
            <v>..</v>
          </cell>
          <cell r="T333" t="str">
            <v>..</v>
          </cell>
          <cell r="U333" t="str">
            <v>..</v>
          </cell>
          <cell r="V333">
            <v>62</v>
          </cell>
          <cell r="W333">
            <v>10</v>
          </cell>
          <cell r="X333">
            <v>52</v>
          </cell>
          <cell r="Y333" t="str">
            <v>-</v>
          </cell>
          <cell r="Z333" t="str">
            <v>Ten weeks ('father quota' portion of parental leave). Hundred per cent of earnings up to a ceiling of six times the basic national insurance benefit payment (i.e. NOK530,222 [€61,588] a year). [NOTE: assumed that parents take the shorter, higher paid option]</v>
          </cell>
          <cell r="AA333" t="str">
            <v>Gross</v>
          </cell>
          <cell r="AB333" t="str">
            <v>Y</v>
          </cell>
          <cell r="AC333">
            <v>10</v>
          </cell>
          <cell r="AD333">
            <v>1</v>
          </cell>
          <cell r="AE333">
            <v>530222</v>
          </cell>
          <cell r="AF333" t="str">
            <v>annual</v>
          </cell>
          <cell r="AG333" t="str">
            <v>-</v>
          </cell>
          <cell r="AH333" t="str">
            <v>-</v>
          </cell>
          <cell r="AI333" t="str">
            <v>-</v>
          </cell>
          <cell r="AJ333" t="str">
            <v>-</v>
          </cell>
          <cell r="AK333" t="str">
            <v>-</v>
          </cell>
          <cell r="AL333" t="str">
            <v>-</v>
          </cell>
          <cell r="AM333" t="str">
            <v>-</v>
          </cell>
          <cell r="AN333" t="str">
            <v>-</v>
          </cell>
          <cell r="AO333" t="str">
            <v>-</v>
          </cell>
          <cell r="AP333" t="str">
            <v>-</v>
          </cell>
          <cell r="AQ333" t="str">
            <v>-</v>
          </cell>
          <cell r="AR333" t="str">
            <v>-</v>
          </cell>
          <cell r="AS333" t="str">
            <v>-</v>
          </cell>
          <cell r="AT333" t="str">
            <v>-</v>
          </cell>
          <cell r="AU333" t="str">
            <v>-</v>
          </cell>
          <cell r="AV333" t="str">
            <v>-</v>
          </cell>
          <cell r="AW333" t="str">
            <v>-</v>
          </cell>
          <cell r="AX333" t="str">
            <v>-</v>
          </cell>
          <cell r="AY333" t="str">
            <v>-</v>
          </cell>
          <cell r="AZ333" t="str">
            <v>-</v>
          </cell>
          <cell r="BA333" t="str">
            <v>-</v>
          </cell>
          <cell r="BB333" t="str">
            <v>-</v>
          </cell>
          <cell r="BC333" t="str">
            <v>-</v>
          </cell>
          <cell r="BD333" t="str">
            <v>-</v>
          </cell>
          <cell r="BE333" t="str">
            <v>-</v>
          </cell>
          <cell r="BF333" t="str">
            <v>-</v>
          </cell>
          <cell r="BG333" t="str">
            <v>-</v>
          </cell>
          <cell r="BH333" t="str">
            <v>-</v>
          </cell>
          <cell r="BI333" t="str">
            <v>-</v>
          </cell>
          <cell r="BJ333" t="str">
            <v>-</v>
          </cell>
          <cell r="BK333" t="str">
            <v>-</v>
          </cell>
          <cell r="BL333" t="str">
            <v>-</v>
          </cell>
          <cell r="BM333">
            <v>0.95764986363718463</v>
          </cell>
          <cell r="BN333">
            <v>0.15445965542535237</v>
          </cell>
          <cell r="BO333" t="str">
            <v>-</v>
          </cell>
          <cell r="BP333" t="str">
            <v>-</v>
          </cell>
          <cell r="BQ333">
            <v>530222</v>
          </cell>
          <cell r="BR333">
            <v>44185.166666666664</v>
          </cell>
          <cell r="BS333">
            <v>10196.655358887374</v>
          </cell>
          <cell r="BT333">
            <v>2039.331071777475</v>
          </cell>
        </row>
        <row r="334">
          <cell r="A334" t="str">
            <v>Norway2016100 / 100</v>
          </cell>
          <cell r="B334" t="str">
            <v>Norway</v>
          </cell>
          <cell r="C334">
            <v>2016</v>
          </cell>
          <cell r="D334" t="str">
            <v>100 / 100</v>
          </cell>
          <cell r="E334">
            <v>562711</v>
          </cell>
          <cell r="F334">
            <v>46892.583333333336</v>
          </cell>
          <cell r="G334">
            <v>10821.448626527896</v>
          </cell>
          <cell r="H334">
            <v>2164.2897253055789</v>
          </cell>
          <cell r="I334">
            <v>562711</v>
          </cell>
          <cell r="J334">
            <v>46892.583333333336</v>
          </cell>
          <cell r="K334">
            <v>10821.448626527896</v>
          </cell>
          <cell r="L334">
            <v>2164.2897253055789</v>
          </cell>
          <cell r="M334" t="str">
            <v>..</v>
          </cell>
          <cell r="N334" t="str">
            <v>..</v>
          </cell>
          <cell r="O334" t="str">
            <v>..</v>
          </cell>
          <cell r="P334" t="str">
            <v>..</v>
          </cell>
          <cell r="Q334" t="str">
            <v>..</v>
          </cell>
          <cell r="R334" t="str">
            <v>..</v>
          </cell>
          <cell r="S334" t="str">
            <v>..</v>
          </cell>
          <cell r="T334" t="str">
            <v>..</v>
          </cell>
          <cell r="U334" t="str">
            <v>..</v>
          </cell>
          <cell r="V334">
            <v>62</v>
          </cell>
          <cell r="W334">
            <v>10</v>
          </cell>
          <cell r="X334">
            <v>52</v>
          </cell>
          <cell r="Y334" t="str">
            <v>-</v>
          </cell>
          <cell r="Z334" t="str">
            <v>Ten weeks ('father quota' portion of parental leave). Hundred per cent of earnings up to a ceiling of six times the basic national insurance benefit payment (i.e. NOK540408 a year). [NOTE: assumed that parents take the shorter, higher paid option]</v>
          </cell>
          <cell r="AA334" t="str">
            <v>Gross</v>
          </cell>
          <cell r="AB334" t="str">
            <v>Y</v>
          </cell>
          <cell r="AC334">
            <v>10</v>
          </cell>
          <cell r="AD334">
            <v>1</v>
          </cell>
          <cell r="AE334">
            <v>540408</v>
          </cell>
          <cell r="AF334" t="str">
            <v>annual</v>
          </cell>
          <cell r="AG334" t="str">
            <v>-</v>
          </cell>
          <cell r="AH334" t="str">
            <v>-</v>
          </cell>
          <cell r="AI334" t="str">
            <v>-</v>
          </cell>
          <cell r="AJ334" t="str">
            <v>-</v>
          </cell>
          <cell r="AK334" t="str">
            <v>-</v>
          </cell>
          <cell r="AL334" t="str">
            <v>-</v>
          </cell>
          <cell r="AM334" t="str">
            <v>-</v>
          </cell>
          <cell r="AN334" t="str">
            <v>-</v>
          </cell>
          <cell r="AO334" t="str">
            <v>-</v>
          </cell>
          <cell r="AP334" t="str">
            <v>-</v>
          </cell>
          <cell r="AQ334" t="str">
            <v>-</v>
          </cell>
          <cell r="AR334" t="str">
            <v>-</v>
          </cell>
          <cell r="AS334" t="str">
            <v>-</v>
          </cell>
          <cell r="AT334" t="str">
            <v>-</v>
          </cell>
          <cell r="AU334" t="str">
            <v>-</v>
          </cell>
          <cell r="AV334" t="str">
            <v>-</v>
          </cell>
          <cell r="AW334" t="str">
            <v>-</v>
          </cell>
          <cell r="AX334" t="str">
            <v>-</v>
          </cell>
          <cell r="AY334" t="str">
            <v>-</v>
          </cell>
          <cell r="AZ334" t="str">
            <v>-</v>
          </cell>
          <cell r="BA334" t="str">
            <v>-</v>
          </cell>
          <cell r="BB334" t="str">
            <v>-</v>
          </cell>
          <cell r="BC334" t="str">
            <v>-</v>
          </cell>
          <cell r="BD334" t="str">
            <v>-</v>
          </cell>
          <cell r="BE334" t="str">
            <v>-</v>
          </cell>
          <cell r="BF334" t="str">
            <v>-</v>
          </cell>
          <cell r="BG334" t="str">
            <v>-</v>
          </cell>
          <cell r="BH334" t="str">
            <v>-</v>
          </cell>
          <cell r="BI334" t="str">
            <v>-</v>
          </cell>
          <cell r="BJ334" t="str">
            <v>-</v>
          </cell>
          <cell r="BK334" t="str">
            <v>-</v>
          </cell>
          <cell r="BL334" t="str">
            <v>-</v>
          </cell>
          <cell r="BM334">
            <v>0.96036508971745715</v>
          </cell>
          <cell r="BN334">
            <v>0.15489759511571888</v>
          </cell>
          <cell r="BO334" t="str">
            <v>-</v>
          </cell>
          <cell r="BP334" t="str">
            <v>-</v>
          </cell>
          <cell r="BQ334">
            <v>540408</v>
          </cell>
          <cell r="BR334">
            <v>45034.000000000007</v>
          </cell>
          <cell r="BS334">
            <v>10392.541481088316</v>
          </cell>
          <cell r="BT334">
            <v>2078.508296217663</v>
          </cell>
        </row>
        <row r="335">
          <cell r="A335" t="str">
            <v>Norway2017100 / 100</v>
          </cell>
          <cell r="B335" t="str">
            <v>Norway</v>
          </cell>
          <cell r="C335">
            <v>2017</v>
          </cell>
          <cell r="D335" t="str">
            <v>100 / 100</v>
          </cell>
          <cell r="E335">
            <v>572104</v>
          </cell>
          <cell r="F335">
            <v>47675.333333333336</v>
          </cell>
          <cell r="G335">
            <v>11002.084631420241</v>
          </cell>
          <cell r="H335">
            <v>2200.4169262840483</v>
          </cell>
          <cell r="I335">
            <v>572104</v>
          </cell>
          <cell r="J335">
            <v>47675.333333333336</v>
          </cell>
          <cell r="K335">
            <v>11002.084631420241</v>
          </cell>
          <cell r="L335">
            <v>2200.4169262840483</v>
          </cell>
          <cell r="M335" t="str">
            <v>..</v>
          </cell>
          <cell r="N335" t="str">
            <v>..</v>
          </cell>
          <cell r="O335" t="str">
            <v>..</v>
          </cell>
          <cell r="P335" t="str">
            <v>..</v>
          </cell>
          <cell r="Q335" t="str">
            <v>..</v>
          </cell>
          <cell r="R335" t="str">
            <v>..</v>
          </cell>
          <cell r="S335" t="str">
            <v>..</v>
          </cell>
          <cell r="T335" t="str">
            <v>..</v>
          </cell>
          <cell r="U335" t="str">
            <v>..</v>
          </cell>
          <cell r="V335">
            <v>62</v>
          </cell>
          <cell r="W335">
            <v>10</v>
          </cell>
          <cell r="X335">
            <v>52</v>
          </cell>
          <cell r="Y335" t="str">
            <v>-</v>
          </cell>
          <cell r="Z335" t="str">
            <v>Ten weeks ('father quota' portion of parental leave). Hundred per cent of earnings up to a ceiling of six times the basic national insurance benefit payment (i.e. NOK 555,456 (€59,685) a year). [NOTE: assumed that parents take the shorter, higher paid option] [NOTE: Exact ceiling taken from MISSOC as of 1 January in the given year]</v>
          </cell>
          <cell r="AA335" t="str">
            <v>Gross</v>
          </cell>
          <cell r="AB335" t="str">
            <v>Y</v>
          </cell>
          <cell r="AC335">
            <v>10</v>
          </cell>
          <cell r="AD335">
            <v>1</v>
          </cell>
          <cell r="AE335">
            <v>555456</v>
          </cell>
          <cell r="AF335" t="str">
            <v>annual</v>
          </cell>
          <cell r="AG335" t="str">
            <v>-</v>
          </cell>
          <cell r="AH335" t="str">
            <v>-</v>
          </cell>
          <cell r="AI335" t="str">
            <v>-</v>
          </cell>
          <cell r="AJ335" t="str">
            <v>-</v>
          </cell>
          <cell r="AK335" t="str">
            <v>-</v>
          </cell>
          <cell r="AL335" t="str">
            <v>-</v>
          </cell>
          <cell r="AM335" t="str">
            <v>-</v>
          </cell>
          <cell r="AN335" t="str">
            <v>-</v>
          </cell>
          <cell r="AO335" t="str">
            <v>-</v>
          </cell>
          <cell r="AP335" t="str">
            <v>-</v>
          </cell>
          <cell r="AQ335" t="str">
            <v>-</v>
          </cell>
          <cell r="AR335" t="str">
            <v>-</v>
          </cell>
          <cell r="AS335" t="str">
            <v>-</v>
          </cell>
          <cell r="AT335" t="str">
            <v>-</v>
          </cell>
          <cell r="AU335" t="str">
            <v>-</v>
          </cell>
          <cell r="AV335" t="str">
            <v>-</v>
          </cell>
          <cell r="AW335" t="str">
            <v>-</v>
          </cell>
          <cell r="AX335" t="str">
            <v>-</v>
          </cell>
          <cell r="AY335" t="str">
            <v>-</v>
          </cell>
          <cell r="AZ335" t="str">
            <v>-</v>
          </cell>
          <cell r="BA335" t="str">
            <v>-</v>
          </cell>
          <cell r="BB335" t="str">
            <v>-</v>
          </cell>
          <cell r="BC335" t="str">
            <v>-</v>
          </cell>
          <cell r="BD335" t="str">
            <v>-</v>
          </cell>
          <cell r="BE335" t="str">
            <v>-</v>
          </cell>
          <cell r="BF335" t="str">
            <v>-</v>
          </cell>
          <cell r="BG335" t="str">
            <v>-</v>
          </cell>
          <cell r="BH335" t="str">
            <v>-</v>
          </cell>
          <cell r="BI335" t="str">
            <v>-</v>
          </cell>
          <cell r="BJ335" t="str">
            <v>-</v>
          </cell>
          <cell r="BK335" t="str">
            <v>-</v>
          </cell>
          <cell r="BL335" t="str">
            <v>-</v>
          </cell>
          <cell r="BM335">
            <v>0.9709003957322444</v>
          </cell>
          <cell r="BN335">
            <v>0.15659683802132976</v>
          </cell>
          <cell r="BO335" t="str">
            <v>-</v>
          </cell>
          <cell r="BP335" t="str">
            <v>-</v>
          </cell>
          <cell r="BQ335">
            <v>555456</v>
          </cell>
          <cell r="BR335">
            <v>46288</v>
          </cell>
          <cell r="BS335">
            <v>10681.928322525557</v>
          </cell>
          <cell r="BT335">
            <v>2136.3856645051114</v>
          </cell>
        </row>
        <row r="336">
          <cell r="A336" t="str">
            <v>Norway2018100 / 100</v>
          </cell>
          <cell r="B336" t="str">
            <v>Norway</v>
          </cell>
          <cell r="C336">
            <v>2018</v>
          </cell>
          <cell r="D336" t="str">
            <v>100 / 100</v>
          </cell>
          <cell r="E336">
            <v>590873</v>
          </cell>
          <cell r="F336">
            <v>49239.416666666664</v>
          </cell>
          <cell r="G336">
            <v>11363.029715613195</v>
          </cell>
          <cell r="H336">
            <v>2272.605943122639</v>
          </cell>
          <cell r="I336">
            <v>590873</v>
          </cell>
          <cell r="J336">
            <v>49239.416666666664</v>
          </cell>
          <cell r="K336">
            <v>11363.029715613195</v>
          </cell>
          <cell r="L336">
            <v>2272.605943122639</v>
          </cell>
          <cell r="M336" t="str">
            <v>..</v>
          </cell>
          <cell r="N336" t="str">
            <v>..</v>
          </cell>
          <cell r="O336" t="str">
            <v>..</v>
          </cell>
          <cell r="P336" t="str">
            <v>..</v>
          </cell>
          <cell r="Q336" t="str">
            <v>..</v>
          </cell>
          <cell r="R336" t="str">
            <v>..</v>
          </cell>
          <cell r="S336" t="str">
            <v>..</v>
          </cell>
          <cell r="T336" t="str">
            <v>..</v>
          </cell>
          <cell r="U336" t="str">
            <v>..</v>
          </cell>
          <cell r="V336">
            <v>62</v>
          </cell>
          <cell r="W336">
            <v>10</v>
          </cell>
          <cell r="X336">
            <v>52</v>
          </cell>
          <cell r="Y336" t="str">
            <v>-</v>
          </cell>
          <cell r="Z336" t="str">
            <v>Ten weeks ('father quota' portion of parental leave). Hundred per cent of earnings up to a ceiling of six times the basic national insurance benefit payment (i.e. NOK 561,804 a year). [NOTE: assumed that parents take the shorter, higher paid option] [NOTE: Exact ceiling taken from MISSOC as of 1 January in the given year]</v>
          </cell>
          <cell r="AA336" t="str">
            <v>Gross</v>
          </cell>
          <cell r="AB336" t="str">
            <v>Y</v>
          </cell>
          <cell r="AC336">
            <v>10</v>
          </cell>
          <cell r="AD336">
            <v>1</v>
          </cell>
          <cell r="AE336">
            <v>561804</v>
          </cell>
          <cell r="AF336" t="str">
            <v>annual</v>
          </cell>
          <cell r="AG336" t="str">
            <v>-</v>
          </cell>
          <cell r="AH336" t="str">
            <v>-</v>
          </cell>
          <cell r="AI336" t="str">
            <v>-</v>
          </cell>
          <cell r="AJ336" t="str">
            <v>-</v>
          </cell>
          <cell r="AK336" t="str">
            <v>-</v>
          </cell>
          <cell r="AL336" t="str">
            <v>-</v>
          </cell>
          <cell r="AM336" t="str">
            <v>-</v>
          </cell>
          <cell r="AN336" t="str">
            <v>-</v>
          </cell>
          <cell r="AO336" t="str">
            <v>-</v>
          </cell>
          <cell r="AP336" t="str">
            <v>-</v>
          </cell>
          <cell r="AQ336" t="str">
            <v>-</v>
          </cell>
          <cell r="AR336" t="str">
            <v>-</v>
          </cell>
          <cell r="AS336" t="str">
            <v>-</v>
          </cell>
          <cell r="AT336" t="str">
            <v>-</v>
          </cell>
          <cell r="AU336" t="str">
            <v>-</v>
          </cell>
          <cell r="AV336" t="str">
            <v>-</v>
          </cell>
          <cell r="AW336" t="str">
            <v>-</v>
          </cell>
          <cell r="AX336" t="str">
            <v>-</v>
          </cell>
          <cell r="AY336" t="str">
            <v>-</v>
          </cell>
          <cell r="AZ336" t="str">
            <v>-</v>
          </cell>
          <cell r="BA336" t="str">
            <v>-</v>
          </cell>
          <cell r="BB336" t="str">
            <v>-</v>
          </cell>
          <cell r="BC336" t="str">
            <v>-</v>
          </cell>
          <cell r="BD336" t="str">
            <v>-</v>
          </cell>
          <cell r="BE336" t="str">
            <v>-</v>
          </cell>
          <cell r="BF336" t="str">
            <v>-</v>
          </cell>
          <cell r="BG336" t="str">
            <v>-</v>
          </cell>
          <cell r="BH336" t="str">
            <v>-</v>
          </cell>
          <cell r="BI336" t="str">
            <v>-</v>
          </cell>
          <cell r="BJ336" t="str">
            <v>-</v>
          </cell>
          <cell r="BK336" t="str">
            <v>-</v>
          </cell>
          <cell r="BL336" t="str">
            <v>-</v>
          </cell>
          <cell r="BM336">
            <v>0.95080330290942394</v>
          </cell>
          <cell r="BN336">
            <v>0.15335537143700387</v>
          </cell>
          <cell r="BO336" t="str">
            <v>-</v>
          </cell>
          <cell r="BP336" t="str">
            <v>-</v>
          </cell>
          <cell r="BQ336">
            <v>561804</v>
          </cell>
          <cell r="BR336">
            <v>46817</v>
          </cell>
          <cell r="BS336">
            <v>10804.006184662958</v>
          </cell>
          <cell r="BT336">
            <v>2160.8012369325916</v>
          </cell>
        </row>
        <row r="337">
          <cell r="A337" t="str">
            <v>Norway2019100 / 100</v>
          </cell>
          <cell r="B337" t="str">
            <v>Norway</v>
          </cell>
          <cell r="C337">
            <v>2019</v>
          </cell>
          <cell r="D337" t="str">
            <v>100 / 100</v>
          </cell>
          <cell r="E337">
            <v>612616</v>
          </cell>
          <cell r="F337">
            <v>51051.333333333336</v>
          </cell>
          <cell r="G337">
            <v>11781.167547442672</v>
          </cell>
          <cell r="H337">
            <v>2356.2335094885343</v>
          </cell>
          <cell r="I337">
            <v>612616</v>
          </cell>
          <cell r="J337">
            <v>51051.333333333336</v>
          </cell>
          <cell r="K337">
            <v>11781.167547442672</v>
          </cell>
          <cell r="L337">
            <v>2356.2335094885343</v>
          </cell>
          <cell r="M337" t="str">
            <v>..</v>
          </cell>
          <cell r="N337" t="str">
            <v>..</v>
          </cell>
          <cell r="O337" t="str">
            <v>..</v>
          </cell>
          <cell r="P337" t="str">
            <v>..</v>
          </cell>
          <cell r="Q337" t="str">
            <v>..</v>
          </cell>
          <cell r="R337" t="str">
            <v>..</v>
          </cell>
          <cell r="S337" t="str">
            <v>..</v>
          </cell>
          <cell r="T337" t="str">
            <v>..</v>
          </cell>
          <cell r="U337" t="str">
            <v>..</v>
          </cell>
          <cell r="V337">
            <v>67</v>
          </cell>
          <cell r="W337">
            <v>15</v>
          </cell>
          <cell r="X337">
            <v>52</v>
          </cell>
          <cell r="Y337" t="str">
            <v>-</v>
          </cell>
          <cell r="Z337" t="str">
            <v>Fifteen weeks ('father quota' portion of parental leave). Hundred per cent of earnings up to a ceiling of six times the basic national insurance benefit payment (i.e. NOK 581,298 a year). [NOTE: assumed that parents take the shorter, higher paid option] [NOTE: Exact ceiling taken from MISSOC as of 1 January in the given year]</v>
          </cell>
          <cell r="AA337" t="str">
            <v>Gross</v>
          </cell>
          <cell r="AB337" t="str">
            <v>Y</v>
          </cell>
          <cell r="AC337">
            <v>15</v>
          </cell>
          <cell r="AD337">
            <v>1</v>
          </cell>
          <cell r="AE337">
            <v>581298</v>
          </cell>
          <cell r="AF337" t="str">
            <v>annual</v>
          </cell>
          <cell r="AG337" t="str">
            <v>-</v>
          </cell>
          <cell r="AH337" t="str">
            <v>-</v>
          </cell>
          <cell r="AI337" t="str">
            <v>-</v>
          </cell>
          <cell r="AJ337" t="str">
            <v>-</v>
          </cell>
          <cell r="AK337" t="str">
            <v>-</v>
          </cell>
          <cell r="AL337" t="str">
            <v>-</v>
          </cell>
          <cell r="AM337" t="str">
            <v>-</v>
          </cell>
          <cell r="AN337" t="str">
            <v>-</v>
          </cell>
          <cell r="AO337" t="str">
            <v>-</v>
          </cell>
          <cell r="AP337" t="str">
            <v>-</v>
          </cell>
          <cell r="AQ337" t="str">
            <v>-</v>
          </cell>
          <cell r="AR337" t="str">
            <v>-</v>
          </cell>
          <cell r="AS337" t="str">
            <v>-</v>
          </cell>
          <cell r="AT337" t="str">
            <v>-</v>
          </cell>
          <cell r="AU337" t="str">
            <v>-</v>
          </cell>
          <cell r="AV337" t="str">
            <v>-</v>
          </cell>
          <cell r="AW337" t="str">
            <v>-</v>
          </cell>
          <cell r="AX337" t="str">
            <v>-</v>
          </cell>
          <cell r="AY337" t="str">
            <v>-</v>
          </cell>
          <cell r="AZ337" t="str">
            <v>-</v>
          </cell>
          <cell r="BA337" t="str">
            <v>-</v>
          </cell>
          <cell r="BB337" t="str">
            <v>-</v>
          </cell>
          <cell r="BC337" t="str">
            <v>-</v>
          </cell>
          <cell r="BD337" t="str">
            <v>-</v>
          </cell>
          <cell r="BE337" t="str">
            <v>-</v>
          </cell>
          <cell r="BF337" t="str">
            <v>-</v>
          </cell>
          <cell r="BG337" t="str">
            <v>-</v>
          </cell>
          <cell r="BH337" t="str">
            <v>-</v>
          </cell>
          <cell r="BI337" t="str">
            <v>-</v>
          </cell>
          <cell r="BJ337" t="str">
            <v>-</v>
          </cell>
          <cell r="BK337" t="str">
            <v>-</v>
          </cell>
          <cell r="BL337" t="str">
            <v>-</v>
          </cell>
          <cell r="BM337">
            <v>0.94887825326142317</v>
          </cell>
          <cell r="BN337">
            <v>0.21243542983464697</v>
          </cell>
          <cell r="BO337" t="str">
            <v>-</v>
          </cell>
          <cell r="BP337" t="str">
            <v>-</v>
          </cell>
          <cell r="BQ337">
            <v>581298</v>
          </cell>
          <cell r="BR337">
            <v>48441.5</v>
          </cell>
          <cell r="BS337">
            <v>11178.893683797567</v>
          </cell>
          <cell r="BT337">
            <v>2235.7787367595133</v>
          </cell>
        </row>
        <row r="338">
          <cell r="A338" t="str">
            <v>Norway2020100 / 100</v>
          </cell>
          <cell r="B338" t="str">
            <v>Norway</v>
          </cell>
          <cell r="C338">
            <v>2020</v>
          </cell>
          <cell r="D338" t="str">
            <v>100 / 100</v>
          </cell>
          <cell r="E338">
            <v>628871</v>
          </cell>
          <cell r="F338">
            <v>52405.916666666664</v>
          </cell>
          <cell r="G338">
            <v>12093.766105893121</v>
          </cell>
          <cell r="H338">
            <v>2418.7532211786242</v>
          </cell>
          <cell r="I338">
            <v>628871</v>
          </cell>
          <cell r="J338">
            <v>52405.916666666664</v>
          </cell>
          <cell r="K338">
            <v>12093.766105893121</v>
          </cell>
          <cell r="L338">
            <v>2418.7532211786242</v>
          </cell>
          <cell r="M338" t="str">
            <v>..</v>
          </cell>
          <cell r="N338" t="str">
            <v>..</v>
          </cell>
          <cell r="O338" t="str">
            <v>..</v>
          </cell>
          <cell r="P338" t="str">
            <v>..</v>
          </cell>
          <cell r="Q338" t="str">
            <v>..</v>
          </cell>
          <cell r="R338" t="str">
            <v>..</v>
          </cell>
          <cell r="S338" t="str">
            <v>..</v>
          </cell>
          <cell r="T338" t="str">
            <v>..</v>
          </cell>
          <cell r="U338" t="str">
            <v>..</v>
          </cell>
          <cell r="V338">
            <v>67</v>
          </cell>
          <cell r="W338">
            <v>15</v>
          </cell>
          <cell r="X338">
            <v>52</v>
          </cell>
          <cell r="Y338" t="str">
            <v>-</v>
          </cell>
          <cell r="Z338" t="str">
            <v>Fifteen weeks ('father quota' portion of parental leave). Hundred per cent of earnings up to a ceiling of six times the basic national insurance benefit payment (i.e. NOK 599,148 a year). [NOTE: assumed that parents take the shorter, higher paid option] [NOTE: Exact ceiling taken from MISSOC as of 1 January in the given year]</v>
          </cell>
          <cell r="AA338" t="str">
            <v>Gross</v>
          </cell>
          <cell r="AB338" t="str">
            <v>Y</v>
          </cell>
          <cell r="AC338">
            <v>15</v>
          </cell>
          <cell r="AD338">
            <v>1</v>
          </cell>
          <cell r="AE338">
            <v>599148</v>
          </cell>
          <cell r="AF338" t="str">
            <v>annual</v>
          </cell>
          <cell r="AG338" t="str">
            <v>-</v>
          </cell>
          <cell r="AH338" t="str">
            <v>-</v>
          </cell>
          <cell r="AI338" t="str">
            <v>-</v>
          </cell>
          <cell r="AJ338" t="str">
            <v>-</v>
          </cell>
          <cell r="AK338" t="str">
            <v>-</v>
          </cell>
          <cell r="AL338" t="str">
            <v>-</v>
          </cell>
          <cell r="AM338" t="str">
            <v>-</v>
          </cell>
          <cell r="AN338" t="str">
            <v>-</v>
          </cell>
          <cell r="AO338" t="str">
            <v>-</v>
          </cell>
          <cell r="AP338" t="str">
            <v>-</v>
          </cell>
          <cell r="AQ338" t="str">
            <v>-</v>
          </cell>
          <cell r="AR338" t="str">
            <v>-</v>
          </cell>
          <cell r="AS338" t="str">
            <v>-</v>
          </cell>
          <cell r="AT338" t="str">
            <v>-</v>
          </cell>
          <cell r="AU338" t="str">
            <v>-</v>
          </cell>
          <cell r="AV338" t="str">
            <v>-</v>
          </cell>
          <cell r="AW338" t="str">
            <v>-</v>
          </cell>
          <cell r="AX338" t="str">
            <v>-</v>
          </cell>
          <cell r="AY338" t="str">
            <v>-</v>
          </cell>
          <cell r="AZ338" t="str">
            <v>-</v>
          </cell>
          <cell r="BA338" t="str">
            <v>-</v>
          </cell>
          <cell r="BB338" t="str">
            <v>-</v>
          </cell>
          <cell r="BC338" t="str">
            <v>-</v>
          </cell>
          <cell r="BD338" t="str">
            <v>-</v>
          </cell>
          <cell r="BE338" t="str">
            <v>-</v>
          </cell>
          <cell r="BF338" t="str">
            <v>-</v>
          </cell>
          <cell r="BG338" t="str">
            <v>-</v>
          </cell>
          <cell r="BH338" t="str">
            <v>-</v>
          </cell>
          <cell r="BI338" t="str">
            <v>-</v>
          </cell>
          <cell r="BJ338" t="str">
            <v>-</v>
          </cell>
          <cell r="BK338" t="str">
            <v>-</v>
          </cell>
          <cell r="BL338" t="str">
            <v>-</v>
          </cell>
          <cell r="BM338">
            <v>0.95273593471475071</v>
          </cell>
          <cell r="BN338">
            <v>0.21329908986151136</v>
          </cell>
          <cell r="BO338" t="str">
            <v>-</v>
          </cell>
          <cell r="BP338" t="str">
            <v>-</v>
          </cell>
          <cell r="BQ338">
            <v>599148</v>
          </cell>
          <cell r="BR338">
            <v>49929</v>
          </cell>
          <cell r="BS338">
            <v>11522.165555119653</v>
          </cell>
          <cell r="BT338">
            <v>2304.4331110239309</v>
          </cell>
        </row>
        <row r="339">
          <cell r="A339" t="str">
            <v>Norway2021100 / 100</v>
          </cell>
          <cell r="B339" t="str">
            <v>Norway</v>
          </cell>
          <cell r="C339">
            <v>2021</v>
          </cell>
          <cell r="D339" t="str">
            <v>100 / 100</v>
          </cell>
          <cell r="E339">
            <v>659020</v>
          </cell>
          <cell r="F339">
            <v>54918.333333333336</v>
          </cell>
          <cell r="G339">
            <v>12673.559027377134</v>
          </cell>
          <cell r="H339">
            <v>2534.7118054754269</v>
          </cell>
          <cell r="I339">
            <v>659020</v>
          </cell>
          <cell r="J339">
            <v>54918.333333333336</v>
          </cell>
          <cell r="K339">
            <v>12673.559027377134</v>
          </cell>
          <cell r="L339">
            <v>2534.7118054754269</v>
          </cell>
          <cell r="M339" t="str">
            <v>..</v>
          </cell>
          <cell r="N339" t="str">
            <v>..</v>
          </cell>
          <cell r="O339" t="str">
            <v>..</v>
          </cell>
          <cell r="P339" t="str">
            <v>..</v>
          </cell>
          <cell r="Q339" t="str">
            <v>..</v>
          </cell>
          <cell r="R339" t="str">
            <v>..</v>
          </cell>
          <cell r="S339" t="str">
            <v>..</v>
          </cell>
          <cell r="T339" t="str">
            <v>..</v>
          </cell>
          <cell r="U339" t="str">
            <v>..</v>
          </cell>
          <cell r="V339">
            <v>67</v>
          </cell>
          <cell r="W339">
            <v>15</v>
          </cell>
          <cell r="X339">
            <v>52</v>
          </cell>
          <cell r="Y339" t="str">
            <v>-</v>
          </cell>
          <cell r="Z339" t="str">
            <v>Fifteen weeks ('father quota' portion of parental leave). Hundred per cent of earnings up to a ceiling of six times the basic national insurance benefit payment (i.e. NOK 608,106 a year). [NOTE: assumed that parents take the shorter, higher paid option] [NOTE: Exact ceiling taken from MISSOC as of 1 January in the given year]</v>
          </cell>
          <cell r="AA339" t="str">
            <v>Gross</v>
          </cell>
          <cell r="AB339" t="str">
            <v>Y</v>
          </cell>
          <cell r="AC339">
            <v>15</v>
          </cell>
          <cell r="AD339">
            <v>1</v>
          </cell>
          <cell r="AE339">
            <v>608106</v>
          </cell>
          <cell r="AF339" t="str">
            <v>annual</v>
          </cell>
          <cell r="AG339" t="str">
            <v>-</v>
          </cell>
          <cell r="AH339" t="str">
            <v>-</v>
          </cell>
          <cell r="AI339" t="str">
            <v>-</v>
          </cell>
          <cell r="AJ339" t="str">
            <v>-</v>
          </cell>
          <cell r="AK339" t="str">
            <v>-</v>
          </cell>
          <cell r="AL339" t="str">
            <v>-</v>
          </cell>
          <cell r="AM339" t="str">
            <v>-</v>
          </cell>
          <cell r="AN339" t="str">
            <v>-</v>
          </cell>
          <cell r="AO339" t="str">
            <v>-</v>
          </cell>
          <cell r="AP339" t="str">
            <v>-</v>
          </cell>
          <cell r="AQ339" t="str">
            <v>-</v>
          </cell>
          <cell r="AR339" t="str">
            <v>-</v>
          </cell>
          <cell r="AS339" t="str">
            <v>-</v>
          </cell>
          <cell r="AT339" t="str">
            <v>-</v>
          </cell>
          <cell r="AU339" t="str">
            <v>-</v>
          </cell>
          <cell r="AV339" t="str">
            <v>-</v>
          </cell>
          <cell r="AW339" t="str">
            <v>-</v>
          </cell>
          <cell r="AX339" t="str">
            <v>-</v>
          </cell>
          <cell r="AY339" t="str">
            <v>-</v>
          </cell>
          <cell r="AZ339" t="str">
            <v>-</v>
          </cell>
          <cell r="BA339" t="str">
            <v>-</v>
          </cell>
          <cell r="BB339" t="str">
            <v>-</v>
          </cell>
          <cell r="BC339" t="str">
            <v>-</v>
          </cell>
          <cell r="BD339" t="str">
            <v>-</v>
          </cell>
          <cell r="BE339" t="str">
            <v>-</v>
          </cell>
          <cell r="BF339" t="str">
            <v>-</v>
          </cell>
          <cell r="BG339" t="str">
            <v>-</v>
          </cell>
          <cell r="BH339" t="str">
            <v>-</v>
          </cell>
          <cell r="BI339" t="str">
            <v>-</v>
          </cell>
          <cell r="BJ339" t="str">
            <v>-</v>
          </cell>
          <cell r="BK339" t="str">
            <v>-</v>
          </cell>
          <cell r="BL339" t="str">
            <v>-</v>
          </cell>
          <cell r="BM339">
            <v>0.92274286061121058</v>
          </cell>
          <cell r="BN339">
            <v>0.20658422252489789</v>
          </cell>
          <cell r="BO339" t="str">
            <v>-</v>
          </cell>
          <cell r="BP339" t="str">
            <v>-</v>
          </cell>
          <cell r="BQ339">
            <v>608106</v>
          </cell>
          <cell r="BR339">
            <v>50675.5</v>
          </cell>
          <cell r="BS339">
            <v>11694.436111047009</v>
          </cell>
          <cell r="BT339">
            <v>2338.8872222094019</v>
          </cell>
        </row>
        <row r="340">
          <cell r="A340" t="str">
            <v>Norway2022100 / 100</v>
          </cell>
          <cell r="B340" t="str">
            <v>Norway</v>
          </cell>
          <cell r="C340">
            <v>2022</v>
          </cell>
          <cell r="D340" t="str">
            <v>100 / 100</v>
          </cell>
          <cell r="E340">
            <v>689478</v>
          </cell>
          <cell r="F340">
            <v>57456.5</v>
          </cell>
          <cell r="G340">
            <v>13259.294302263863</v>
          </cell>
          <cell r="H340">
            <v>2651.8588604527727</v>
          </cell>
          <cell r="I340">
            <v>689478</v>
          </cell>
          <cell r="J340">
            <v>57456.5</v>
          </cell>
          <cell r="K340">
            <v>13259.294302263863</v>
          </cell>
          <cell r="L340">
            <v>2651.8588604527727</v>
          </cell>
          <cell r="M340" t="str">
            <v>..</v>
          </cell>
          <cell r="N340" t="str">
            <v>..</v>
          </cell>
          <cell r="O340" t="str">
            <v>..</v>
          </cell>
          <cell r="P340" t="str">
            <v>..</v>
          </cell>
          <cell r="Q340" t="str">
            <v>..</v>
          </cell>
          <cell r="R340" t="str">
            <v>..</v>
          </cell>
          <cell r="S340" t="str">
            <v>..</v>
          </cell>
          <cell r="T340" t="str">
            <v>..</v>
          </cell>
          <cell r="U340" t="str">
            <v>..</v>
          </cell>
          <cell r="V340">
            <v>67</v>
          </cell>
          <cell r="W340">
            <v>15</v>
          </cell>
          <cell r="X340">
            <v>52</v>
          </cell>
          <cell r="Y340" t="str">
            <v>-</v>
          </cell>
          <cell r="Z340" t="str">
            <v>Fifteen weeks ('father quota' portion of parental leave). Hundred per cent of earnings up to a ceiling of six times the basic national insurance benefit payment (i.e. NOK 638,394 a year). [NOTE: assumed that parents take the shorter, higher paid option] [NOTE: Exact ceiling taken from MISSOC as of 1 January in the given year]</v>
          </cell>
          <cell r="AA340" t="str">
            <v>Gross</v>
          </cell>
          <cell r="AB340" t="str">
            <v>Y</v>
          </cell>
          <cell r="AC340">
            <v>15</v>
          </cell>
          <cell r="AD340">
            <v>1</v>
          </cell>
          <cell r="AE340">
            <v>638394</v>
          </cell>
          <cell r="AF340" t="str">
            <v>annual</v>
          </cell>
          <cell r="AG340" t="str">
            <v>-</v>
          </cell>
          <cell r="AH340" t="str">
            <v>-</v>
          </cell>
          <cell r="AI340" t="str">
            <v>-</v>
          </cell>
          <cell r="AJ340" t="str">
            <v>-</v>
          </cell>
          <cell r="AK340" t="str">
            <v>-</v>
          </cell>
          <cell r="AL340" t="str">
            <v>-</v>
          </cell>
          <cell r="AM340" t="str">
            <v>-</v>
          </cell>
          <cell r="AN340" t="str">
            <v>-</v>
          </cell>
          <cell r="AO340" t="str">
            <v>-</v>
          </cell>
          <cell r="AP340" t="str">
            <v>-</v>
          </cell>
          <cell r="AQ340" t="str">
            <v>-</v>
          </cell>
          <cell r="AR340" t="str">
            <v>-</v>
          </cell>
          <cell r="AS340" t="str">
            <v>-</v>
          </cell>
          <cell r="AT340" t="str">
            <v>-</v>
          </cell>
          <cell r="AU340" t="str">
            <v>-</v>
          </cell>
          <cell r="AV340" t="str">
            <v>-</v>
          </cell>
          <cell r="AW340" t="str">
            <v>-</v>
          </cell>
          <cell r="AX340" t="str">
            <v>-</v>
          </cell>
          <cell r="AY340" t="str">
            <v>-</v>
          </cell>
          <cell r="AZ340" t="str">
            <v>-</v>
          </cell>
          <cell r="BA340" t="str">
            <v>-</v>
          </cell>
          <cell r="BB340" t="str">
            <v>-</v>
          </cell>
          <cell r="BC340" t="str">
            <v>-</v>
          </cell>
          <cell r="BD340" t="str">
            <v>-</v>
          </cell>
          <cell r="BE340" t="str">
            <v>-</v>
          </cell>
          <cell r="BF340" t="str">
            <v>-</v>
          </cell>
          <cell r="BG340" t="str">
            <v>-</v>
          </cell>
          <cell r="BH340" t="str">
            <v>-</v>
          </cell>
          <cell r="BI340" t="str">
            <v>-</v>
          </cell>
          <cell r="BJ340" t="str">
            <v>-</v>
          </cell>
          <cell r="BK340" t="str">
            <v>-</v>
          </cell>
          <cell r="BL340" t="str">
            <v>-</v>
          </cell>
          <cell r="BM340">
            <v>0.92590916606476203</v>
          </cell>
          <cell r="BN340">
            <v>0.20729309688017059</v>
          </cell>
          <cell r="BO340" t="str">
            <v>-</v>
          </cell>
          <cell r="BP340" t="str">
            <v>-</v>
          </cell>
          <cell r="BQ340">
            <v>638394</v>
          </cell>
          <cell r="BR340">
            <v>53199.5</v>
          </cell>
          <cell r="BS340">
            <v>12276.902130016384</v>
          </cell>
          <cell r="BT340">
            <v>2455.3804260032771</v>
          </cell>
        </row>
        <row r="341">
          <cell r="A341" t="str">
            <v>Norway2023100 / 100</v>
          </cell>
          <cell r="B341" t="str">
            <v>Norway</v>
          </cell>
          <cell r="C341">
            <v>2023</v>
          </cell>
          <cell r="D341" t="str">
            <v>100 / 100</v>
          </cell>
          <cell r="E341">
            <v>725038.74</v>
          </cell>
          <cell r="F341">
            <v>60419.894999999997</v>
          </cell>
          <cell r="G341">
            <v>13943.159947384209</v>
          </cell>
          <cell r="H341">
            <v>2788.6319894768417</v>
          </cell>
          <cell r="I341">
            <v>725038.74</v>
          </cell>
          <cell r="J341">
            <v>60419.894999999997</v>
          </cell>
          <cell r="K341">
            <v>13943.159947384209</v>
          </cell>
          <cell r="L341">
            <v>2788.6319894768417</v>
          </cell>
          <cell r="M341" t="str">
            <v>..</v>
          </cell>
          <cell r="N341" t="str">
            <v>..</v>
          </cell>
          <cell r="O341" t="str">
            <v>..</v>
          </cell>
          <cell r="P341" t="str">
            <v>..</v>
          </cell>
          <cell r="Q341" t="str">
            <v>..</v>
          </cell>
          <cell r="R341" t="str">
            <v>..</v>
          </cell>
          <cell r="S341" t="str">
            <v>..</v>
          </cell>
          <cell r="T341" t="str">
            <v>..</v>
          </cell>
          <cell r="U341" t="str">
            <v>..</v>
          </cell>
          <cell r="V341">
            <v>67</v>
          </cell>
          <cell r="W341">
            <v>15</v>
          </cell>
          <cell r="X341">
            <v>52</v>
          </cell>
          <cell r="Y341" t="str">
            <v>-</v>
          </cell>
          <cell r="Z341" t="str">
            <v>Fifteen weeks ('father quota' portion of parental leave). Hundred per cent of earnings up to a ceiling of six times the basic national insurance benefit payment (i.e. NOK 668,862 a year). [NOTE: assumed that parents take the shorter, higher paid option] [NOTE: Exact ceiling taken from MISSOC as of 1 January in the given year]</v>
          </cell>
          <cell r="AA341" t="str">
            <v>Gross</v>
          </cell>
          <cell r="AB341" t="str">
            <v>Y</v>
          </cell>
          <cell r="AC341">
            <v>15</v>
          </cell>
          <cell r="AD341">
            <v>1</v>
          </cell>
          <cell r="AE341">
            <v>668862</v>
          </cell>
          <cell r="AF341" t="str">
            <v>annual</v>
          </cell>
          <cell r="AG341" t="str">
            <v>-</v>
          </cell>
          <cell r="AH341" t="str">
            <v>-</v>
          </cell>
          <cell r="AI341" t="str">
            <v>-</v>
          </cell>
          <cell r="AJ341" t="str">
            <v>-</v>
          </cell>
          <cell r="AK341" t="str">
            <v>-</v>
          </cell>
          <cell r="AL341" t="str">
            <v>-</v>
          </cell>
          <cell r="AM341" t="str">
            <v>-</v>
          </cell>
          <cell r="AN341" t="str">
            <v>-</v>
          </cell>
          <cell r="AO341" t="str">
            <v>-</v>
          </cell>
          <cell r="AP341" t="str">
            <v>-</v>
          </cell>
          <cell r="AQ341" t="str">
            <v>-</v>
          </cell>
          <cell r="AR341" t="str">
            <v>-</v>
          </cell>
          <cell r="AS341" t="str">
            <v>-</v>
          </cell>
          <cell r="AT341" t="str">
            <v>-</v>
          </cell>
          <cell r="AU341" t="str">
            <v>-</v>
          </cell>
          <cell r="AV341" t="str">
            <v>-</v>
          </cell>
          <cell r="AW341" t="str">
            <v>-</v>
          </cell>
          <cell r="AX341" t="str">
            <v>-</v>
          </cell>
          <cell r="AY341" t="str">
            <v>-</v>
          </cell>
          <cell r="AZ341" t="str">
            <v>-</v>
          </cell>
          <cell r="BA341" t="str">
            <v>-</v>
          </cell>
          <cell r="BB341" t="str">
            <v>-</v>
          </cell>
          <cell r="BC341" t="str">
            <v>-</v>
          </cell>
          <cell r="BD341" t="str">
            <v>-</v>
          </cell>
          <cell r="BE341" t="str">
            <v>-</v>
          </cell>
          <cell r="BF341" t="str">
            <v>-</v>
          </cell>
          <cell r="BG341" t="str">
            <v>-</v>
          </cell>
          <cell r="BH341" t="str">
            <v>-</v>
          </cell>
          <cell r="BI341" t="str">
            <v>-</v>
          </cell>
          <cell r="BJ341" t="str">
            <v>-</v>
          </cell>
          <cell r="BK341" t="str">
            <v>-</v>
          </cell>
          <cell r="BL341" t="str">
            <v>-</v>
          </cell>
          <cell r="BM341">
            <v>0.92251898153745548</v>
          </cell>
          <cell r="BN341">
            <v>0.20653410034420644</v>
          </cell>
          <cell r="BO341" t="str">
            <v>-</v>
          </cell>
          <cell r="BP341" t="str">
            <v>-</v>
          </cell>
          <cell r="BQ341">
            <v>668862</v>
          </cell>
          <cell r="BR341">
            <v>55738.499999999993</v>
          </cell>
          <cell r="BS341">
            <v>12862.829714074722</v>
          </cell>
          <cell r="BT341">
            <v>2572.5659428149443</v>
          </cell>
        </row>
        <row r="342">
          <cell r="A342" t="str">
            <v>Norway2024100 / 100</v>
          </cell>
          <cell r="B342" t="str">
            <v>Norway</v>
          </cell>
          <cell r="C342">
            <v>2024</v>
          </cell>
          <cell r="D342" t="str">
            <v>100 / 100</v>
          </cell>
          <cell r="E342">
            <v>763733.29</v>
          </cell>
          <cell r="F342">
            <v>63644.440833333334</v>
          </cell>
          <cell r="G342">
            <v>14687.291633012561</v>
          </cell>
          <cell r="H342">
            <v>2937.458326602512</v>
          </cell>
          <cell r="I342">
            <v>763733.29</v>
          </cell>
          <cell r="J342">
            <v>63644.440833333334</v>
          </cell>
          <cell r="K342">
            <v>14687.291633012561</v>
          </cell>
          <cell r="L342">
            <v>2937.458326602512</v>
          </cell>
          <cell r="M342" t="str">
            <v>..</v>
          </cell>
          <cell r="N342" t="str">
            <v>..</v>
          </cell>
          <cell r="O342" t="str">
            <v>..</v>
          </cell>
          <cell r="P342" t="str">
            <v>..</v>
          </cell>
          <cell r="Q342" t="str">
            <v>..</v>
          </cell>
          <cell r="R342" t="str">
            <v>..</v>
          </cell>
          <cell r="S342" t="str">
            <v>..</v>
          </cell>
          <cell r="T342" t="str">
            <v>..</v>
          </cell>
          <cell r="U342" t="str">
            <v>..</v>
          </cell>
          <cell r="V342">
            <v>67</v>
          </cell>
          <cell r="W342">
            <v>15</v>
          </cell>
          <cell r="X342">
            <v>52</v>
          </cell>
          <cell r="Y342" t="str">
            <v>-</v>
          </cell>
          <cell r="Z342" t="str">
            <v>Fifteen weeks ('father quota' portion of parental leave). Hundred per cent of earnings up to a ceiling of six times the basic national insurance benefit payment (i.e. NOK 711720 a year). [NOTE: assumed that parents take the shorter, higher paid option] [NOTE: Exact ceiling taken from MISSOC as of 1 January in the given year]</v>
          </cell>
          <cell r="AA342" t="str">
            <v>Gross</v>
          </cell>
          <cell r="AB342" t="str">
            <v>Y</v>
          </cell>
          <cell r="AC342">
            <v>15</v>
          </cell>
          <cell r="AD342">
            <v>1</v>
          </cell>
          <cell r="AE342">
            <v>711720</v>
          </cell>
          <cell r="AF342" t="str">
            <v>annual</v>
          </cell>
          <cell r="AG342" t="str">
            <v>-</v>
          </cell>
          <cell r="AH342" t="str">
            <v>-</v>
          </cell>
          <cell r="AI342" t="str">
            <v>-</v>
          </cell>
          <cell r="AJ342" t="str">
            <v>-</v>
          </cell>
          <cell r="AK342" t="str">
            <v>-</v>
          </cell>
          <cell r="AL342" t="str">
            <v>-</v>
          </cell>
          <cell r="AM342" t="str">
            <v>-</v>
          </cell>
          <cell r="AN342" t="str">
            <v>-</v>
          </cell>
          <cell r="AO342" t="str">
            <v>-</v>
          </cell>
          <cell r="AP342" t="str">
            <v>-</v>
          </cell>
          <cell r="AQ342" t="str">
            <v>-</v>
          </cell>
          <cell r="AR342" t="str">
            <v>-</v>
          </cell>
          <cell r="AS342" t="str">
            <v>-</v>
          </cell>
          <cell r="AT342" t="str">
            <v>-</v>
          </cell>
          <cell r="AU342" t="str">
            <v>-</v>
          </cell>
          <cell r="AV342" t="str">
            <v>-</v>
          </cell>
          <cell r="AW342" t="str">
            <v>-</v>
          </cell>
          <cell r="AX342" t="str">
            <v>-</v>
          </cell>
          <cell r="AY342" t="str">
            <v>-</v>
          </cell>
          <cell r="AZ342" t="str">
            <v>-</v>
          </cell>
          <cell r="BA342" t="str">
            <v>-</v>
          </cell>
          <cell r="BB342" t="str">
            <v>-</v>
          </cell>
          <cell r="BC342" t="str">
            <v>-</v>
          </cell>
          <cell r="BD342" t="str">
            <v>-</v>
          </cell>
          <cell r="BE342" t="str">
            <v>-</v>
          </cell>
          <cell r="BF342" t="str">
            <v>-</v>
          </cell>
          <cell r="BG342" t="str">
            <v>-</v>
          </cell>
          <cell r="BH342" t="str">
            <v>-</v>
          </cell>
          <cell r="BI342" t="str">
            <v>-</v>
          </cell>
          <cell r="BJ342" t="str">
            <v>-</v>
          </cell>
          <cell r="BK342" t="str">
            <v>-</v>
          </cell>
          <cell r="BL342" t="str">
            <v>-</v>
          </cell>
          <cell r="BM342">
            <v>0.93189600259535621</v>
          </cell>
          <cell r="BN342">
            <v>0.20863343341687079</v>
          </cell>
          <cell r="BO342" t="str">
            <v>-</v>
          </cell>
          <cell r="BP342" t="str">
            <v>-</v>
          </cell>
          <cell r="BQ342">
            <v>711720</v>
          </cell>
          <cell r="BR342">
            <v>59309.999999999993</v>
          </cell>
          <cell r="BS342">
            <v>13687.028361756627</v>
          </cell>
          <cell r="BT342">
            <v>2737.4056723513254</v>
          </cell>
        </row>
        <row r="343">
          <cell r="A343" t="str">
            <v>Norway2025100 / 100</v>
          </cell>
          <cell r="B343" t="str">
            <v>Norway</v>
          </cell>
          <cell r="C343">
            <v>2025</v>
          </cell>
          <cell r="D343" t="str">
            <v>100 / 100</v>
          </cell>
          <cell r="E343">
            <v>763733.29</v>
          </cell>
          <cell r="F343">
            <v>63644.440833333334</v>
          </cell>
          <cell r="G343">
            <v>14687.291633012561</v>
          </cell>
          <cell r="H343">
            <v>2937.458326602512</v>
          </cell>
          <cell r="I343">
            <v>763733.29</v>
          </cell>
          <cell r="J343">
            <v>63644.440833333334</v>
          </cell>
          <cell r="K343">
            <v>14687.291633012561</v>
          </cell>
          <cell r="L343">
            <v>2937.458326602512</v>
          </cell>
          <cell r="M343" t="str">
            <v>..</v>
          </cell>
          <cell r="N343" t="str">
            <v>..</v>
          </cell>
          <cell r="O343" t="str">
            <v>..</v>
          </cell>
          <cell r="P343" t="str">
            <v>..</v>
          </cell>
          <cell r="Q343" t="str">
            <v>..</v>
          </cell>
          <cell r="R343" t="str">
            <v>..</v>
          </cell>
          <cell r="S343" t="str">
            <v>..</v>
          </cell>
          <cell r="T343" t="str">
            <v>..</v>
          </cell>
          <cell r="U343" t="str">
            <v>..</v>
          </cell>
          <cell r="V343">
            <v>67</v>
          </cell>
          <cell r="W343">
            <v>15</v>
          </cell>
          <cell r="X343">
            <v>52</v>
          </cell>
          <cell r="Y343" t="str">
            <v>-</v>
          </cell>
          <cell r="Z343" t="str">
            <v>Fifteen weeks ('father quota' portion of parental leave). Hundred per cent of earnings up to a ceiling of six times the basic national insurance benefit payment (i.e. NOK 744168 a year). [NOTE: assumed that parents take the shorter, higher paid option] [NOTE: Exact ceiling taken from MISSOC as of 1 January in the given year]</v>
          </cell>
          <cell r="AA343" t="str">
            <v>Gross</v>
          </cell>
          <cell r="AB343" t="str">
            <v>Y</v>
          </cell>
          <cell r="AC343">
            <v>15</v>
          </cell>
          <cell r="AD343">
            <v>1</v>
          </cell>
          <cell r="AE343">
            <v>744168</v>
          </cell>
          <cell r="AF343" t="str">
            <v>annual</v>
          </cell>
          <cell r="AG343" t="str">
            <v>-</v>
          </cell>
          <cell r="AH343" t="str">
            <v>-</v>
          </cell>
          <cell r="AI343" t="str">
            <v>-</v>
          </cell>
          <cell r="AJ343" t="str">
            <v>-</v>
          </cell>
          <cell r="AK343" t="str">
            <v>-</v>
          </cell>
          <cell r="AL343" t="str">
            <v>-</v>
          </cell>
          <cell r="AM343" t="str">
            <v>-</v>
          </cell>
          <cell r="AN343" t="str">
            <v>-</v>
          </cell>
          <cell r="AO343" t="str">
            <v>-</v>
          </cell>
          <cell r="AP343" t="str">
            <v>-</v>
          </cell>
          <cell r="AQ343" t="str">
            <v>-</v>
          </cell>
          <cell r="AR343" t="str">
            <v>-</v>
          </cell>
          <cell r="AS343" t="str">
            <v>-</v>
          </cell>
          <cell r="AT343" t="str">
            <v>-</v>
          </cell>
          <cell r="AU343" t="str">
            <v>-</v>
          </cell>
          <cell r="AV343" t="str">
            <v>-</v>
          </cell>
          <cell r="AW343" t="str">
            <v>-</v>
          </cell>
          <cell r="AX343" t="str">
            <v>-</v>
          </cell>
          <cell r="AY343" t="str">
            <v>-</v>
          </cell>
          <cell r="AZ343" t="str">
            <v>-</v>
          </cell>
          <cell r="BA343" t="str">
            <v>-</v>
          </cell>
          <cell r="BB343" t="str">
            <v>-</v>
          </cell>
          <cell r="BC343" t="str">
            <v>-</v>
          </cell>
          <cell r="BD343" t="str">
            <v>-</v>
          </cell>
          <cell r="BE343" t="str">
            <v>-</v>
          </cell>
          <cell r="BF343" t="str">
            <v>-</v>
          </cell>
          <cell r="BG343" t="str">
            <v>-</v>
          </cell>
          <cell r="BH343" t="str">
            <v>-</v>
          </cell>
          <cell r="BI343" t="str">
            <v>-</v>
          </cell>
          <cell r="BJ343" t="str">
            <v>-</v>
          </cell>
          <cell r="BK343" t="str">
            <v>-</v>
          </cell>
          <cell r="BL343" t="str">
            <v>-</v>
          </cell>
          <cell r="BM343">
            <v>0.97438203852551719</v>
          </cell>
          <cell r="BN343">
            <v>0.2181452325057128</v>
          </cell>
          <cell r="BO343" t="str">
            <v>-</v>
          </cell>
          <cell r="BP343" t="str">
            <v>-</v>
          </cell>
          <cell r="BQ343">
            <v>744168</v>
          </cell>
          <cell r="BR343">
            <v>62014</v>
          </cell>
          <cell r="BS343">
            <v>14311.033161793552</v>
          </cell>
          <cell r="BT343">
            <v>2862.2066323587101</v>
          </cell>
        </row>
        <row r="344">
          <cell r="A344" t="str">
            <v>Poland2014100 / 100</v>
          </cell>
          <cell r="B344" t="str">
            <v>Poland</v>
          </cell>
          <cell r="C344">
            <v>2014</v>
          </cell>
          <cell r="D344" t="str">
            <v>100 / 100</v>
          </cell>
          <cell r="E344">
            <v>44513</v>
          </cell>
          <cell r="F344">
            <v>3709.4166666666665</v>
          </cell>
          <cell r="G344">
            <v>856.02581558319673</v>
          </cell>
          <cell r="H344">
            <v>171.20516311663934</v>
          </cell>
          <cell r="I344">
            <v>44513</v>
          </cell>
          <cell r="J344">
            <v>3709.4166666666665</v>
          </cell>
          <cell r="K344">
            <v>856.02581558319673</v>
          </cell>
          <cell r="L344">
            <v>171.20516311663934</v>
          </cell>
          <cell r="M344" t="str">
            <v>..</v>
          </cell>
          <cell r="N344" t="str">
            <v>..</v>
          </cell>
          <cell r="O344" t="str">
            <v>..</v>
          </cell>
          <cell r="P344" t="str">
            <v>..</v>
          </cell>
          <cell r="Q344" t="str">
            <v>..</v>
          </cell>
          <cell r="R344" t="str">
            <v>..</v>
          </cell>
          <cell r="S344" t="str">
            <v>..</v>
          </cell>
          <cell r="T344" t="str">
            <v>..</v>
          </cell>
          <cell r="U344" t="str">
            <v>..</v>
          </cell>
          <cell r="V344">
            <v>4.33</v>
          </cell>
          <cell r="W344">
            <v>0</v>
          </cell>
          <cell r="X344">
            <v>4.33</v>
          </cell>
          <cell r="Y344" t="str">
            <v>-</v>
          </cell>
          <cell r="Z344" t="str">
            <v>Unpaid. There is a means-tested benefit available to parents taking parental leave. However, parents are only entitled to the benefit if monthly household income per capita does not exceed 25% of the average wage (PLN539 [€131]).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From various sources (e.g. MISSOC 2004-2014; ILO (http://www.ilo.org/dyn/ilossi/ssimain.viewBenefit?p_lang=en&amp;p_scheme_id=2735&amp;p_scheme_benefit_id=7204&amp;p_geoaid=616); this review (http://library.fes.de/pdf-files/gurn/00051.pdf)) it seems the benefit has always been means tested since the introduction of payments in 1981. I cannot find information on the exact level of the threshol across all years (earlier than 2004), but have recorded the leave as 'unpaid' here</v>
          </cell>
          <cell r="AA344" t="str">
            <v>-</v>
          </cell>
          <cell r="AB344" t="str">
            <v>-</v>
          </cell>
          <cell r="AC344" t="str">
            <v>-</v>
          </cell>
          <cell r="AD344" t="str">
            <v>-</v>
          </cell>
          <cell r="AE344" t="str">
            <v>-</v>
          </cell>
          <cell r="AF344" t="str">
            <v>-</v>
          </cell>
          <cell r="AG344" t="str">
            <v>-</v>
          </cell>
          <cell r="AH344" t="str">
            <v>-</v>
          </cell>
          <cell r="AI344" t="str">
            <v>-</v>
          </cell>
          <cell r="AJ344" t="str">
            <v>-</v>
          </cell>
          <cell r="AK344" t="str">
            <v>-</v>
          </cell>
          <cell r="AL344" t="str">
            <v>-</v>
          </cell>
          <cell r="AM344" t="str">
            <v>-</v>
          </cell>
          <cell r="AN344" t="str">
            <v>-</v>
          </cell>
          <cell r="AO344" t="str">
            <v>-</v>
          </cell>
          <cell r="AP344" t="str">
            <v>-</v>
          </cell>
          <cell r="AQ344" t="str">
            <v>-</v>
          </cell>
          <cell r="AR344" t="str">
            <v>-</v>
          </cell>
          <cell r="AS344" t="str">
            <v>-</v>
          </cell>
          <cell r="AT344" t="str">
            <v>-</v>
          </cell>
          <cell r="AU344" t="str">
            <v>-</v>
          </cell>
          <cell r="AV344" t="str">
            <v>-</v>
          </cell>
          <cell r="AW344" t="str">
            <v>-</v>
          </cell>
          <cell r="AX344" t="str">
            <v>-</v>
          </cell>
          <cell r="AY344" t="str">
            <v>-</v>
          </cell>
          <cell r="AZ344" t="str">
            <v>-</v>
          </cell>
          <cell r="BA344" t="str">
            <v>-</v>
          </cell>
          <cell r="BB344" t="str">
            <v>-</v>
          </cell>
          <cell r="BC344" t="str">
            <v>-</v>
          </cell>
          <cell r="BD344" t="str">
            <v>-</v>
          </cell>
          <cell r="BE344" t="str">
            <v>-</v>
          </cell>
          <cell r="BF344" t="str">
            <v>-</v>
          </cell>
          <cell r="BG344" t="str">
            <v>-</v>
          </cell>
          <cell r="BH344" t="str">
            <v>-</v>
          </cell>
          <cell r="BI344" t="str">
            <v>-</v>
          </cell>
          <cell r="BJ344" t="str">
            <v>-</v>
          </cell>
          <cell r="BK344" t="str">
            <v>-</v>
          </cell>
          <cell r="BL344" t="str">
            <v>-</v>
          </cell>
          <cell r="BM344">
            <v>0</v>
          </cell>
          <cell r="BN344">
            <v>0</v>
          </cell>
          <cell r="BO344" t="str">
            <v>-</v>
          </cell>
          <cell r="BP344" t="str">
            <v>-</v>
          </cell>
          <cell r="BQ344">
            <v>0</v>
          </cell>
          <cell r="BR344">
            <v>0</v>
          </cell>
          <cell r="BS344">
            <v>0</v>
          </cell>
          <cell r="BT344">
            <v>0</v>
          </cell>
        </row>
        <row r="345">
          <cell r="A345" t="str">
            <v>Poland2015100 / 100</v>
          </cell>
          <cell r="B345" t="str">
            <v>Poland</v>
          </cell>
          <cell r="C345">
            <v>2015</v>
          </cell>
          <cell r="D345" t="str">
            <v>100 / 100</v>
          </cell>
          <cell r="E345">
            <v>46136</v>
          </cell>
          <cell r="F345">
            <v>3844.6666666666665</v>
          </cell>
          <cell r="G345">
            <v>887.23759413533935</v>
          </cell>
          <cell r="H345">
            <v>177.44751882706788</v>
          </cell>
          <cell r="I345">
            <v>46136</v>
          </cell>
          <cell r="J345">
            <v>3844.6666666666665</v>
          </cell>
          <cell r="K345">
            <v>887.23759413533935</v>
          </cell>
          <cell r="L345">
            <v>177.44751882706788</v>
          </cell>
          <cell r="M345" t="str">
            <v>..</v>
          </cell>
          <cell r="N345" t="str">
            <v>..</v>
          </cell>
          <cell r="O345" t="str">
            <v>..</v>
          </cell>
          <cell r="P345" t="str">
            <v>..</v>
          </cell>
          <cell r="Q345" t="str">
            <v>..</v>
          </cell>
          <cell r="R345" t="str">
            <v>..</v>
          </cell>
          <cell r="S345" t="str">
            <v>..</v>
          </cell>
          <cell r="T345" t="str">
            <v>..</v>
          </cell>
          <cell r="U345" t="str">
            <v>..</v>
          </cell>
          <cell r="V345">
            <v>4.33</v>
          </cell>
          <cell r="W345">
            <v>0</v>
          </cell>
          <cell r="X345">
            <v>4.33</v>
          </cell>
          <cell r="Y345" t="str">
            <v>-</v>
          </cell>
          <cell r="Z345" t="str">
            <v>Unpaid. There is a means-tested benefit available to parents taking parental leave. However, parents are only entitled to the benefit if monthly household income per capita does not exceed 25% of the average wage (PLN539 [€131]).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From various sources (e.g. MISSOC 2004-2014; ILO (http://www.ilo.org/dyn/ilossi/ssimain.viewBenefit?p_lang=en&amp;p_scheme_id=2735&amp;p_scheme_benefit_id=7204&amp;p_geoaid=616); this review (http://library.fes.de/pdf-files/gurn/00051.pdf)) it seems the benefit has always been means tested since the introduction of payments in 1981. I cannot find information on the exact level of the threshol across all years (earlier than 2004), but have recorded the leave as 'unpaid' here</v>
          </cell>
          <cell r="AA345" t="str">
            <v>-</v>
          </cell>
          <cell r="AB345" t="str">
            <v>-</v>
          </cell>
          <cell r="AC345" t="str">
            <v>-</v>
          </cell>
          <cell r="AD345" t="str">
            <v>-</v>
          </cell>
          <cell r="AE345" t="str">
            <v>-</v>
          </cell>
          <cell r="AF345" t="str">
            <v>-</v>
          </cell>
          <cell r="AG345" t="str">
            <v>-</v>
          </cell>
          <cell r="AH345" t="str">
            <v>-</v>
          </cell>
          <cell r="AI345" t="str">
            <v>-</v>
          </cell>
          <cell r="AJ345" t="str">
            <v>-</v>
          </cell>
          <cell r="AK345" t="str">
            <v>-</v>
          </cell>
          <cell r="AL345" t="str">
            <v>-</v>
          </cell>
          <cell r="AM345" t="str">
            <v>-</v>
          </cell>
          <cell r="AN345" t="str">
            <v>-</v>
          </cell>
          <cell r="AO345" t="str">
            <v>-</v>
          </cell>
          <cell r="AP345" t="str">
            <v>-</v>
          </cell>
          <cell r="AQ345" t="str">
            <v>-</v>
          </cell>
          <cell r="AR345" t="str">
            <v>-</v>
          </cell>
          <cell r="AS345" t="str">
            <v>-</v>
          </cell>
          <cell r="AT345" t="str">
            <v>-</v>
          </cell>
          <cell r="AU345" t="str">
            <v>-</v>
          </cell>
          <cell r="AV345" t="str">
            <v>-</v>
          </cell>
          <cell r="AW345" t="str">
            <v>-</v>
          </cell>
          <cell r="AX345" t="str">
            <v>-</v>
          </cell>
          <cell r="AY345" t="str">
            <v>-</v>
          </cell>
          <cell r="AZ345" t="str">
            <v>-</v>
          </cell>
          <cell r="BA345" t="str">
            <v>-</v>
          </cell>
          <cell r="BB345" t="str">
            <v>-</v>
          </cell>
          <cell r="BC345" t="str">
            <v>-</v>
          </cell>
          <cell r="BD345" t="str">
            <v>-</v>
          </cell>
          <cell r="BE345" t="str">
            <v>-</v>
          </cell>
          <cell r="BF345" t="str">
            <v>-</v>
          </cell>
          <cell r="BG345" t="str">
            <v>-</v>
          </cell>
          <cell r="BH345" t="str">
            <v>-</v>
          </cell>
          <cell r="BI345" t="str">
            <v>-</v>
          </cell>
          <cell r="BJ345" t="str">
            <v>-</v>
          </cell>
          <cell r="BK345" t="str">
            <v>-</v>
          </cell>
          <cell r="BL345" t="str">
            <v>-</v>
          </cell>
          <cell r="BM345">
            <v>0</v>
          </cell>
          <cell r="BN345">
            <v>0</v>
          </cell>
          <cell r="BO345" t="str">
            <v>-</v>
          </cell>
          <cell r="BP345" t="str">
            <v>-</v>
          </cell>
          <cell r="BQ345">
            <v>0</v>
          </cell>
          <cell r="BR345">
            <v>0</v>
          </cell>
          <cell r="BS345">
            <v>0</v>
          </cell>
          <cell r="BT345">
            <v>0</v>
          </cell>
        </row>
        <row r="346">
          <cell r="A346" t="str">
            <v>Poland2016100 / 100</v>
          </cell>
          <cell r="B346" t="str">
            <v>Poland</v>
          </cell>
          <cell r="C346">
            <v>2016</v>
          </cell>
          <cell r="D346" t="str">
            <v>100 / 100</v>
          </cell>
          <cell r="E346">
            <v>47707.7</v>
          </cell>
          <cell r="F346">
            <v>3975.6416666666664</v>
          </cell>
          <cell r="G346">
            <v>917.46282663712782</v>
          </cell>
          <cell r="H346">
            <v>183.49256532742555</v>
          </cell>
          <cell r="I346">
            <v>47707.7</v>
          </cell>
          <cell r="J346">
            <v>3975.6416666666664</v>
          </cell>
          <cell r="K346">
            <v>917.46282663712782</v>
          </cell>
          <cell r="L346">
            <v>183.49256532742555</v>
          </cell>
          <cell r="M346" t="str">
            <v>..</v>
          </cell>
          <cell r="N346" t="str">
            <v>..</v>
          </cell>
          <cell r="O346" t="str">
            <v>..</v>
          </cell>
          <cell r="P346" t="str">
            <v>..</v>
          </cell>
          <cell r="Q346" t="str">
            <v>..</v>
          </cell>
          <cell r="R346" t="str">
            <v>..</v>
          </cell>
          <cell r="S346" t="str">
            <v>..</v>
          </cell>
          <cell r="T346" t="str">
            <v>..</v>
          </cell>
          <cell r="U346" t="str">
            <v>..</v>
          </cell>
          <cell r="V346">
            <v>4.33</v>
          </cell>
          <cell r="W346">
            <v>0</v>
          </cell>
          <cell r="X346">
            <v>4.33</v>
          </cell>
          <cell r="Y346" t="str">
            <v>-</v>
          </cell>
          <cell r="Z346" t="str">
            <v xml:space="preserve">Unpaid. There is a means-tested benefit available to parents taking parental leave. However, parents are only entitled to the benefit if monthly household income per capita does not exceed 25% of the average wage (PLN539).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46" t="str">
            <v>-</v>
          </cell>
          <cell r="AB346" t="str">
            <v>-</v>
          </cell>
          <cell r="AC346" t="str">
            <v>-</v>
          </cell>
          <cell r="AD346" t="str">
            <v>-</v>
          </cell>
          <cell r="AE346" t="str">
            <v>-</v>
          </cell>
          <cell r="AF346" t="str">
            <v>-</v>
          </cell>
          <cell r="AG346" t="str">
            <v>-</v>
          </cell>
          <cell r="AH346" t="str">
            <v>-</v>
          </cell>
          <cell r="AI346" t="str">
            <v>-</v>
          </cell>
          <cell r="AJ346" t="str">
            <v>-</v>
          </cell>
          <cell r="AK346" t="str">
            <v>-</v>
          </cell>
          <cell r="AL346" t="str">
            <v>-</v>
          </cell>
          <cell r="AM346" t="str">
            <v>-</v>
          </cell>
          <cell r="AN346" t="str">
            <v>-</v>
          </cell>
          <cell r="AO346" t="str">
            <v>-</v>
          </cell>
          <cell r="AP346" t="str">
            <v>-</v>
          </cell>
          <cell r="AQ346" t="str">
            <v>-</v>
          </cell>
          <cell r="AR346" t="str">
            <v>-</v>
          </cell>
          <cell r="AS346" t="str">
            <v>-</v>
          </cell>
          <cell r="AT346" t="str">
            <v>-</v>
          </cell>
          <cell r="AU346" t="str">
            <v>-</v>
          </cell>
          <cell r="AV346" t="str">
            <v>-</v>
          </cell>
          <cell r="AW346" t="str">
            <v>-</v>
          </cell>
          <cell r="AX346" t="str">
            <v>-</v>
          </cell>
          <cell r="AY346" t="str">
            <v>-</v>
          </cell>
          <cell r="AZ346" t="str">
            <v>-</v>
          </cell>
          <cell r="BA346" t="str">
            <v>-</v>
          </cell>
          <cell r="BB346" t="str">
            <v>-</v>
          </cell>
          <cell r="BC346" t="str">
            <v>-</v>
          </cell>
          <cell r="BD346" t="str">
            <v>-</v>
          </cell>
          <cell r="BE346" t="str">
            <v>-</v>
          </cell>
          <cell r="BF346" t="str">
            <v>-</v>
          </cell>
          <cell r="BG346" t="str">
            <v>-</v>
          </cell>
          <cell r="BH346" t="str">
            <v>-</v>
          </cell>
          <cell r="BI346" t="str">
            <v>-</v>
          </cell>
          <cell r="BJ346" t="str">
            <v>-</v>
          </cell>
          <cell r="BK346" t="str">
            <v>-</v>
          </cell>
          <cell r="BL346" t="str">
            <v>-</v>
          </cell>
          <cell r="BM346">
            <v>0</v>
          </cell>
          <cell r="BN346">
            <v>0</v>
          </cell>
          <cell r="BO346" t="str">
            <v>-</v>
          </cell>
          <cell r="BP346" t="str">
            <v>-</v>
          </cell>
          <cell r="BQ346">
            <v>0</v>
          </cell>
          <cell r="BR346">
            <v>0</v>
          </cell>
          <cell r="BS346">
            <v>0</v>
          </cell>
          <cell r="BT346">
            <v>0</v>
          </cell>
        </row>
        <row r="347">
          <cell r="A347" t="str">
            <v>Poland2017100 / 100</v>
          </cell>
          <cell r="B347" t="str">
            <v>Poland</v>
          </cell>
          <cell r="C347">
            <v>2017</v>
          </cell>
          <cell r="D347" t="str">
            <v>100 / 100</v>
          </cell>
          <cell r="E347">
            <v>51020</v>
          </cell>
          <cell r="F347">
            <v>4251.666666666667</v>
          </cell>
          <cell r="G347">
            <v>981.16139354918118</v>
          </cell>
          <cell r="H347">
            <v>196.23227870983624</v>
          </cell>
          <cell r="I347">
            <v>51020</v>
          </cell>
          <cell r="J347">
            <v>4251.666666666667</v>
          </cell>
          <cell r="K347">
            <v>981.16139354918118</v>
          </cell>
          <cell r="L347">
            <v>196.23227870983624</v>
          </cell>
          <cell r="M347" t="str">
            <v>..</v>
          </cell>
          <cell r="N347" t="str">
            <v>..</v>
          </cell>
          <cell r="O347" t="str">
            <v>..</v>
          </cell>
          <cell r="P347" t="str">
            <v>..</v>
          </cell>
          <cell r="Q347" t="str">
            <v>..</v>
          </cell>
          <cell r="R347" t="str">
            <v>..</v>
          </cell>
          <cell r="S347" t="str">
            <v>..</v>
          </cell>
          <cell r="T347" t="str">
            <v>..</v>
          </cell>
          <cell r="U347" t="str">
            <v>..</v>
          </cell>
          <cell r="V347">
            <v>4.33</v>
          </cell>
          <cell r="W347">
            <v>0</v>
          </cell>
          <cell r="X347">
            <v>4.33</v>
          </cell>
          <cell r="Y347" t="str">
            <v>-</v>
          </cell>
          <cell r="Z347" t="str">
            <v xml:space="preserve">Unpaid. There is a means-tested benefit available to parents taking parental leave. However, parents are only entitled to the benefit if monthly household income per capita does not exceed 25% of the average wage (PLN539).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47" t="str">
            <v>-</v>
          </cell>
          <cell r="AB347" t="str">
            <v>-</v>
          </cell>
          <cell r="AC347" t="str">
            <v>-</v>
          </cell>
          <cell r="AD347" t="str">
            <v>-</v>
          </cell>
          <cell r="AE347" t="str">
            <v>-</v>
          </cell>
          <cell r="AF347" t="str">
            <v>-</v>
          </cell>
          <cell r="AG347" t="str">
            <v>-</v>
          </cell>
          <cell r="AH347" t="str">
            <v>-</v>
          </cell>
          <cell r="AI347" t="str">
            <v>-</v>
          </cell>
          <cell r="AJ347" t="str">
            <v>-</v>
          </cell>
          <cell r="AK347" t="str">
            <v>-</v>
          </cell>
          <cell r="AL347" t="str">
            <v>-</v>
          </cell>
          <cell r="AM347" t="str">
            <v>-</v>
          </cell>
          <cell r="AN347" t="str">
            <v>-</v>
          </cell>
          <cell r="AO347" t="str">
            <v>-</v>
          </cell>
          <cell r="AP347" t="str">
            <v>-</v>
          </cell>
          <cell r="AQ347" t="str">
            <v>-</v>
          </cell>
          <cell r="AR347" t="str">
            <v>-</v>
          </cell>
          <cell r="AS347" t="str">
            <v>-</v>
          </cell>
          <cell r="AT347" t="str">
            <v>-</v>
          </cell>
          <cell r="AU347" t="str">
            <v>-</v>
          </cell>
          <cell r="AV347" t="str">
            <v>-</v>
          </cell>
          <cell r="AW347" t="str">
            <v>-</v>
          </cell>
          <cell r="AX347" t="str">
            <v>-</v>
          </cell>
          <cell r="AY347" t="str">
            <v>-</v>
          </cell>
          <cell r="AZ347" t="str">
            <v>-</v>
          </cell>
          <cell r="BA347" t="str">
            <v>-</v>
          </cell>
          <cell r="BB347" t="str">
            <v>-</v>
          </cell>
          <cell r="BC347" t="str">
            <v>-</v>
          </cell>
          <cell r="BD347" t="str">
            <v>-</v>
          </cell>
          <cell r="BE347" t="str">
            <v>-</v>
          </cell>
          <cell r="BF347" t="str">
            <v>-</v>
          </cell>
          <cell r="BG347" t="str">
            <v>-</v>
          </cell>
          <cell r="BH347" t="str">
            <v>-</v>
          </cell>
          <cell r="BI347" t="str">
            <v>-</v>
          </cell>
          <cell r="BJ347" t="str">
            <v>-</v>
          </cell>
          <cell r="BK347" t="str">
            <v>-</v>
          </cell>
          <cell r="BL347" t="str">
            <v>-</v>
          </cell>
          <cell r="BM347">
            <v>0</v>
          </cell>
          <cell r="BN347">
            <v>0</v>
          </cell>
          <cell r="BO347" t="str">
            <v>-</v>
          </cell>
          <cell r="BP347" t="str">
            <v>-</v>
          </cell>
          <cell r="BQ347">
            <v>0</v>
          </cell>
          <cell r="BR347">
            <v>0</v>
          </cell>
          <cell r="BS347">
            <v>0</v>
          </cell>
          <cell r="BT347">
            <v>0</v>
          </cell>
        </row>
        <row r="348">
          <cell r="A348" t="str">
            <v>Poland2018100 / 100</v>
          </cell>
          <cell r="B348" t="str">
            <v>Poland</v>
          </cell>
          <cell r="C348">
            <v>2018</v>
          </cell>
          <cell r="D348" t="str">
            <v>100 / 100</v>
          </cell>
          <cell r="E348">
            <v>54812</v>
          </cell>
          <cell r="F348">
            <v>4567.666666666667</v>
          </cell>
          <cell r="G348">
            <v>1054.0850314233187</v>
          </cell>
          <cell r="H348">
            <v>210.81700628466373</v>
          </cell>
          <cell r="I348">
            <v>54812</v>
          </cell>
          <cell r="J348">
            <v>4567.666666666667</v>
          </cell>
          <cell r="K348">
            <v>1054.0850314233187</v>
          </cell>
          <cell r="L348">
            <v>210.81700628466373</v>
          </cell>
          <cell r="M348" t="str">
            <v>..</v>
          </cell>
          <cell r="N348" t="str">
            <v>..</v>
          </cell>
          <cell r="O348" t="str">
            <v>..</v>
          </cell>
          <cell r="P348" t="str">
            <v>..</v>
          </cell>
          <cell r="Q348" t="str">
            <v>..</v>
          </cell>
          <cell r="R348" t="str">
            <v>..</v>
          </cell>
          <cell r="S348" t="str">
            <v>..</v>
          </cell>
          <cell r="T348" t="str">
            <v>..</v>
          </cell>
          <cell r="U348" t="str">
            <v>..</v>
          </cell>
          <cell r="V348">
            <v>4.33</v>
          </cell>
          <cell r="W348">
            <v>0</v>
          </cell>
          <cell r="X348">
            <v>4.33</v>
          </cell>
          <cell r="Y348" t="str">
            <v>-</v>
          </cell>
          <cell r="Z348" t="str">
            <v xml:space="preserve">Unpaid. There is a means-tested benefit available to parents taking parental leave. However, parents are only entitled to the benefit if monthly household income per capita does not exceed 25% of the average wage (PLN539).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48" t="str">
            <v>-</v>
          </cell>
          <cell r="AB348" t="str">
            <v>-</v>
          </cell>
          <cell r="AC348" t="str">
            <v>-</v>
          </cell>
          <cell r="AD348" t="str">
            <v>-</v>
          </cell>
          <cell r="AE348" t="str">
            <v>-</v>
          </cell>
          <cell r="AF348" t="str">
            <v>-</v>
          </cell>
          <cell r="AG348" t="str">
            <v>-</v>
          </cell>
          <cell r="AH348" t="str">
            <v>-</v>
          </cell>
          <cell r="AI348" t="str">
            <v>-</v>
          </cell>
          <cell r="AJ348" t="str">
            <v>-</v>
          </cell>
          <cell r="AK348" t="str">
            <v>-</v>
          </cell>
          <cell r="AL348" t="str">
            <v>-</v>
          </cell>
          <cell r="AM348" t="str">
            <v>-</v>
          </cell>
          <cell r="AN348" t="str">
            <v>-</v>
          </cell>
          <cell r="AO348" t="str">
            <v>-</v>
          </cell>
          <cell r="AP348" t="str">
            <v>-</v>
          </cell>
          <cell r="AQ348" t="str">
            <v>-</v>
          </cell>
          <cell r="AR348" t="str">
            <v>-</v>
          </cell>
          <cell r="AS348" t="str">
            <v>-</v>
          </cell>
          <cell r="AT348" t="str">
            <v>-</v>
          </cell>
          <cell r="AU348" t="str">
            <v>-</v>
          </cell>
          <cell r="AV348" t="str">
            <v>-</v>
          </cell>
          <cell r="AW348" t="str">
            <v>-</v>
          </cell>
          <cell r="AX348" t="str">
            <v>-</v>
          </cell>
          <cell r="AY348" t="str">
            <v>-</v>
          </cell>
          <cell r="AZ348" t="str">
            <v>-</v>
          </cell>
          <cell r="BA348" t="str">
            <v>-</v>
          </cell>
          <cell r="BB348" t="str">
            <v>-</v>
          </cell>
          <cell r="BC348" t="str">
            <v>-</v>
          </cell>
          <cell r="BD348" t="str">
            <v>-</v>
          </cell>
          <cell r="BE348" t="str">
            <v>-</v>
          </cell>
          <cell r="BF348" t="str">
            <v>-</v>
          </cell>
          <cell r="BG348" t="str">
            <v>-</v>
          </cell>
          <cell r="BH348" t="str">
            <v>-</v>
          </cell>
          <cell r="BI348" t="str">
            <v>-</v>
          </cell>
          <cell r="BJ348" t="str">
            <v>-</v>
          </cell>
          <cell r="BK348" t="str">
            <v>-</v>
          </cell>
          <cell r="BL348" t="str">
            <v>-</v>
          </cell>
          <cell r="BM348">
            <v>0</v>
          </cell>
          <cell r="BN348">
            <v>0</v>
          </cell>
          <cell r="BO348" t="str">
            <v>-</v>
          </cell>
          <cell r="BP348" t="str">
            <v>-</v>
          </cell>
          <cell r="BQ348">
            <v>0</v>
          </cell>
          <cell r="BR348">
            <v>0</v>
          </cell>
          <cell r="BS348">
            <v>0</v>
          </cell>
          <cell r="BT348">
            <v>0</v>
          </cell>
        </row>
        <row r="349">
          <cell r="A349" t="str">
            <v>Poland2019100 / 100</v>
          </cell>
          <cell r="B349" t="str">
            <v>Poland</v>
          </cell>
          <cell r="C349">
            <v>2019</v>
          </cell>
          <cell r="D349" t="str">
            <v>100 / 100</v>
          </cell>
          <cell r="E349">
            <v>58586</v>
          </cell>
          <cell r="F349">
            <v>4882.166666666667</v>
          </cell>
          <cell r="G349">
            <v>1126.66251278856</v>
          </cell>
          <cell r="H349">
            <v>225.33250255771199</v>
          </cell>
          <cell r="I349">
            <v>58586</v>
          </cell>
          <cell r="J349">
            <v>4882.166666666667</v>
          </cell>
          <cell r="K349">
            <v>1126.66251278856</v>
          </cell>
          <cell r="L349">
            <v>225.33250255771199</v>
          </cell>
          <cell r="M349" t="str">
            <v>..</v>
          </cell>
          <cell r="N349" t="str">
            <v>..</v>
          </cell>
          <cell r="O349" t="str">
            <v>..</v>
          </cell>
          <cell r="P349" t="str">
            <v>..</v>
          </cell>
          <cell r="Q349" t="str">
            <v>..</v>
          </cell>
          <cell r="R349" t="str">
            <v>..</v>
          </cell>
          <cell r="S349" t="str">
            <v>..</v>
          </cell>
          <cell r="T349" t="str">
            <v>..</v>
          </cell>
          <cell r="U349" t="str">
            <v>..</v>
          </cell>
          <cell r="V349">
            <v>4.33</v>
          </cell>
          <cell r="W349">
            <v>0</v>
          </cell>
          <cell r="X349">
            <v>4.33</v>
          </cell>
          <cell r="Y349" t="str">
            <v>-</v>
          </cell>
          <cell r="Z349" t="str">
            <v xml:space="preserve">Unpaid. There is a means-tested benefit available to parents taking parental leave. However, parents are only entitled to the benefit if monthly household income per capita does not exceed 25% of the average wage (PLN764).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49" t="str">
            <v>-</v>
          </cell>
          <cell r="AB349" t="str">
            <v>-</v>
          </cell>
          <cell r="AC349" t="str">
            <v>-</v>
          </cell>
          <cell r="AD349" t="str">
            <v>-</v>
          </cell>
          <cell r="AE349" t="str">
            <v>-</v>
          </cell>
          <cell r="AF349" t="str">
            <v>-</v>
          </cell>
          <cell r="AG349" t="str">
            <v>-</v>
          </cell>
          <cell r="AH349" t="str">
            <v>-</v>
          </cell>
          <cell r="AI349" t="str">
            <v>-</v>
          </cell>
          <cell r="AJ349" t="str">
            <v>-</v>
          </cell>
          <cell r="AK349" t="str">
            <v>-</v>
          </cell>
          <cell r="AL349" t="str">
            <v>-</v>
          </cell>
          <cell r="AM349" t="str">
            <v>-</v>
          </cell>
          <cell r="AN349" t="str">
            <v>-</v>
          </cell>
          <cell r="AO349" t="str">
            <v>-</v>
          </cell>
          <cell r="AP349" t="str">
            <v>-</v>
          </cell>
          <cell r="AQ349" t="str">
            <v>-</v>
          </cell>
          <cell r="AR349" t="str">
            <v>-</v>
          </cell>
          <cell r="AS349" t="str">
            <v>-</v>
          </cell>
          <cell r="AT349" t="str">
            <v>-</v>
          </cell>
          <cell r="AU349" t="str">
            <v>-</v>
          </cell>
          <cell r="AV349" t="str">
            <v>-</v>
          </cell>
          <cell r="AW349" t="str">
            <v>-</v>
          </cell>
          <cell r="AX349" t="str">
            <v>-</v>
          </cell>
          <cell r="AY349" t="str">
            <v>-</v>
          </cell>
          <cell r="AZ349" t="str">
            <v>-</v>
          </cell>
          <cell r="BA349" t="str">
            <v>-</v>
          </cell>
          <cell r="BB349" t="str">
            <v>-</v>
          </cell>
          <cell r="BC349" t="str">
            <v>-</v>
          </cell>
          <cell r="BD349" t="str">
            <v>-</v>
          </cell>
          <cell r="BE349" t="str">
            <v>-</v>
          </cell>
          <cell r="BF349" t="str">
            <v>-</v>
          </cell>
          <cell r="BG349" t="str">
            <v>-</v>
          </cell>
          <cell r="BH349" t="str">
            <v>-</v>
          </cell>
          <cell r="BI349" t="str">
            <v>-</v>
          </cell>
          <cell r="BJ349" t="str">
            <v>-</v>
          </cell>
          <cell r="BK349" t="str">
            <v>-</v>
          </cell>
          <cell r="BL349" t="str">
            <v>-</v>
          </cell>
          <cell r="BM349">
            <v>0</v>
          </cell>
          <cell r="BN349">
            <v>0</v>
          </cell>
          <cell r="BO349" t="str">
            <v>-</v>
          </cell>
          <cell r="BP349" t="str">
            <v>-</v>
          </cell>
          <cell r="BQ349">
            <v>0</v>
          </cell>
          <cell r="BR349">
            <v>0</v>
          </cell>
          <cell r="BS349">
            <v>0</v>
          </cell>
          <cell r="BT349">
            <v>0</v>
          </cell>
        </row>
        <row r="350">
          <cell r="A350" t="str">
            <v>Poland2020100 / 100</v>
          </cell>
          <cell r="B350" t="str">
            <v>Poland</v>
          </cell>
          <cell r="C350">
            <v>2020</v>
          </cell>
          <cell r="D350" t="str">
            <v>100 / 100</v>
          </cell>
          <cell r="E350">
            <v>66732</v>
          </cell>
          <cell r="F350">
            <v>5561</v>
          </cell>
          <cell r="G350">
            <v>1283.3175639812612</v>
          </cell>
          <cell r="H350">
            <v>256.66351279625223</v>
          </cell>
          <cell r="I350">
            <v>66732</v>
          </cell>
          <cell r="J350">
            <v>5561</v>
          </cell>
          <cell r="K350">
            <v>1283.3175639812612</v>
          </cell>
          <cell r="L350">
            <v>256.66351279625223</v>
          </cell>
          <cell r="M350" t="str">
            <v>..</v>
          </cell>
          <cell r="N350" t="str">
            <v>..</v>
          </cell>
          <cell r="O350" t="str">
            <v>..</v>
          </cell>
          <cell r="P350" t="str">
            <v>..</v>
          </cell>
          <cell r="Q350" t="str">
            <v>..</v>
          </cell>
          <cell r="R350" t="str">
            <v>..</v>
          </cell>
          <cell r="S350" t="str">
            <v>..</v>
          </cell>
          <cell r="T350" t="str">
            <v>..</v>
          </cell>
          <cell r="U350" t="str">
            <v>..</v>
          </cell>
          <cell r="V350">
            <v>4.33</v>
          </cell>
          <cell r="W350">
            <v>0</v>
          </cell>
          <cell r="X350">
            <v>4.33</v>
          </cell>
          <cell r="Y350" t="str">
            <v>-</v>
          </cell>
          <cell r="Z350" t="str">
            <v xml:space="preserve">Unpaid. There is a means-tested benefit available to parents taking parental leave. However, parents are only entitled to the benefit if monthly household income per capita does not exceed 25% of the average wage (PLN764).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50" t="str">
            <v>-</v>
          </cell>
          <cell r="AB350" t="str">
            <v>-</v>
          </cell>
          <cell r="AC350" t="str">
            <v>-</v>
          </cell>
          <cell r="AD350" t="str">
            <v>-</v>
          </cell>
          <cell r="AE350" t="str">
            <v>-</v>
          </cell>
          <cell r="AF350" t="str">
            <v>-</v>
          </cell>
          <cell r="AG350" t="str">
            <v>-</v>
          </cell>
          <cell r="AH350" t="str">
            <v>-</v>
          </cell>
          <cell r="AI350" t="str">
            <v>-</v>
          </cell>
          <cell r="AJ350" t="str">
            <v>-</v>
          </cell>
          <cell r="AK350" t="str">
            <v>-</v>
          </cell>
          <cell r="AL350" t="str">
            <v>-</v>
          </cell>
          <cell r="AM350" t="str">
            <v>-</v>
          </cell>
          <cell r="AN350" t="str">
            <v>-</v>
          </cell>
          <cell r="AO350" t="str">
            <v>-</v>
          </cell>
          <cell r="AP350" t="str">
            <v>-</v>
          </cell>
          <cell r="AQ350" t="str">
            <v>-</v>
          </cell>
          <cell r="AR350" t="str">
            <v>-</v>
          </cell>
          <cell r="AS350" t="str">
            <v>-</v>
          </cell>
          <cell r="AT350" t="str">
            <v>-</v>
          </cell>
          <cell r="AU350" t="str">
            <v>-</v>
          </cell>
          <cell r="AV350" t="str">
            <v>-</v>
          </cell>
          <cell r="AW350" t="str">
            <v>-</v>
          </cell>
          <cell r="AX350" t="str">
            <v>-</v>
          </cell>
          <cell r="AY350" t="str">
            <v>-</v>
          </cell>
          <cell r="AZ350" t="str">
            <v>-</v>
          </cell>
          <cell r="BA350" t="str">
            <v>-</v>
          </cell>
          <cell r="BB350" t="str">
            <v>-</v>
          </cell>
          <cell r="BC350" t="str">
            <v>-</v>
          </cell>
          <cell r="BD350" t="str">
            <v>-</v>
          </cell>
          <cell r="BE350" t="str">
            <v>-</v>
          </cell>
          <cell r="BF350" t="str">
            <v>-</v>
          </cell>
          <cell r="BG350" t="str">
            <v>-</v>
          </cell>
          <cell r="BH350" t="str">
            <v>-</v>
          </cell>
          <cell r="BI350" t="str">
            <v>-</v>
          </cell>
          <cell r="BJ350" t="str">
            <v>-</v>
          </cell>
          <cell r="BK350" t="str">
            <v>-</v>
          </cell>
          <cell r="BL350" t="str">
            <v>-</v>
          </cell>
          <cell r="BM350">
            <v>0</v>
          </cell>
          <cell r="BN350">
            <v>0</v>
          </cell>
          <cell r="BO350" t="str">
            <v>-</v>
          </cell>
          <cell r="BP350" t="str">
            <v>-</v>
          </cell>
          <cell r="BQ350">
            <v>0</v>
          </cell>
          <cell r="BR350">
            <v>0</v>
          </cell>
          <cell r="BS350">
            <v>0</v>
          </cell>
          <cell r="BT350">
            <v>0</v>
          </cell>
        </row>
        <row r="351">
          <cell r="A351" t="str">
            <v>Poland2021100 / 100</v>
          </cell>
          <cell r="B351" t="str">
            <v>Poland</v>
          </cell>
          <cell r="C351">
            <v>2021</v>
          </cell>
          <cell r="D351" t="str">
            <v>100 / 100</v>
          </cell>
          <cell r="E351">
            <v>67118</v>
          </cell>
          <cell r="F351">
            <v>5593.166666666667</v>
          </cell>
          <cell r="G351">
            <v>1290.7406980053693</v>
          </cell>
          <cell r="H351">
            <v>258.14813960107386</v>
          </cell>
          <cell r="I351">
            <v>67118</v>
          </cell>
          <cell r="J351">
            <v>5593.166666666667</v>
          </cell>
          <cell r="K351">
            <v>1290.7406980053693</v>
          </cell>
          <cell r="L351">
            <v>258.14813960107386</v>
          </cell>
          <cell r="M351" t="str">
            <v>..</v>
          </cell>
          <cell r="N351" t="str">
            <v>..</v>
          </cell>
          <cell r="O351" t="str">
            <v>..</v>
          </cell>
          <cell r="P351" t="str">
            <v>..</v>
          </cell>
          <cell r="Q351" t="str">
            <v>..</v>
          </cell>
          <cell r="R351" t="str">
            <v>..</v>
          </cell>
          <cell r="S351" t="str">
            <v>..</v>
          </cell>
          <cell r="T351" t="str">
            <v>..</v>
          </cell>
          <cell r="U351" t="str">
            <v>..</v>
          </cell>
          <cell r="V351">
            <v>4.33</v>
          </cell>
          <cell r="W351">
            <v>0</v>
          </cell>
          <cell r="X351">
            <v>4.33</v>
          </cell>
          <cell r="Y351" t="str">
            <v>-</v>
          </cell>
          <cell r="Z351" t="str">
            <v xml:space="preserve">Unpaid. There is a means-tested benefit available to parents taking parental leave. However, parents are only entitled to the benefit if monthly household income per capita does not exceed 25% of the average wage (PLN674).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51" t="str">
            <v>-</v>
          </cell>
          <cell r="AB351" t="str">
            <v>-</v>
          </cell>
          <cell r="AC351" t="str">
            <v>-</v>
          </cell>
          <cell r="AD351" t="str">
            <v>-</v>
          </cell>
          <cell r="AE351" t="str">
            <v>-</v>
          </cell>
          <cell r="AF351" t="str">
            <v>-</v>
          </cell>
          <cell r="AG351" t="str">
            <v>-</v>
          </cell>
          <cell r="AH351" t="str">
            <v>-</v>
          </cell>
          <cell r="AI351" t="str">
            <v>-</v>
          </cell>
          <cell r="AJ351" t="str">
            <v>-</v>
          </cell>
          <cell r="AK351" t="str">
            <v>-</v>
          </cell>
          <cell r="AL351" t="str">
            <v>-</v>
          </cell>
          <cell r="AM351" t="str">
            <v>-</v>
          </cell>
          <cell r="AN351" t="str">
            <v>-</v>
          </cell>
          <cell r="AO351" t="str">
            <v>-</v>
          </cell>
          <cell r="AP351" t="str">
            <v>-</v>
          </cell>
          <cell r="AQ351" t="str">
            <v>-</v>
          </cell>
          <cell r="AR351" t="str">
            <v>-</v>
          </cell>
          <cell r="AS351" t="str">
            <v>-</v>
          </cell>
          <cell r="AT351" t="str">
            <v>-</v>
          </cell>
          <cell r="AU351" t="str">
            <v>-</v>
          </cell>
          <cell r="AV351" t="str">
            <v>-</v>
          </cell>
          <cell r="AW351" t="str">
            <v>-</v>
          </cell>
          <cell r="AX351" t="str">
            <v>-</v>
          </cell>
          <cell r="AY351" t="str">
            <v>-</v>
          </cell>
          <cell r="AZ351" t="str">
            <v>-</v>
          </cell>
          <cell r="BA351" t="str">
            <v>-</v>
          </cell>
          <cell r="BB351" t="str">
            <v>-</v>
          </cell>
          <cell r="BC351" t="str">
            <v>-</v>
          </cell>
          <cell r="BD351" t="str">
            <v>-</v>
          </cell>
          <cell r="BE351" t="str">
            <v>-</v>
          </cell>
          <cell r="BF351" t="str">
            <v>-</v>
          </cell>
          <cell r="BG351" t="str">
            <v>-</v>
          </cell>
          <cell r="BH351" t="str">
            <v>-</v>
          </cell>
          <cell r="BI351" t="str">
            <v>-</v>
          </cell>
          <cell r="BJ351" t="str">
            <v>-</v>
          </cell>
          <cell r="BK351" t="str">
            <v>-</v>
          </cell>
          <cell r="BL351" t="str">
            <v>-</v>
          </cell>
          <cell r="BM351">
            <v>0</v>
          </cell>
          <cell r="BN351">
            <v>0</v>
          </cell>
          <cell r="BO351" t="str">
            <v>-</v>
          </cell>
          <cell r="BP351" t="str">
            <v>-</v>
          </cell>
          <cell r="BQ351">
            <v>0</v>
          </cell>
          <cell r="BR351">
            <v>0</v>
          </cell>
          <cell r="BS351">
            <v>0</v>
          </cell>
          <cell r="BT351">
            <v>0</v>
          </cell>
        </row>
        <row r="352">
          <cell r="A352" t="str">
            <v>Poland2022100 / 100</v>
          </cell>
          <cell r="B352" t="str">
            <v>Poland</v>
          </cell>
          <cell r="C352">
            <v>2022</v>
          </cell>
          <cell r="D352" t="str">
            <v>100 / 100</v>
          </cell>
          <cell r="E352">
            <v>76071</v>
          </cell>
          <cell r="F352">
            <v>6339.25</v>
          </cell>
          <cell r="G352">
            <v>1462.9150993469179</v>
          </cell>
          <cell r="H352">
            <v>292.58301986938358</v>
          </cell>
          <cell r="I352">
            <v>76071</v>
          </cell>
          <cell r="J352">
            <v>6339.25</v>
          </cell>
          <cell r="K352">
            <v>1462.9150993469179</v>
          </cell>
          <cell r="L352">
            <v>292.58301986938358</v>
          </cell>
          <cell r="M352" t="str">
            <v>..</v>
          </cell>
          <cell r="N352" t="str">
            <v>..</v>
          </cell>
          <cell r="O352" t="str">
            <v>..</v>
          </cell>
          <cell r="P352" t="str">
            <v>..</v>
          </cell>
          <cell r="Q352" t="str">
            <v>..</v>
          </cell>
          <cell r="R352" t="str">
            <v>..</v>
          </cell>
          <cell r="S352" t="str">
            <v>..</v>
          </cell>
          <cell r="T352" t="str">
            <v>..</v>
          </cell>
          <cell r="U352" t="str">
            <v>..</v>
          </cell>
          <cell r="V352">
            <v>4.33</v>
          </cell>
          <cell r="W352">
            <v>0</v>
          </cell>
          <cell r="X352">
            <v>4.33</v>
          </cell>
          <cell r="Y352" t="str">
            <v>-</v>
          </cell>
          <cell r="Z352" t="str">
            <v xml:space="preserve">Unpaid. There is a means-tested benefit available to parents taking parental leave. However, parents are only entitled to the benefit if monthly household income per capita does not exceed 25% of the average wage. Given that it is assumed both parents are (or were previously) earning the average wage, and that it is the birth of the first child (i.e. there are three people in the household only), then household income per head must exceed 25% of the average wage. As a result, parental leave here is considered unpaid. </v>
          </cell>
          <cell r="AA352" t="str">
            <v>-</v>
          </cell>
          <cell r="AB352" t="str">
            <v>-</v>
          </cell>
          <cell r="AC352" t="str">
            <v>-</v>
          </cell>
          <cell r="AD352" t="str">
            <v>-</v>
          </cell>
          <cell r="AE352" t="str">
            <v>-</v>
          </cell>
          <cell r="AF352" t="str">
            <v>-</v>
          </cell>
          <cell r="AG352" t="str">
            <v>-</v>
          </cell>
          <cell r="AH352" t="str">
            <v>-</v>
          </cell>
          <cell r="AI352" t="str">
            <v>-</v>
          </cell>
          <cell r="AJ352" t="str">
            <v>-</v>
          </cell>
          <cell r="AK352" t="str">
            <v>-</v>
          </cell>
          <cell r="AL352" t="str">
            <v>-</v>
          </cell>
          <cell r="AM352" t="str">
            <v>-</v>
          </cell>
          <cell r="AN352" t="str">
            <v>-</v>
          </cell>
          <cell r="AO352" t="str">
            <v>-</v>
          </cell>
          <cell r="AP352" t="str">
            <v>-</v>
          </cell>
          <cell r="AQ352" t="str">
            <v>-</v>
          </cell>
          <cell r="AR352" t="str">
            <v>-</v>
          </cell>
          <cell r="AS352" t="str">
            <v>-</v>
          </cell>
          <cell r="AT352" t="str">
            <v>-</v>
          </cell>
          <cell r="AU352" t="str">
            <v>-</v>
          </cell>
          <cell r="AV352" t="str">
            <v>-</v>
          </cell>
          <cell r="AW352" t="str">
            <v>-</v>
          </cell>
          <cell r="AX352" t="str">
            <v>-</v>
          </cell>
          <cell r="AY352" t="str">
            <v>-</v>
          </cell>
          <cell r="AZ352" t="str">
            <v>-</v>
          </cell>
          <cell r="BA352" t="str">
            <v>-</v>
          </cell>
          <cell r="BB352" t="str">
            <v>-</v>
          </cell>
          <cell r="BC352" t="str">
            <v>-</v>
          </cell>
          <cell r="BD352" t="str">
            <v>-</v>
          </cell>
          <cell r="BE352" t="str">
            <v>-</v>
          </cell>
          <cell r="BF352" t="str">
            <v>-</v>
          </cell>
          <cell r="BG352" t="str">
            <v>-</v>
          </cell>
          <cell r="BH352" t="str">
            <v>-</v>
          </cell>
          <cell r="BI352" t="str">
            <v>-</v>
          </cell>
          <cell r="BJ352" t="str">
            <v>-</v>
          </cell>
          <cell r="BK352" t="str">
            <v>-</v>
          </cell>
          <cell r="BL352" t="str">
            <v>-</v>
          </cell>
          <cell r="BM352">
            <v>0</v>
          </cell>
          <cell r="BN352">
            <v>0</v>
          </cell>
          <cell r="BO352" t="str">
            <v>-</v>
          </cell>
          <cell r="BP352" t="str">
            <v>-</v>
          </cell>
          <cell r="BQ352">
            <v>0</v>
          </cell>
          <cell r="BR352">
            <v>0</v>
          </cell>
          <cell r="BS352">
            <v>0</v>
          </cell>
          <cell r="BT352">
            <v>0</v>
          </cell>
        </row>
        <row r="353">
          <cell r="A353" t="str">
            <v>Poland2023100 / 100</v>
          </cell>
          <cell r="B353" t="str">
            <v>Poland</v>
          </cell>
          <cell r="C353">
            <v>2023</v>
          </cell>
          <cell r="D353" t="str">
            <v>100 / 100</v>
          </cell>
          <cell r="E353">
            <v>84824.528999999995</v>
          </cell>
          <cell r="F353">
            <v>7068.7107499999993</v>
          </cell>
          <cell r="G353">
            <v>1631.2534904114643</v>
          </cell>
          <cell r="H353">
            <v>326.25069808229284</v>
          </cell>
          <cell r="I353">
            <v>84824.528999999995</v>
          </cell>
          <cell r="J353">
            <v>7068.7107499999993</v>
          </cell>
          <cell r="K353">
            <v>1631.2534904114643</v>
          </cell>
          <cell r="L353">
            <v>326.25069808229284</v>
          </cell>
          <cell r="M353" t="str">
            <v>..</v>
          </cell>
          <cell r="N353" t="str">
            <v>..</v>
          </cell>
          <cell r="O353" t="str">
            <v>..</v>
          </cell>
          <cell r="P353" t="str">
            <v>..</v>
          </cell>
          <cell r="Q353" t="str">
            <v>..</v>
          </cell>
          <cell r="R353" t="str">
            <v>..</v>
          </cell>
          <cell r="S353" t="str">
            <v>..</v>
          </cell>
          <cell r="T353" t="str">
            <v>..</v>
          </cell>
          <cell r="U353" t="str">
            <v>..</v>
          </cell>
          <cell r="V353">
            <v>13.33</v>
          </cell>
          <cell r="W353">
            <v>9</v>
          </cell>
          <cell r="X353">
            <v>4.33</v>
          </cell>
          <cell r="Z353" t="str">
            <v>9 months paid leave reserved for fathers, and one month childcare leave reserved for fathers</v>
          </cell>
          <cell r="AA353" t="str">
            <v>-</v>
          </cell>
          <cell r="AB353" t="str">
            <v>-</v>
          </cell>
          <cell r="AC353">
            <v>9</v>
          </cell>
          <cell r="AD353">
            <v>0.7</v>
          </cell>
          <cell r="AE353" t="str">
            <v>-</v>
          </cell>
          <cell r="AF353" t="str">
            <v>-</v>
          </cell>
          <cell r="AG353" t="str">
            <v>-</v>
          </cell>
          <cell r="AH353" t="str">
            <v>-</v>
          </cell>
          <cell r="AI353" t="str">
            <v>-</v>
          </cell>
          <cell r="AJ353" t="str">
            <v>-</v>
          </cell>
          <cell r="AK353" t="str">
            <v>-</v>
          </cell>
          <cell r="AL353" t="str">
            <v>-</v>
          </cell>
          <cell r="AM353" t="str">
            <v>-</v>
          </cell>
          <cell r="AN353" t="str">
            <v>-</v>
          </cell>
          <cell r="AO353" t="str">
            <v>-</v>
          </cell>
          <cell r="AP353" t="str">
            <v>-</v>
          </cell>
          <cell r="AQ353" t="str">
            <v>-</v>
          </cell>
          <cell r="AR353" t="str">
            <v>-</v>
          </cell>
          <cell r="AS353" t="str">
            <v>-</v>
          </cell>
          <cell r="AT353" t="str">
            <v>-</v>
          </cell>
          <cell r="AU353" t="str">
            <v>-</v>
          </cell>
          <cell r="AV353" t="str">
            <v>-</v>
          </cell>
          <cell r="AW353" t="str">
            <v>-</v>
          </cell>
          <cell r="AX353" t="str">
            <v>-</v>
          </cell>
          <cell r="AY353" t="str">
            <v>-</v>
          </cell>
          <cell r="AZ353" t="str">
            <v>-</v>
          </cell>
          <cell r="BA353" t="str">
            <v>-</v>
          </cell>
          <cell r="BB353" t="str">
            <v>-</v>
          </cell>
          <cell r="BC353" t="str">
            <v>-</v>
          </cell>
          <cell r="BD353" t="str">
            <v>-</v>
          </cell>
          <cell r="BE353" t="str">
            <v>-</v>
          </cell>
          <cell r="BF353" t="str">
            <v>-</v>
          </cell>
          <cell r="BG353" t="str">
            <v>-</v>
          </cell>
          <cell r="BH353" t="str">
            <v>-</v>
          </cell>
          <cell r="BI353" t="str">
            <v>-</v>
          </cell>
          <cell r="BJ353" t="str">
            <v>-</v>
          </cell>
          <cell r="BK353" t="str">
            <v>-</v>
          </cell>
          <cell r="BL353" t="str">
            <v>-</v>
          </cell>
          <cell r="BM353">
            <v>0.7</v>
          </cell>
          <cell r="BN353">
            <v>0.47261815453863465</v>
          </cell>
          <cell r="BO353" t="str">
            <v>-</v>
          </cell>
          <cell r="BP353" t="str">
            <v>-</v>
          </cell>
          <cell r="BQ353">
            <v>59377.170299999991</v>
          </cell>
          <cell r="BR353">
            <v>4948.0975249999992</v>
          </cell>
          <cell r="BS353">
            <v>1141.877443288025</v>
          </cell>
          <cell r="BT353">
            <v>228.37548865760496</v>
          </cell>
        </row>
        <row r="354">
          <cell r="A354" t="str">
            <v>Poland2024100 / 100</v>
          </cell>
          <cell r="B354" t="str">
            <v>Poland</v>
          </cell>
          <cell r="C354">
            <v>2024</v>
          </cell>
          <cell r="D354" t="str">
            <v>100 / 100</v>
          </cell>
          <cell r="E354">
            <v>96420.78</v>
          </cell>
          <cell r="F354">
            <v>8035.0649999999996</v>
          </cell>
          <cell r="G354">
            <v>1854.2600327694827</v>
          </cell>
          <cell r="H354">
            <v>370.85200655389656</v>
          </cell>
          <cell r="I354">
            <v>96420.78</v>
          </cell>
          <cell r="J354">
            <v>8035.0649999999996</v>
          </cell>
          <cell r="K354">
            <v>1854.2600327694827</v>
          </cell>
          <cell r="L354">
            <v>370.85200655389656</v>
          </cell>
          <cell r="M354" t="str">
            <v>..</v>
          </cell>
          <cell r="N354" t="str">
            <v>..</v>
          </cell>
          <cell r="O354" t="str">
            <v>..</v>
          </cell>
          <cell r="P354" t="str">
            <v>..</v>
          </cell>
          <cell r="Q354" t="str">
            <v>..</v>
          </cell>
          <cell r="R354" t="str">
            <v>..</v>
          </cell>
          <cell r="S354" t="str">
            <v>..</v>
          </cell>
          <cell r="T354" t="str">
            <v>..</v>
          </cell>
          <cell r="U354" t="str">
            <v>..</v>
          </cell>
          <cell r="V354">
            <v>13.33</v>
          </cell>
          <cell r="W354">
            <v>9</v>
          </cell>
          <cell r="X354">
            <v>4.33</v>
          </cell>
          <cell r="Z354" t="str">
            <v>9 weeks paid leave reserved for fathers, and one month childcare leave reserved for fathers</v>
          </cell>
          <cell r="AA354" t="str">
            <v>-</v>
          </cell>
          <cell r="AB354" t="str">
            <v>-</v>
          </cell>
          <cell r="AC354">
            <v>9</v>
          </cell>
          <cell r="AD354">
            <v>0.7</v>
          </cell>
          <cell r="AE354" t="str">
            <v>-</v>
          </cell>
          <cell r="AF354" t="str">
            <v>-</v>
          </cell>
          <cell r="AG354" t="str">
            <v>-</v>
          </cell>
          <cell r="AH354" t="str">
            <v>-</v>
          </cell>
          <cell r="AI354" t="str">
            <v>-</v>
          </cell>
          <cell r="AJ354" t="str">
            <v>-</v>
          </cell>
          <cell r="AK354" t="str">
            <v>-</v>
          </cell>
          <cell r="AL354" t="str">
            <v>-</v>
          </cell>
          <cell r="AM354" t="str">
            <v>-</v>
          </cell>
          <cell r="AN354" t="str">
            <v>-</v>
          </cell>
          <cell r="AO354" t="str">
            <v>-</v>
          </cell>
          <cell r="AP354" t="str">
            <v>-</v>
          </cell>
          <cell r="AQ354" t="str">
            <v>-</v>
          </cell>
          <cell r="AR354" t="str">
            <v>-</v>
          </cell>
          <cell r="AS354" t="str">
            <v>-</v>
          </cell>
          <cell r="AT354" t="str">
            <v>-</v>
          </cell>
          <cell r="AU354" t="str">
            <v>-</v>
          </cell>
          <cell r="AV354" t="str">
            <v>-</v>
          </cell>
          <cell r="AW354" t="str">
            <v>-</v>
          </cell>
          <cell r="AX354" t="str">
            <v>-</v>
          </cell>
          <cell r="AY354" t="str">
            <v>-</v>
          </cell>
          <cell r="AZ354" t="str">
            <v>-</v>
          </cell>
          <cell r="BA354" t="str">
            <v>-</v>
          </cell>
          <cell r="BB354" t="str">
            <v>-</v>
          </cell>
          <cell r="BC354" t="str">
            <v>-</v>
          </cell>
          <cell r="BD354" t="str">
            <v>-</v>
          </cell>
          <cell r="BE354" t="str">
            <v>-</v>
          </cell>
          <cell r="BF354" t="str">
            <v>-</v>
          </cell>
          <cell r="BG354" t="str">
            <v>-</v>
          </cell>
          <cell r="BH354" t="str">
            <v>-</v>
          </cell>
          <cell r="BI354" t="str">
            <v>-</v>
          </cell>
          <cell r="BJ354" t="str">
            <v>-</v>
          </cell>
          <cell r="BK354" t="str">
            <v>-</v>
          </cell>
          <cell r="BL354" t="str">
            <v>-</v>
          </cell>
          <cell r="BM354">
            <v>0.7</v>
          </cell>
          <cell r="BN354">
            <v>0.47261815453863465</v>
          </cell>
          <cell r="BO354" t="str">
            <v>-</v>
          </cell>
          <cell r="BP354" t="str">
            <v>-</v>
          </cell>
          <cell r="BQ354">
            <v>67494.546000000002</v>
          </cell>
          <cell r="BR354">
            <v>5624.5454999999993</v>
          </cell>
          <cell r="BS354">
            <v>1297.9820229386378</v>
          </cell>
          <cell r="BT354">
            <v>259.59640458772759</v>
          </cell>
        </row>
        <row r="355">
          <cell r="A355" t="str">
            <v>Poland2025100 / 100</v>
          </cell>
          <cell r="B355" t="str">
            <v>Poland</v>
          </cell>
          <cell r="C355">
            <v>2025</v>
          </cell>
          <cell r="D355" t="str">
            <v>100 / 100</v>
          </cell>
          <cell r="E355">
            <v>96420.78</v>
          </cell>
          <cell r="F355">
            <v>8035.0649999999996</v>
          </cell>
          <cell r="G355">
            <v>1854.2600327694827</v>
          </cell>
          <cell r="H355">
            <v>370.85200655389656</v>
          </cell>
          <cell r="I355">
            <v>96420.78</v>
          </cell>
          <cell r="J355">
            <v>8035.0649999999996</v>
          </cell>
          <cell r="K355">
            <v>1854.2600327694827</v>
          </cell>
          <cell r="L355">
            <v>370.85200655389656</v>
          </cell>
          <cell r="M355" t="str">
            <v>..</v>
          </cell>
          <cell r="N355" t="str">
            <v>..</v>
          </cell>
          <cell r="O355" t="str">
            <v>..</v>
          </cell>
          <cell r="P355" t="str">
            <v>..</v>
          </cell>
          <cell r="Q355" t="str">
            <v>..</v>
          </cell>
          <cell r="R355" t="str">
            <v>..</v>
          </cell>
          <cell r="S355" t="str">
            <v>..</v>
          </cell>
          <cell r="T355" t="str">
            <v>..</v>
          </cell>
          <cell r="U355" t="str">
            <v>..</v>
          </cell>
          <cell r="V355">
            <v>13.33</v>
          </cell>
          <cell r="W355">
            <v>9</v>
          </cell>
          <cell r="X355">
            <v>4.33</v>
          </cell>
          <cell r="Z355" t="str">
            <v>9 weeks paid leave reserved for fathers, and one month childcare leave reserved for fathers</v>
          </cell>
          <cell r="AA355" t="str">
            <v>-</v>
          </cell>
          <cell r="AB355" t="str">
            <v>-</v>
          </cell>
          <cell r="AC355">
            <v>9</v>
          </cell>
          <cell r="AD355">
            <v>0.7</v>
          </cell>
          <cell r="AE355" t="str">
            <v>-</v>
          </cell>
          <cell r="AF355" t="str">
            <v>-</v>
          </cell>
          <cell r="AG355" t="str">
            <v>-</v>
          </cell>
          <cell r="AH355" t="str">
            <v>-</v>
          </cell>
          <cell r="AI355" t="str">
            <v>-</v>
          </cell>
          <cell r="AJ355" t="str">
            <v>-</v>
          </cell>
          <cell r="AK355" t="str">
            <v>-</v>
          </cell>
          <cell r="AL355" t="str">
            <v>-</v>
          </cell>
          <cell r="AM355" t="str">
            <v>-</v>
          </cell>
          <cell r="AN355" t="str">
            <v>-</v>
          </cell>
          <cell r="AO355" t="str">
            <v>-</v>
          </cell>
          <cell r="AP355" t="str">
            <v>-</v>
          </cell>
          <cell r="AQ355" t="str">
            <v>-</v>
          </cell>
          <cell r="AR355" t="str">
            <v>-</v>
          </cell>
          <cell r="AS355" t="str">
            <v>-</v>
          </cell>
          <cell r="AT355" t="str">
            <v>-</v>
          </cell>
          <cell r="AU355" t="str">
            <v>-</v>
          </cell>
          <cell r="AV355" t="str">
            <v>-</v>
          </cell>
          <cell r="AW355" t="str">
            <v>-</v>
          </cell>
          <cell r="AX355" t="str">
            <v>-</v>
          </cell>
          <cell r="AY355" t="str">
            <v>-</v>
          </cell>
          <cell r="AZ355" t="str">
            <v>-</v>
          </cell>
          <cell r="BA355" t="str">
            <v>-</v>
          </cell>
          <cell r="BB355" t="str">
            <v>-</v>
          </cell>
          <cell r="BC355" t="str">
            <v>-</v>
          </cell>
          <cell r="BD355" t="str">
            <v>-</v>
          </cell>
          <cell r="BE355" t="str">
            <v>-</v>
          </cell>
          <cell r="BF355" t="str">
            <v>-</v>
          </cell>
          <cell r="BG355" t="str">
            <v>-</v>
          </cell>
          <cell r="BH355" t="str">
            <v>-</v>
          </cell>
          <cell r="BI355" t="str">
            <v>-</v>
          </cell>
          <cell r="BJ355" t="str">
            <v>-</v>
          </cell>
          <cell r="BK355" t="str">
            <v>-</v>
          </cell>
          <cell r="BL355" t="str">
            <v>-</v>
          </cell>
          <cell r="BM355">
            <v>0.7</v>
          </cell>
          <cell r="BN355">
            <v>0.47261815453863465</v>
          </cell>
          <cell r="BO355" t="str">
            <v>-</v>
          </cell>
          <cell r="BP355" t="str">
            <v>-</v>
          </cell>
          <cell r="BQ355">
            <v>67494.546000000002</v>
          </cell>
          <cell r="BR355">
            <v>5624.5454999999993</v>
          </cell>
          <cell r="BS355">
            <v>1297.9820229386378</v>
          </cell>
          <cell r="BT355">
            <v>259.59640458772759</v>
          </cell>
        </row>
        <row r="356">
          <cell r="A356" t="str">
            <v>Portugal2014100 / 100</v>
          </cell>
          <cell r="B356" t="str">
            <v>Portugal</v>
          </cell>
          <cell r="C356">
            <v>2014</v>
          </cell>
          <cell r="D356" t="str">
            <v>100 / 100</v>
          </cell>
          <cell r="E356">
            <v>17312.948</v>
          </cell>
          <cell r="F356">
            <v>1442.7456666666667</v>
          </cell>
          <cell r="G356">
            <v>332.94386879899076</v>
          </cell>
          <cell r="H356">
            <v>66.588773759798158</v>
          </cell>
          <cell r="I356">
            <v>17312.948</v>
          </cell>
          <cell r="J356">
            <v>1442.7456666666667</v>
          </cell>
          <cell r="K356">
            <v>332.94386879899076</v>
          </cell>
          <cell r="L356">
            <v>66.588773759798158</v>
          </cell>
          <cell r="M356" t="str">
            <v>..</v>
          </cell>
          <cell r="N356" t="str">
            <v>..</v>
          </cell>
          <cell r="O356" t="str">
            <v>..</v>
          </cell>
          <cell r="P356" t="str">
            <v>..</v>
          </cell>
          <cell r="Q356" t="str">
            <v>..</v>
          </cell>
          <cell r="R356" t="str">
            <v>..</v>
          </cell>
          <cell r="S356" t="str">
            <v>..</v>
          </cell>
          <cell r="T356" t="str">
            <v>..</v>
          </cell>
          <cell r="U356" t="str">
            <v>..</v>
          </cell>
          <cell r="V356">
            <v>17.285714285714299</v>
          </cell>
          <cell r="W356">
            <v>17.285714285714299</v>
          </cell>
          <cell r="X356">
            <v>0</v>
          </cell>
          <cell r="Y356" t="str">
            <v>-</v>
          </cell>
          <cell r="Z356" t="str">
            <v>Thirty days of initial parental leave that are 'effectively' reserved for the father, and three months of 'additional parental leave'. Initial parental leave: paid at 100 per cent of earnings with no ceiling on payments. Minimum payment is 50% of the indexing reference of social support (IAS = €419.22 per month in 2014, so floor = €209.61 per month). Additional parental leave: paid at twenty-five per cent of average earnings with no ceiling on payments, with a minimum payment of 40% of indexing reference of social support = €167.69 per month.</v>
          </cell>
          <cell r="AA356" t="str">
            <v>Gross</v>
          </cell>
          <cell r="AB356" t="str">
            <v>N</v>
          </cell>
          <cell r="AC356">
            <v>4.2857142857142856</v>
          </cell>
          <cell r="AD356">
            <v>1</v>
          </cell>
          <cell r="AE356" t="str">
            <v>-</v>
          </cell>
          <cell r="AF356" t="str">
            <v>-</v>
          </cell>
          <cell r="AG356">
            <v>209.61</v>
          </cell>
          <cell r="AH356" t="str">
            <v>month</v>
          </cell>
          <cell r="AI356" t="str">
            <v>-</v>
          </cell>
          <cell r="AJ356" t="str">
            <v>-</v>
          </cell>
          <cell r="AK356" t="str">
            <v>-</v>
          </cell>
          <cell r="AL356" t="str">
            <v>-</v>
          </cell>
          <cell r="AM356" t="str">
            <v>-</v>
          </cell>
          <cell r="AN356" t="str">
            <v>-</v>
          </cell>
          <cell r="AO356">
            <v>13</v>
          </cell>
          <cell r="AP356">
            <v>0.25</v>
          </cell>
          <cell r="AQ356" t="str">
            <v>-</v>
          </cell>
          <cell r="AR356" t="str">
            <v>-</v>
          </cell>
          <cell r="AS356" t="str">
            <v>-</v>
          </cell>
          <cell r="AT356" t="str">
            <v>-</v>
          </cell>
          <cell r="AU356">
            <v>167.69</v>
          </cell>
          <cell r="AV356" t="str">
            <v>month</v>
          </cell>
          <cell r="AW356" t="str">
            <v>-</v>
          </cell>
          <cell r="AX356" t="str">
            <v>-</v>
          </cell>
          <cell r="AY356" t="str">
            <v>-</v>
          </cell>
          <cell r="AZ356" t="str">
            <v>-</v>
          </cell>
          <cell r="BA356" t="str">
            <v>-</v>
          </cell>
          <cell r="BB356" t="str">
            <v>-</v>
          </cell>
          <cell r="BC356" t="str">
            <v>-</v>
          </cell>
          <cell r="BD356" t="str">
            <v>-</v>
          </cell>
          <cell r="BE356" t="str">
            <v>-</v>
          </cell>
          <cell r="BF356" t="str">
            <v>-</v>
          </cell>
          <cell r="BG356" t="str">
            <v>-</v>
          </cell>
          <cell r="BH356" t="str">
            <v>-</v>
          </cell>
          <cell r="BI356" t="str">
            <v>-</v>
          </cell>
          <cell r="BJ356" t="str">
            <v>-</v>
          </cell>
          <cell r="BK356" t="str">
            <v>-</v>
          </cell>
          <cell r="BL356" t="str">
            <v>-</v>
          </cell>
          <cell r="BM356">
            <v>0.43595041322314015</v>
          </cell>
          <cell r="BN356">
            <v>0.43595041322314015</v>
          </cell>
          <cell r="BO356" t="str">
            <v>-</v>
          </cell>
          <cell r="BP356" t="str">
            <v>-</v>
          </cell>
          <cell r="BQ356">
            <v>7547.586834710738</v>
          </cell>
          <cell r="BR356">
            <v>628.96556955922813</v>
          </cell>
          <cell r="BS356">
            <v>145.14701718303098</v>
          </cell>
          <cell r="BT356">
            <v>29.029403436606199</v>
          </cell>
        </row>
        <row r="357">
          <cell r="A357" t="str">
            <v>Portugal2015100 / 100</v>
          </cell>
          <cell r="B357" t="str">
            <v>Portugal</v>
          </cell>
          <cell r="C357">
            <v>2015</v>
          </cell>
          <cell r="D357" t="str">
            <v>100 / 100</v>
          </cell>
          <cell r="E357">
            <v>17369.111000000001</v>
          </cell>
          <cell r="F357">
            <v>1447.4259166666668</v>
          </cell>
          <cell r="G357">
            <v>334.02393479949848</v>
          </cell>
          <cell r="H357">
            <v>66.804786959899701</v>
          </cell>
          <cell r="I357">
            <v>17369.111000000001</v>
          </cell>
          <cell r="J357">
            <v>1447.4259166666668</v>
          </cell>
          <cell r="K357">
            <v>334.02393479949848</v>
          </cell>
          <cell r="L357">
            <v>66.804786959899701</v>
          </cell>
          <cell r="M357" t="str">
            <v>..</v>
          </cell>
          <cell r="N357" t="str">
            <v>..</v>
          </cell>
          <cell r="O357" t="str">
            <v>..</v>
          </cell>
          <cell r="P357" t="str">
            <v>..</v>
          </cell>
          <cell r="Q357" t="str">
            <v>..</v>
          </cell>
          <cell r="R357" t="str">
            <v>..</v>
          </cell>
          <cell r="S357" t="str">
            <v>..</v>
          </cell>
          <cell r="T357" t="str">
            <v>..</v>
          </cell>
          <cell r="U357" t="str">
            <v>..</v>
          </cell>
          <cell r="V357">
            <v>17.285714285714299</v>
          </cell>
          <cell r="W357">
            <v>17.285714285714299</v>
          </cell>
          <cell r="X357">
            <v>0</v>
          </cell>
          <cell r="Y357" t="str">
            <v>-</v>
          </cell>
          <cell r="Z357" t="str">
            <v>Thirty days of initial parental leave that are 'effectively' reserved for the father, and three months of 'additional parental leave'. Initial parental leave: paid at 100 per cent of earnings with no ceiling on payments. Minimum payment is 50% of the indexing reference of social support (IAS = €419.22 per month in 2014, so floor = €209.61 per month). Additional parental leave: paid at twenty-five per cent of average earnings with no ceiling on payments, with a minimum payment of 40% of indexing reference of social support = €167.69 per month.</v>
          </cell>
          <cell r="AA357" t="str">
            <v>Gross</v>
          </cell>
          <cell r="AB357" t="str">
            <v>N</v>
          </cell>
          <cell r="AC357">
            <v>4.2857142857142856</v>
          </cell>
          <cell r="AD357">
            <v>1</v>
          </cell>
          <cell r="AE357" t="str">
            <v>-</v>
          </cell>
          <cell r="AF357" t="str">
            <v>-</v>
          </cell>
          <cell r="AG357">
            <v>209.61</v>
          </cell>
          <cell r="AH357" t="str">
            <v>month</v>
          </cell>
          <cell r="AI357" t="str">
            <v>-</v>
          </cell>
          <cell r="AJ357" t="str">
            <v>-</v>
          </cell>
          <cell r="AK357" t="str">
            <v>-</v>
          </cell>
          <cell r="AL357" t="str">
            <v>-</v>
          </cell>
          <cell r="AM357" t="str">
            <v>-</v>
          </cell>
          <cell r="AN357" t="str">
            <v>-</v>
          </cell>
          <cell r="AO357">
            <v>13</v>
          </cell>
          <cell r="AP357">
            <v>0.25</v>
          </cell>
          <cell r="AQ357" t="str">
            <v>-</v>
          </cell>
          <cell r="AR357" t="str">
            <v>-</v>
          </cell>
          <cell r="AS357" t="str">
            <v>-</v>
          </cell>
          <cell r="AT357" t="str">
            <v>-</v>
          </cell>
          <cell r="AU357">
            <v>167.69</v>
          </cell>
          <cell r="AV357" t="str">
            <v>month</v>
          </cell>
          <cell r="AW357" t="str">
            <v>-</v>
          </cell>
          <cell r="AX357" t="str">
            <v>-</v>
          </cell>
          <cell r="AY357" t="str">
            <v>-</v>
          </cell>
          <cell r="AZ357" t="str">
            <v>-</v>
          </cell>
          <cell r="BA357" t="str">
            <v>-</v>
          </cell>
          <cell r="BB357" t="str">
            <v>-</v>
          </cell>
          <cell r="BC357" t="str">
            <v>-</v>
          </cell>
          <cell r="BD357" t="str">
            <v>-</v>
          </cell>
          <cell r="BE357" t="str">
            <v>-</v>
          </cell>
          <cell r="BF357" t="str">
            <v>-</v>
          </cell>
          <cell r="BG357" t="str">
            <v>-</v>
          </cell>
          <cell r="BH357" t="str">
            <v>-</v>
          </cell>
          <cell r="BI357" t="str">
            <v>-</v>
          </cell>
          <cell r="BJ357" t="str">
            <v>-</v>
          </cell>
          <cell r="BK357" t="str">
            <v>-</v>
          </cell>
          <cell r="BL357" t="str">
            <v>-</v>
          </cell>
          <cell r="BM357">
            <v>0.43595041322314015</v>
          </cell>
          <cell r="BN357">
            <v>0.43595041322314015</v>
          </cell>
          <cell r="BO357" t="str">
            <v>-</v>
          </cell>
          <cell r="BP357" t="str">
            <v>-</v>
          </cell>
          <cell r="BQ357">
            <v>7572.0711177685898</v>
          </cell>
          <cell r="BR357">
            <v>631.00592648071586</v>
          </cell>
          <cell r="BS357">
            <v>145.61787240226059</v>
          </cell>
          <cell r="BT357">
            <v>29.12357448045212</v>
          </cell>
        </row>
        <row r="358">
          <cell r="A358" t="str">
            <v>Portugal2016100 / 100</v>
          </cell>
          <cell r="B358" t="str">
            <v>Portugal</v>
          </cell>
          <cell r="C358">
            <v>2016</v>
          </cell>
          <cell r="D358" t="str">
            <v>100 / 100</v>
          </cell>
          <cell r="E358">
            <v>17577.361000000001</v>
          </cell>
          <cell r="F358">
            <v>1464.7800833333333</v>
          </cell>
          <cell r="G358">
            <v>338.02877329825611</v>
          </cell>
          <cell r="H358">
            <v>67.605754659651225</v>
          </cell>
          <cell r="I358">
            <v>17577.361000000001</v>
          </cell>
          <cell r="J358">
            <v>1464.7800833333333</v>
          </cell>
          <cell r="K358">
            <v>338.02877329825611</v>
          </cell>
          <cell r="L358">
            <v>67.605754659651225</v>
          </cell>
          <cell r="M358" t="str">
            <v>..</v>
          </cell>
          <cell r="N358" t="str">
            <v>..</v>
          </cell>
          <cell r="O358" t="str">
            <v>..</v>
          </cell>
          <cell r="P358" t="str">
            <v>..</v>
          </cell>
          <cell r="Q358" t="str">
            <v>..</v>
          </cell>
          <cell r="R358" t="str">
            <v>..</v>
          </cell>
          <cell r="S358" t="str">
            <v>..</v>
          </cell>
          <cell r="T358" t="str">
            <v>..</v>
          </cell>
          <cell r="U358" t="str">
            <v>..</v>
          </cell>
          <cell r="V358">
            <v>17.285714285714299</v>
          </cell>
          <cell r="W358">
            <v>17.285714285714299</v>
          </cell>
          <cell r="X358">
            <v>0</v>
          </cell>
          <cell r="Y358" t="str">
            <v>-</v>
          </cell>
          <cell r="Z358" t="str">
            <v>Thirty days of initial parental leave that are 'effectively' reserved for the father, and three months of 'additional parental leave'. Initial parental leave: paid at 100 per cent of earnings with no ceiling on payments. Minimum payment is 50% of the indexing reference of social support (IAS = €419.22 per month, so floor = €209.61 per month). Additional parental leave: paid at twenty-five per cent of average earnings with no ceiling on payments, with a minimum payment of 40% of indexing reference of social support = €167.69 per month.</v>
          </cell>
          <cell r="AA358" t="str">
            <v>Gross</v>
          </cell>
          <cell r="AB358" t="str">
            <v>N</v>
          </cell>
          <cell r="AC358">
            <v>4.2857142857142856</v>
          </cell>
          <cell r="AD358">
            <v>1</v>
          </cell>
          <cell r="AE358" t="str">
            <v>-</v>
          </cell>
          <cell r="AF358" t="str">
            <v>-</v>
          </cell>
          <cell r="AG358">
            <v>209.61</v>
          </cell>
          <cell r="AH358" t="str">
            <v>month</v>
          </cell>
          <cell r="AI358" t="str">
            <v>-</v>
          </cell>
          <cell r="AJ358" t="str">
            <v>-</v>
          </cell>
          <cell r="AK358" t="str">
            <v>-</v>
          </cell>
          <cell r="AL358" t="str">
            <v>-</v>
          </cell>
          <cell r="AM358" t="str">
            <v>-</v>
          </cell>
          <cell r="AN358" t="str">
            <v>-</v>
          </cell>
          <cell r="AO358">
            <v>13</v>
          </cell>
          <cell r="AP358">
            <v>0.25</v>
          </cell>
          <cell r="AQ358" t="str">
            <v>-</v>
          </cell>
          <cell r="AR358" t="str">
            <v>-</v>
          </cell>
          <cell r="AS358" t="str">
            <v>-</v>
          </cell>
          <cell r="AT358" t="str">
            <v>-</v>
          </cell>
          <cell r="AU358">
            <v>167.69</v>
          </cell>
          <cell r="AV358" t="str">
            <v>month</v>
          </cell>
          <cell r="AW358" t="str">
            <v>-</v>
          </cell>
          <cell r="AX358" t="str">
            <v>-</v>
          </cell>
          <cell r="AY358" t="str">
            <v>-</v>
          </cell>
          <cell r="AZ358" t="str">
            <v>-</v>
          </cell>
          <cell r="BA358" t="str">
            <v>-</v>
          </cell>
          <cell r="BB358" t="str">
            <v>-</v>
          </cell>
          <cell r="BC358" t="str">
            <v>-</v>
          </cell>
          <cell r="BD358" t="str">
            <v>-</v>
          </cell>
          <cell r="BE358" t="str">
            <v>-</v>
          </cell>
          <cell r="BF358" t="str">
            <v>-</v>
          </cell>
          <cell r="BG358" t="str">
            <v>-</v>
          </cell>
          <cell r="BH358" t="str">
            <v>-</v>
          </cell>
          <cell r="BI358" t="str">
            <v>-</v>
          </cell>
          <cell r="BJ358" t="str">
            <v>-</v>
          </cell>
          <cell r="BK358" t="str">
            <v>-</v>
          </cell>
          <cell r="BL358" t="str">
            <v>-</v>
          </cell>
          <cell r="BM358">
            <v>0.43595041322314015</v>
          </cell>
          <cell r="BN358">
            <v>0.43595041322314015</v>
          </cell>
          <cell r="BO358" t="str">
            <v>-</v>
          </cell>
          <cell r="BP358" t="str">
            <v>-</v>
          </cell>
          <cell r="BQ358">
            <v>7662.857791322308</v>
          </cell>
          <cell r="BR358">
            <v>638.57148261019233</v>
          </cell>
          <cell r="BS358">
            <v>147.36378340068592</v>
          </cell>
          <cell r="BT358">
            <v>29.472756680137184</v>
          </cell>
        </row>
        <row r="359">
          <cell r="A359" t="str">
            <v>Portugal2017100 / 100</v>
          </cell>
          <cell r="B359" t="str">
            <v>Portugal</v>
          </cell>
          <cell r="C359">
            <v>2017</v>
          </cell>
          <cell r="D359" t="str">
            <v>100 / 100</v>
          </cell>
          <cell r="E359">
            <v>17980.648000000001</v>
          </cell>
          <cell r="F359">
            <v>1498.3873333333333</v>
          </cell>
          <cell r="G359">
            <v>345.78435218732449</v>
          </cell>
          <cell r="H359">
            <v>69.156870437464903</v>
          </cell>
          <cell r="I359">
            <v>17980.648000000001</v>
          </cell>
          <cell r="J359">
            <v>1498.3873333333333</v>
          </cell>
          <cell r="K359">
            <v>345.78435218732449</v>
          </cell>
          <cell r="L359">
            <v>69.156870437464903</v>
          </cell>
          <cell r="M359" t="str">
            <v>..</v>
          </cell>
          <cell r="N359" t="str">
            <v>..</v>
          </cell>
          <cell r="O359" t="str">
            <v>..</v>
          </cell>
          <cell r="P359" t="str">
            <v>..</v>
          </cell>
          <cell r="Q359" t="str">
            <v>..</v>
          </cell>
          <cell r="R359" t="str">
            <v>..</v>
          </cell>
          <cell r="S359" t="str">
            <v>..</v>
          </cell>
          <cell r="T359" t="str">
            <v>..</v>
          </cell>
          <cell r="U359" t="str">
            <v>..</v>
          </cell>
          <cell r="V359">
            <v>17.285714285714299</v>
          </cell>
          <cell r="W359">
            <v>17.285714285714299</v>
          </cell>
          <cell r="X359">
            <v>0</v>
          </cell>
          <cell r="Y359" t="str">
            <v>-</v>
          </cell>
          <cell r="Z359" t="str">
            <v>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€ 421.32 = €210.66 per month). Additional parental leave is paid at twenty-five per cent of average earnings with no ceiling on payments, with a minimum payment of 40% of indexing reference of social support (€ 421.32 = €168.53 per month). The two years of childcare leave are unpaid</v>
          </cell>
          <cell r="AA359" t="str">
            <v>Gross</v>
          </cell>
          <cell r="AB359" t="str">
            <v>N</v>
          </cell>
          <cell r="AC359">
            <v>4.2857142857142856</v>
          </cell>
          <cell r="AD359">
            <v>1</v>
          </cell>
          <cell r="AE359" t="str">
            <v>-</v>
          </cell>
          <cell r="AF359" t="str">
            <v>-</v>
          </cell>
          <cell r="AG359">
            <v>210.66</v>
          </cell>
          <cell r="AH359" t="str">
            <v>month</v>
          </cell>
          <cell r="AI359" t="str">
            <v>-</v>
          </cell>
          <cell r="AJ359" t="str">
            <v>-</v>
          </cell>
          <cell r="AK359" t="str">
            <v>-</v>
          </cell>
          <cell r="AL359" t="str">
            <v>-</v>
          </cell>
          <cell r="AM359" t="str">
            <v>-</v>
          </cell>
          <cell r="AN359" t="str">
            <v>-</v>
          </cell>
          <cell r="AO359">
            <v>13</v>
          </cell>
          <cell r="AP359">
            <v>0.25</v>
          </cell>
          <cell r="AQ359" t="str">
            <v>-</v>
          </cell>
          <cell r="AR359" t="str">
            <v>-</v>
          </cell>
          <cell r="AS359" t="str">
            <v>-</v>
          </cell>
          <cell r="AT359" t="str">
            <v>-</v>
          </cell>
          <cell r="AU359">
            <v>168.52800000000002</v>
          </cell>
          <cell r="AV359" t="str">
            <v>month</v>
          </cell>
          <cell r="AW359" t="str">
            <v>-</v>
          </cell>
          <cell r="AX359" t="str">
            <v>-</v>
          </cell>
          <cell r="AY359" t="str">
            <v>-</v>
          </cell>
          <cell r="AZ359" t="str">
            <v>-</v>
          </cell>
          <cell r="BA359" t="str">
            <v>-</v>
          </cell>
          <cell r="BB359" t="str">
            <v>-</v>
          </cell>
          <cell r="BC359" t="str">
            <v>-</v>
          </cell>
          <cell r="BD359" t="str">
            <v>-</v>
          </cell>
          <cell r="BE359" t="str">
            <v>-</v>
          </cell>
          <cell r="BF359" t="str">
            <v>-</v>
          </cell>
          <cell r="BG359" t="str">
            <v>-</v>
          </cell>
          <cell r="BH359" t="str">
            <v>-</v>
          </cell>
          <cell r="BI359" t="str">
            <v>-</v>
          </cell>
          <cell r="BJ359" t="str">
            <v>-</v>
          </cell>
          <cell r="BK359" t="str">
            <v>-</v>
          </cell>
          <cell r="BL359" t="str">
            <v>-</v>
          </cell>
          <cell r="BM359">
            <v>0.43595041322314015</v>
          </cell>
          <cell r="BN359">
            <v>0.43595041322314015</v>
          </cell>
          <cell r="BO359" t="str">
            <v>-</v>
          </cell>
          <cell r="BP359" t="str">
            <v>-</v>
          </cell>
          <cell r="BQ359">
            <v>7838.6709256198292</v>
          </cell>
          <cell r="BR359">
            <v>653.22257713498573</v>
          </cell>
          <cell r="BS359">
            <v>150.74483122215995</v>
          </cell>
          <cell r="BT359">
            <v>30.148966244431989</v>
          </cell>
        </row>
        <row r="360">
          <cell r="A360" t="str">
            <v>Portugal2018100 / 100</v>
          </cell>
          <cell r="B360" t="str">
            <v>Portugal</v>
          </cell>
          <cell r="C360">
            <v>2018</v>
          </cell>
          <cell r="D360" t="str">
            <v>100 / 100</v>
          </cell>
          <cell r="E360">
            <v>18680.436000000002</v>
          </cell>
          <cell r="F360">
            <v>1556.7030000000002</v>
          </cell>
          <cell r="G360">
            <v>359.2419172455173</v>
          </cell>
          <cell r="H360">
            <v>71.848383449103466</v>
          </cell>
          <cell r="I360">
            <v>18680.436000000002</v>
          </cell>
          <cell r="J360">
            <v>1556.7030000000002</v>
          </cell>
          <cell r="K360">
            <v>359.2419172455173</v>
          </cell>
          <cell r="L360">
            <v>71.848383449103466</v>
          </cell>
          <cell r="M360" t="str">
            <v>..</v>
          </cell>
          <cell r="N360" t="str">
            <v>..</v>
          </cell>
          <cell r="O360" t="str">
            <v>..</v>
          </cell>
          <cell r="P360" t="str">
            <v>..</v>
          </cell>
          <cell r="Q360" t="str">
            <v>..</v>
          </cell>
          <cell r="R360" t="str">
            <v>..</v>
          </cell>
          <cell r="S360" t="str">
            <v>..</v>
          </cell>
          <cell r="T360" t="str">
            <v>..</v>
          </cell>
          <cell r="U360" t="str">
            <v>..</v>
          </cell>
          <cell r="V360">
            <v>17.285714285714299</v>
          </cell>
          <cell r="W360">
            <v>17.285714285714299</v>
          </cell>
          <cell r="X360">
            <v>0</v>
          </cell>
          <cell r="Y360" t="str">
            <v>-</v>
          </cell>
          <cell r="Z360" t="str">
            <v>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€ 428.90 = €214.45 per month). Additional parental leave is paid at twenty-five per cent of average earnings with no ceiling on payments, with a minimum payment of 40% of indexing reference of social support (€ 428.90 = €171.56 per month). The two years of childcare leave are unpaid</v>
          </cell>
          <cell r="AA360" t="str">
            <v>Gross</v>
          </cell>
          <cell r="AB360" t="str">
            <v>N</v>
          </cell>
          <cell r="AC360">
            <v>4.2857142857142856</v>
          </cell>
          <cell r="AD360">
            <v>1</v>
          </cell>
          <cell r="AE360" t="str">
            <v>-</v>
          </cell>
          <cell r="AF360" t="str">
            <v>-</v>
          </cell>
          <cell r="AG360">
            <v>214.45</v>
          </cell>
          <cell r="AH360" t="str">
            <v>month</v>
          </cell>
          <cell r="AI360" t="str">
            <v>-</v>
          </cell>
          <cell r="AJ360" t="str">
            <v>-</v>
          </cell>
          <cell r="AK360" t="str">
            <v>-</v>
          </cell>
          <cell r="AL360" t="str">
            <v>-</v>
          </cell>
          <cell r="AM360" t="str">
            <v>-</v>
          </cell>
          <cell r="AN360" t="str">
            <v>-</v>
          </cell>
          <cell r="AO360">
            <v>13</v>
          </cell>
          <cell r="AP360">
            <v>0.25</v>
          </cell>
          <cell r="AQ360" t="str">
            <v>-</v>
          </cell>
          <cell r="AR360" t="str">
            <v>-</v>
          </cell>
          <cell r="AS360" t="str">
            <v>-</v>
          </cell>
          <cell r="AT360" t="str">
            <v>-</v>
          </cell>
          <cell r="AU360">
            <v>171.56</v>
          </cell>
          <cell r="AV360" t="str">
            <v>month</v>
          </cell>
          <cell r="AW360" t="str">
            <v>-</v>
          </cell>
          <cell r="AX360" t="str">
            <v>-</v>
          </cell>
          <cell r="AY360" t="str">
            <v>-</v>
          </cell>
          <cell r="AZ360" t="str">
            <v>-</v>
          </cell>
          <cell r="BA360" t="str">
            <v>-</v>
          </cell>
          <cell r="BB360" t="str">
            <v>-</v>
          </cell>
          <cell r="BC360" t="str">
            <v>-</v>
          </cell>
          <cell r="BD360" t="str">
            <v>-</v>
          </cell>
          <cell r="BE360" t="str">
            <v>-</v>
          </cell>
          <cell r="BF360" t="str">
            <v>-</v>
          </cell>
          <cell r="BG360" t="str">
            <v>-</v>
          </cell>
          <cell r="BH360" t="str">
            <v>-</v>
          </cell>
          <cell r="BI360" t="str">
            <v>-</v>
          </cell>
          <cell r="BJ360" t="str">
            <v>-</v>
          </cell>
          <cell r="BK360" t="str">
            <v>-</v>
          </cell>
          <cell r="BL360" t="str">
            <v>-</v>
          </cell>
          <cell r="BM360">
            <v>0.43595041322314015</v>
          </cell>
          <cell r="BN360">
            <v>0.43595041322314015</v>
          </cell>
          <cell r="BO360" t="str">
            <v>-</v>
          </cell>
          <cell r="BP360" t="str">
            <v>-</v>
          </cell>
          <cell r="BQ360">
            <v>8143.7437933884239</v>
          </cell>
          <cell r="BR360">
            <v>678.64531611570203</v>
          </cell>
          <cell r="BS360">
            <v>156.61166227025637</v>
          </cell>
          <cell r="BT360">
            <v>31.322332454051281</v>
          </cell>
        </row>
        <row r="361">
          <cell r="A361" t="str">
            <v>Portugal2019100 / 100</v>
          </cell>
          <cell r="B361" t="str">
            <v>Portugal</v>
          </cell>
          <cell r="C361">
            <v>2019</v>
          </cell>
          <cell r="D361" t="str">
            <v>100 / 100</v>
          </cell>
          <cell r="E361">
            <v>19572.518</v>
          </cell>
          <cell r="F361">
            <v>1631.0431666666666</v>
          </cell>
          <cell r="G361">
            <v>376.39747228824831</v>
          </cell>
          <cell r="H361">
            <v>75.279494457649662</v>
          </cell>
          <cell r="I361">
            <v>19572.518</v>
          </cell>
          <cell r="J361">
            <v>1631.0431666666666</v>
          </cell>
          <cell r="K361">
            <v>376.39747228824831</v>
          </cell>
          <cell r="L361">
            <v>75.279494457649662</v>
          </cell>
          <cell r="M361" t="str">
            <v>..</v>
          </cell>
          <cell r="N361" t="str">
            <v>..</v>
          </cell>
          <cell r="O361" t="str">
            <v>..</v>
          </cell>
          <cell r="P361" t="str">
            <v>..</v>
          </cell>
          <cell r="Q361" t="str">
            <v>..</v>
          </cell>
          <cell r="R361" t="str">
            <v>..</v>
          </cell>
          <cell r="S361" t="str">
            <v>..</v>
          </cell>
          <cell r="T361" t="str">
            <v>..</v>
          </cell>
          <cell r="U361" t="str">
            <v>..</v>
          </cell>
          <cell r="V361">
            <v>17.285714285714299</v>
          </cell>
          <cell r="W361">
            <v>17.285714285714299</v>
          </cell>
          <cell r="X361">
            <v>0</v>
          </cell>
          <cell r="Y361" t="str">
            <v>-</v>
          </cell>
          <cell r="Z361" t="str">
            <v>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€ 435.76 = €217.88 per month). Additional parental leave is paid at twenty-five per cent of average earnings with no ceiling on payments, with a minimum payment of 40% of indexing reference of social support (€ 435.76 = €174.30 per month). The two years of childcare leave are unpaid</v>
          </cell>
          <cell r="AA361" t="str">
            <v>Gross</v>
          </cell>
          <cell r="AB361" t="str">
            <v>N</v>
          </cell>
          <cell r="AC361">
            <v>4.2857142857142856</v>
          </cell>
          <cell r="AD361">
            <v>1</v>
          </cell>
          <cell r="AE361" t="str">
            <v>-</v>
          </cell>
          <cell r="AF361" t="str">
            <v>-</v>
          </cell>
          <cell r="AG361">
            <v>217.88</v>
          </cell>
          <cell r="AH361" t="str">
            <v>month</v>
          </cell>
          <cell r="AI361" t="str">
            <v>-</v>
          </cell>
          <cell r="AJ361" t="str">
            <v>-</v>
          </cell>
          <cell r="AK361" t="str">
            <v>-</v>
          </cell>
          <cell r="AL361" t="str">
            <v>-</v>
          </cell>
          <cell r="AM361" t="str">
            <v>-</v>
          </cell>
          <cell r="AN361" t="str">
            <v>-</v>
          </cell>
          <cell r="AO361">
            <v>13</v>
          </cell>
          <cell r="AP361">
            <v>0.25</v>
          </cell>
          <cell r="AQ361" t="str">
            <v>-</v>
          </cell>
          <cell r="AR361" t="str">
            <v>-</v>
          </cell>
          <cell r="AS361" t="str">
            <v>-</v>
          </cell>
          <cell r="AT361" t="str">
            <v>-</v>
          </cell>
          <cell r="AU361">
            <v>174.304</v>
          </cell>
          <cell r="AV361" t="str">
            <v>month</v>
          </cell>
          <cell r="AW361" t="str">
            <v>-</v>
          </cell>
          <cell r="AX361" t="str">
            <v>-</v>
          </cell>
          <cell r="AY361" t="str">
            <v>-</v>
          </cell>
          <cell r="AZ361" t="str">
            <v>-</v>
          </cell>
          <cell r="BA361" t="str">
            <v>-</v>
          </cell>
          <cell r="BB361" t="str">
            <v>-</v>
          </cell>
          <cell r="BC361" t="str">
            <v>-</v>
          </cell>
          <cell r="BD361" t="str">
            <v>-</v>
          </cell>
          <cell r="BE361" t="str">
            <v>-</v>
          </cell>
          <cell r="BF361" t="str">
            <v>-</v>
          </cell>
          <cell r="BG361" t="str">
            <v>-</v>
          </cell>
          <cell r="BH361" t="str">
            <v>-</v>
          </cell>
          <cell r="BI361" t="str">
            <v>-</v>
          </cell>
          <cell r="BJ361" t="str">
            <v>-</v>
          </cell>
          <cell r="BK361" t="str">
            <v>-</v>
          </cell>
          <cell r="BL361" t="str">
            <v>-</v>
          </cell>
          <cell r="BM361">
            <v>0.43595041322314015</v>
          </cell>
          <cell r="BN361">
            <v>0.43595041322314015</v>
          </cell>
          <cell r="BO361" t="str">
            <v>-</v>
          </cell>
          <cell r="BP361" t="str">
            <v>-</v>
          </cell>
          <cell r="BQ361">
            <v>8532.647309917349</v>
          </cell>
          <cell r="BR361">
            <v>711.05394249311234</v>
          </cell>
          <cell r="BS361">
            <v>164.09063358020728</v>
          </cell>
          <cell r="BT361">
            <v>32.818126716041462</v>
          </cell>
        </row>
        <row r="362">
          <cell r="A362" t="str">
            <v>Portugal2020100 / 100</v>
          </cell>
          <cell r="B362" t="str">
            <v>Portugal</v>
          </cell>
          <cell r="C362">
            <v>2020</v>
          </cell>
          <cell r="D362" t="str">
            <v>100 / 100</v>
          </cell>
          <cell r="E362">
            <v>19867.655999999999</v>
          </cell>
          <cell r="F362">
            <v>1655.6379999999999</v>
          </cell>
          <cell r="G362">
            <v>382.07324671728242</v>
          </cell>
          <cell r="H362">
            <v>76.414649343456489</v>
          </cell>
          <cell r="I362">
            <v>19867.655999999999</v>
          </cell>
          <cell r="J362">
            <v>1655.6379999999999</v>
          </cell>
          <cell r="K362">
            <v>382.07324671728242</v>
          </cell>
          <cell r="L362">
            <v>76.414649343456489</v>
          </cell>
          <cell r="M362" t="str">
            <v>..</v>
          </cell>
          <cell r="N362" t="str">
            <v>..</v>
          </cell>
          <cell r="O362" t="str">
            <v>..</v>
          </cell>
          <cell r="P362" t="str">
            <v>..</v>
          </cell>
          <cell r="Q362" t="str">
            <v>..</v>
          </cell>
          <cell r="R362" t="str">
            <v>..</v>
          </cell>
          <cell r="S362" t="str">
            <v>..</v>
          </cell>
          <cell r="T362" t="str">
            <v>..</v>
          </cell>
          <cell r="U362" t="str">
            <v>..</v>
          </cell>
          <cell r="V362">
            <v>17.285714285714299</v>
          </cell>
          <cell r="W362">
            <v>17.285714285714299</v>
          </cell>
          <cell r="X362">
            <v>0</v>
          </cell>
          <cell r="Y362" t="str">
            <v>-</v>
          </cell>
          <cell r="Z362" t="str">
            <v>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€ 438.81 = €219.41 per month). Additional parental leave is paid at twenty-five per cent of average earnings with no ceiling on payments, with a minimum payment of 40% of indexing reference of social support (€ 438.81 = €172.52 per month). The two years of childcare leave are unpaid</v>
          </cell>
          <cell r="AA362" t="str">
            <v>Gross</v>
          </cell>
          <cell r="AB362" t="str">
            <v>N</v>
          </cell>
          <cell r="AC362">
            <v>4.2857142857142856</v>
          </cell>
          <cell r="AD362">
            <v>1</v>
          </cell>
          <cell r="AE362" t="str">
            <v>-</v>
          </cell>
          <cell r="AF362" t="str">
            <v>-</v>
          </cell>
          <cell r="AG362">
            <v>219.405</v>
          </cell>
          <cell r="AH362" t="str">
            <v>month</v>
          </cell>
          <cell r="AI362" t="str">
            <v>-</v>
          </cell>
          <cell r="AJ362" t="str">
            <v>-</v>
          </cell>
          <cell r="AK362" t="str">
            <v>-</v>
          </cell>
          <cell r="AL362" t="str">
            <v>-</v>
          </cell>
          <cell r="AM362" t="str">
            <v>-</v>
          </cell>
          <cell r="AN362" t="str">
            <v>-</v>
          </cell>
          <cell r="AO362">
            <v>13</v>
          </cell>
          <cell r="AP362">
            <v>0.25</v>
          </cell>
          <cell r="AQ362" t="str">
            <v>-</v>
          </cell>
          <cell r="AR362" t="str">
            <v>-</v>
          </cell>
          <cell r="AS362" t="str">
            <v>-</v>
          </cell>
          <cell r="AT362" t="str">
            <v>-</v>
          </cell>
          <cell r="AU362">
            <v>175.524</v>
          </cell>
          <cell r="AV362" t="str">
            <v>month</v>
          </cell>
          <cell r="AW362" t="str">
            <v>-</v>
          </cell>
          <cell r="AX362" t="str">
            <v>-</v>
          </cell>
          <cell r="AY362" t="str">
            <v>-</v>
          </cell>
          <cell r="AZ362" t="str">
            <v>-</v>
          </cell>
          <cell r="BA362" t="str">
            <v>-</v>
          </cell>
          <cell r="BB362" t="str">
            <v>-</v>
          </cell>
          <cell r="BC362" t="str">
            <v>-</v>
          </cell>
          <cell r="BD362" t="str">
            <v>-</v>
          </cell>
          <cell r="BE362" t="str">
            <v>-</v>
          </cell>
          <cell r="BF362" t="str">
            <v>-</v>
          </cell>
          <cell r="BG362" t="str">
            <v>-</v>
          </cell>
          <cell r="BH362" t="str">
            <v>-</v>
          </cell>
          <cell r="BI362" t="str">
            <v>-</v>
          </cell>
          <cell r="BJ362" t="str">
            <v>-</v>
          </cell>
          <cell r="BK362" t="str">
            <v>-</v>
          </cell>
          <cell r="BL362" t="str">
            <v>-</v>
          </cell>
          <cell r="BM362">
            <v>0.43595041322314015</v>
          </cell>
          <cell r="BN362">
            <v>0.43595041322314015</v>
          </cell>
          <cell r="BO362" t="str">
            <v>-</v>
          </cell>
          <cell r="BP362" t="str">
            <v>-</v>
          </cell>
          <cell r="BQ362">
            <v>8661.3128429751996</v>
          </cell>
          <cell r="BR362">
            <v>721.77607024793326</v>
          </cell>
          <cell r="BS362">
            <v>166.56498978790606</v>
          </cell>
          <cell r="BT362">
            <v>33.31299795758121</v>
          </cell>
        </row>
        <row r="363">
          <cell r="A363" t="str">
            <v>Portugal2021100 / 100</v>
          </cell>
          <cell r="B363" t="str">
            <v>Portugal</v>
          </cell>
          <cell r="C363">
            <v>2021</v>
          </cell>
          <cell r="D363" t="str">
            <v>100 / 100</v>
          </cell>
          <cell r="E363">
            <v>20680.464</v>
          </cell>
          <cell r="F363">
            <v>1723.3720000000001</v>
          </cell>
          <cell r="G363">
            <v>397.70429003300023</v>
          </cell>
          <cell r="H363">
            <v>79.540858006600047</v>
          </cell>
          <cell r="I363">
            <v>20680.464</v>
          </cell>
          <cell r="J363">
            <v>1723.3720000000001</v>
          </cell>
          <cell r="K363">
            <v>397.70429003300023</v>
          </cell>
          <cell r="L363">
            <v>79.540858006600047</v>
          </cell>
          <cell r="M363" t="str">
            <v>..</v>
          </cell>
          <cell r="N363" t="str">
            <v>..</v>
          </cell>
          <cell r="O363" t="str">
            <v>..</v>
          </cell>
          <cell r="P363" t="str">
            <v>..</v>
          </cell>
          <cell r="Q363" t="str">
            <v>..</v>
          </cell>
          <cell r="R363" t="str">
            <v>..</v>
          </cell>
          <cell r="S363" t="str">
            <v>..</v>
          </cell>
          <cell r="T363" t="str">
            <v>..</v>
          </cell>
          <cell r="U363" t="str">
            <v>..</v>
          </cell>
          <cell r="V363">
            <v>17.285714285714299</v>
          </cell>
          <cell r="W363">
            <v>17.285714285714299</v>
          </cell>
          <cell r="X363">
            <v>0</v>
          </cell>
          <cell r="Y363" t="str">
            <v>-</v>
          </cell>
          <cell r="Z363" t="str">
            <v>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€ 438.81 = €219.41 per month). Additional parental leave is paid at twenty-five per cent of average earnings with no ceiling on payments, with a minimum payment of 40% of indexing reference of social support (€ 438.81 = €172.52 per month). The two years of childcare leave are unpaid</v>
          </cell>
          <cell r="AA363" t="str">
            <v>Gross</v>
          </cell>
          <cell r="AB363" t="str">
            <v>N</v>
          </cell>
          <cell r="AC363">
            <v>4.2857142857142856</v>
          </cell>
          <cell r="AD363">
            <v>1</v>
          </cell>
          <cell r="AE363" t="str">
            <v>-</v>
          </cell>
          <cell r="AF363" t="str">
            <v>-</v>
          </cell>
          <cell r="AG363">
            <v>219.405</v>
          </cell>
          <cell r="AH363" t="str">
            <v>month</v>
          </cell>
          <cell r="AI363" t="str">
            <v>-</v>
          </cell>
          <cell r="AJ363" t="str">
            <v>-</v>
          </cell>
          <cell r="AK363" t="str">
            <v>-</v>
          </cell>
          <cell r="AL363" t="str">
            <v>-</v>
          </cell>
          <cell r="AM363" t="str">
            <v>-</v>
          </cell>
          <cell r="AN363" t="str">
            <v>-</v>
          </cell>
          <cell r="AO363">
            <v>13</v>
          </cell>
          <cell r="AP363">
            <v>0.25</v>
          </cell>
          <cell r="AQ363" t="str">
            <v>-</v>
          </cell>
          <cell r="AR363" t="str">
            <v>-</v>
          </cell>
          <cell r="AS363" t="str">
            <v>-</v>
          </cell>
          <cell r="AT363" t="str">
            <v>-</v>
          </cell>
          <cell r="AU363">
            <v>175.524</v>
          </cell>
          <cell r="AV363" t="str">
            <v>month</v>
          </cell>
          <cell r="AW363" t="str">
            <v>-</v>
          </cell>
          <cell r="AX363" t="str">
            <v>-</v>
          </cell>
          <cell r="AY363" t="str">
            <v>-</v>
          </cell>
          <cell r="AZ363" t="str">
            <v>-</v>
          </cell>
          <cell r="BA363" t="str">
            <v>-</v>
          </cell>
          <cell r="BB363" t="str">
            <v>-</v>
          </cell>
          <cell r="BC363" t="str">
            <v>-</v>
          </cell>
          <cell r="BD363" t="str">
            <v>-</v>
          </cell>
          <cell r="BE363" t="str">
            <v>-</v>
          </cell>
          <cell r="BF363" t="str">
            <v>-</v>
          </cell>
          <cell r="BG363" t="str">
            <v>-</v>
          </cell>
          <cell r="BH363" t="str">
            <v>-</v>
          </cell>
          <cell r="BI363" t="str">
            <v>-</v>
          </cell>
          <cell r="BJ363" t="str">
            <v>-</v>
          </cell>
          <cell r="BK363" t="str">
            <v>-</v>
          </cell>
          <cell r="BL363" t="str">
            <v>-</v>
          </cell>
          <cell r="BM363">
            <v>0.43595041322314015</v>
          </cell>
          <cell r="BN363">
            <v>0.43595041322314015</v>
          </cell>
          <cell r="BO363" t="str">
            <v>-</v>
          </cell>
          <cell r="BP363" t="str">
            <v>-</v>
          </cell>
          <cell r="BQ363">
            <v>9015.656826446273</v>
          </cell>
          <cell r="BR363">
            <v>751.30473553718957</v>
          </cell>
          <cell r="BS363">
            <v>173.37934958050204</v>
          </cell>
          <cell r="BT363">
            <v>34.675869916100403</v>
          </cell>
        </row>
        <row r="364">
          <cell r="A364" t="str">
            <v>Portugal2022100 / 100</v>
          </cell>
          <cell r="B364" t="str">
            <v>Portugal</v>
          </cell>
          <cell r="C364">
            <v>2022</v>
          </cell>
          <cell r="D364" t="str">
            <v>100 / 100</v>
          </cell>
          <cell r="E364">
            <v>21949.891</v>
          </cell>
          <cell r="F364">
            <v>1829.1575833333334</v>
          </cell>
          <cell r="G364">
            <v>422.11653551181161</v>
          </cell>
          <cell r="H364">
            <v>84.423307102362315</v>
          </cell>
          <cell r="I364">
            <v>21949.891</v>
          </cell>
          <cell r="J364">
            <v>1829.1575833333334</v>
          </cell>
          <cell r="K364">
            <v>422.11653551181161</v>
          </cell>
          <cell r="L364">
            <v>84.423307102362315</v>
          </cell>
          <cell r="M364" t="str">
            <v>..</v>
          </cell>
          <cell r="N364" t="str">
            <v>..</v>
          </cell>
          <cell r="O364" t="str">
            <v>..</v>
          </cell>
          <cell r="P364" t="str">
            <v>..</v>
          </cell>
          <cell r="Q364" t="str">
            <v>..</v>
          </cell>
          <cell r="R364" t="str">
            <v>..</v>
          </cell>
          <cell r="S364" t="str">
            <v>..</v>
          </cell>
          <cell r="T364" t="str">
            <v>..</v>
          </cell>
          <cell r="U364" t="str">
            <v>..</v>
          </cell>
          <cell r="V364">
            <v>17.285714285714299</v>
          </cell>
          <cell r="W364">
            <v>17.285714285714299</v>
          </cell>
          <cell r="X364">
            <v>0</v>
          </cell>
          <cell r="Y364" t="str">
            <v>-</v>
          </cell>
          <cell r="Z364" t="str">
            <v xml:space="preserve">Thirty days of initial parental leave that are 'effectively' reserved for the father, and three months of 'additional parental leave'. Initial parental leave is paid at 100 per cent of earnings with no ceiling on payments. Minimum payment is 50% of the indexing reference of social support (IAS = € 443.2 = €221.6 per month). Additional parental leave is paid at twenty-five per cent of average earnings with no ceiling on payments, with a minimum payment of 40% of indexing reference of social support (€ 443.2 = €177.28 per month). </v>
          </cell>
          <cell r="AA364" t="str">
            <v>Gross</v>
          </cell>
          <cell r="AB364" t="str">
            <v>N</v>
          </cell>
          <cell r="AC364">
            <v>4.2857142857142856</v>
          </cell>
          <cell r="AD364">
            <v>1</v>
          </cell>
          <cell r="AE364" t="str">
            <v>-</v>
          </cell>
          <cell r="AF364" t="str">
            <v>-</v>
          </cell>
          <cell r="AG364">
            <v>221.6</v>
          </cell>
          <cell r="AH364" t="str">
            <v>month</v>
          </cell>
          <cell r="AI364" t="str">
            <v>-</v>
          </cell>
          <cell r="AJ364" t="str">
            <v>-</v>
          </cell>
          <cell r="AK364" t="str">
            <v>-</v>
          </cell>
          <cell r="AL364" t="str">
            <v>-</v>
          </cell>
          <cell r="AM364" t="str">
            <v>-</v>
          </cell>
          <cell r="AN364" t="str">
            <v>-</v>
          </cell>
          <cell r="AO364">
            <v>13</v>
          </cell>
          <cell r="AP364">
            <v>0.25</v>
          </cell>
          <cell r="AQ364" t="str">
            <v>-</v>
          </cell>
          <cell r="AR364" t="str">
            <v>-</v>
          </cell>
          <cell r="AS364" t="str">
            <v>-</v>
          </cell>
          <cell r="AT364" t="str">
            <v>-</v>
          </cell>
          <cell r="AU364">
            <v>177.28</v>
          </cell>
          <cell r="AV364" t="str">
            <v>month</v>
          </cell>
          <cell r="AW364" t="str">
            <v>-</v>
          </cell>
          <cell r="AX364" t="str">
            <v>-</v>
          </cell>
          <cell r="AY364" t="str">
            <v>-</v>
          </cell>
          <cell r="AZ364" t="str">
            <v>-</v>
          </cell>
          <cell r="BA364" t="str">
            <v>-</v>
          </cell>
          <cell r="BB364" t="str">
            <v>-</v>
          </cell>
          <cell r="BC364" t="str">
            <v>-</v>
          </cell>
          <cell r="BD364" t="str">
            <v>-</v>
          </cell>
          <cell r="BE364" t="str">
            <v>-</v>
          </cell>
          <cell r="BF364" t="str">
            <v>-</v>
          </cell>
          <cell r="BG364" t="str">
            <v>-</v>
          </cell>
          <cell r="BH364" t="str">
            <v>-</v>
          </cell>
          <cell r="BI364" t="str">
            <v>-</v>
          </cell>
          <cell r="BJ364" t="str">
            <v>-</v>
          </cell>
          <cell r="BK364" t="str">
            <v>-</v>
          </cell>
          <cell r="BL364" t="str">
            <v>-</v>
          </cell>
          <cell r="BM364">
            <v>0.43595041322314015</v>
          </cell>
          <cell r="BN364">
            <v>0.43595041322314015</v>
          </cell>
          <cell r="BO364" t="str">
            <v>-</v>
          </cell>
          <cell r="BP364" t="str">
            <v>-</v>
          </cell>
          <cell r="BQ364">
            <v>9569.0640516528856</v>
          </cell>
          <cell r="BR364">
            <v>797.4220043044071</v>
          </cell>
          <cell r="BS364">
            <v>184.02187808469458</v>
          </cell>
          <cell r="BT364">
            <v>36.804375616938913</v>
          </cell>
        </row>
        <row r="365">
          <cell r="A365" t="str">
            <v>Portugal2023100 / 100</v>
          </cell>
          <cell r="B365" t="str">
            <v>Portugal</v>
          </cell>
          <cell r="C365">
            <v>2023</v>
          </cell>
          <cell r="D365" t="str">
            <v>100 / 100</v>
          </cell>
          <cell r="E365">
            <v>23944.812999999998</v>
          </cell>
          <cell r="F365">
            <v>1995.4010833333332</v>
          </cell>
          <cell r="G365">
            <v>460.48071523627095</v>
          </cell>
          <cell r="H365">
            <v>92.096143047254188</v>
          </cell>
          <cell r="I365">
            <v>23944.812999999998</v>
          </cell>
          <cell r="J365">
            <v>1995.4010833333332</v>
          </cell>
          <cell r="K365">
            <v>460.48071523627095</v>
          </cell>
          <cell r="L365">
            <v>92.096143047254188</v>
          </cell>
          <cell r="M365" t="str">
            <v>..</v>
          </cell>
          <cell r="N365" t="str">
            <v>..</v>
          </cell>
          <cell r="O365" t="str">
            <v>..</v>
          </cell>
          <cell r="P365" t="str">
            <v>..</v>
          </cell>
          <cell r="Q365" t="str">
            <v>..</v>
          </cell>
          <cell r="R365" t="str">
            <v>..</v>
          </cell>
          <cell r="S365" t="str">
            <v>..</v>
          </cell>
          <cell r="T365" t="str">
            <v>..</v>
          </cell>
          <cell r="U365" t="str">
            <v>..</v>
          </cell>
          <cell r="V365">
            <v>17.285714285714299</v>
          </cell>
          <cell r="W365">
            <v>17.285714285714299</v>
          </cell>
          <cell r="X365">
            <v>0</v>
          </cell>
          <cell r="Y365" t="str">
            <v>-</v>
          </cell>
          <cell r="Z365" t="str">
            <v xml:space="preserve">Thirty days of initial parental leave that are 'effectively' reserved for the father, and three months of 'additional parental leave'. Initial parental leave is paid at 100 per cent of earnings with no ceiling on payments. Minimum payment is EUR 12.81 per day. Additional parental leave is paid at twenty-five per cent of average earnings with no ceiling on payments, with a minimum payment of EUR 6.41 </v>
          </cell>
          <cell r="AA365" t="str">
            <v>Gross</v>
          </cell>
          <cell r="AB365" t="str">
            <v>N</v>
          </cell>
          <cell r="AC365">
            <v>4.2857142857142856</v>
          </cell>
          <cell r="AD365">
            <v>1</v>
          </cell>
          <cell r="AE365" t="str">
            <v>-</v>
          </cell>
          <cell r="AF365" t="str">
            <v>-</v>
          </cell>
          <cell r="AG365">
            <v>384.3</v>
          </cell>
          <cell r="AH365" t="str">
            <v>day</v>
          </cell>
          <cell r="AI365" t="str">
            <v>-</v>
          </cell>
          <cell r="AJ365" t="str">
            <v>-</v>
          </cell>
          <cell r="AK365" t="str">
            <v>-</v>
          </cell>
          <cell r="AL365" t="str">
            <v>-</v>
          </cell>
          <cell r="AM365" t="str">
            <v>-</v>
          </cell>
          <cell r="AN365" t="str">
            <v>-</v>
          </cell>
          <cell r="AO365">
            <v>13</v>
          </cell>
          <cell r="AP365">
            <v>0.25</v>
          </cell>
          <cell r="AQ365" t="str">
            <v>-</v>
          </cell>
          <cell r="AR365" t="str">
            <v>-</v>
          </cell>
          <cell r="AS365" t="str">
            <v>-</v>
          </cell>
          <cell r="AT365" t="str">
            <v>-</v>
          </cell>
          <cell r="AU365">
            <v>192</v>
          </cell>
          <cell r="AV365" t="str">
            <v>month</v>
          </cell>
          <cell r="AW365" t="str">
            <v>-</v>
          </cell>
          <cell r="AX365" t="str">
            <v>-</v>
          </cell>
          <cell r="AY365" t="str">
            <v>-</v>
          </cell>
          <cell r="AZ365" t="str">
            <v>-</v>
          </cell>
          <cell r="BA365" t="str">
            <v>-</v>
          </cell>
          <cell r="BB365" t="str">
            <v>-</v>
          </cell>
          <cell r="BC365" t="str">
            <v>-</v>
          </cell>
          <cell r="BD365" t="str">
            <v>-</v>
          </cell>
          <cell r="BE365" t="str">
            <v>-</v>
          </cell>
          <cell r="BF365" t="str">
            <v>-</v>
          </cell>
          <cell r="BG365" t="str">
            <v>-</v>
          </cell>
          <cell r="BH365" t="str">
            <v>-</v>
          </cell>
          <cell r="BI365" t="str">
            <v>-</v>
          </cell>
          <cell r="BJ365" t="str">
            <v>-</v>
          </cell>
          <cell r="BK365" t="str">
            <v>-</v>
          </cell>
          <cell r="BL365" t="str">
            <v>-</v>
          </cell>
          <cell r="BM365">
            <v>0.43595041322314015</v>
          </cell>
          <cell r="BN365">
            <v>0.43595041322314015</v>
          </cell>
          <cell r="BO365" t="str">
            <v>-</v>
          </cell>
          <cell r="BP365" t="str">
            <v>-</v>
          </cell>
          <cell r="BQ365">
            <v>10438.751121900817</v>
          </cell>
          <cell r="BR365">
            <v>869.89592682506816</v>
          </cell>
          <cell r="BS365">
            <v>200.74675808853945</v>
          </cell>
          <cell r="BT365">
            <v>40.149351617707886</v>
          </cell>
        </row>
        <row r="366">
          <cell r="A366" t="str">
            <v>Portugal2024100 / 100</v>
          </cell>
          <cell r="B366" t="str">
            <v>Portugal</v>
          </cell>
          <cell r="C366">
            <v>2024</v>
          </cell>
          <cell r="D366" t="str">
            <v>100 / 100</v>
          </cell>
          <cell r="E366">
            <v>22588.01</v>
          </cell>
          <cell r="F366">
            <v>1882.3341666666665</v>
          </cell>
          <cell r="G366">
            <v>434.38814913960869</v>
          </cell>
          <cell r="H366">
            <v>86.877629827921737</v>
          </cell>
          <cell r="I366">
            <v>22588.01</v>
          </cell>
          <cell r="J366">
            <v>1882.3341666666665</v>
          </cell>
          <cell r="K366">
            <v>434.38814913960869</v>
          </cell>
          <cell r="L366">
            <v>86.877629827921737</v>
          </cell>
          <cell r="M366" t="str">
            <v>..</v>
          </cell>
          <cell r="N366" t="str">
            <v>..</v>
          </cell>
          <cell r="O366" t="str">
            <v>..</v>
          </cell>
          <cell r="P366" t="str">
            <v>..</v>
          </cell>
          <cell r="Q366" t="str">
            <v>..</v>
          </cell>
          <cell r="R366" t="str">
            <v>..</v>
          </cell>
          <cell r="S366" t="str">
            <v>..</v>
          </cell>
          <cell r="T366" t="str">
            <v>..</v>
          </cell>
          <cell r="U366" t="str">
            <v>..</v>
          </cell>
          <cell r="V366">
            <v>17.285714285714299</v>
          </cell>
          <cell r="W366">
            <v>17.285714285714299</v>
          </cell>
          <cell r="X366">
            <v>0</v>
          </cell>
          <cell r="Y366" t="str">
            <v>-</v>
          </cell>
          <cell r="Z366" t="str">
            <v>Thirty days of initial parental leave that are 'effectively' reserved for the father, and three months of 'additional parental leave'. Initial parental leave is paid at 100 per cent of earnings with no ceiling on payments. Minimum payment is EUR 12.81 per day. Additional parental leave is paid at fourty per cent of average earnings with no ceiling on payments, with a minimum payment of EUR 6.79</v>
          </cell>
          <cell r="AA366" t="str">
            <v>Gross</v>
          </cell>
          <cell r="AB366" t="str">
            <v>N</v>
          </cell>
          <cell r="AC366">
            <v>4.2857142857142856</v>
          </cell>
          <cell r="AD366">
            <v>1</v>
          </cell>
          <cell r="AE366" t="str">
            <v>-</v>
          </cell>
          <cell r="AF366" t="str">
            <v>-</v>
          </cell>
          <cell r="AG366">
            <v>13.58</v>
          </cell>
          <cell r="AH366" t="str">
            <v>day</v>
          </cell>
          <cell r="AI366" t="str">
            <v>-</v>
          </cell>
          <cell r="AJ366" t="str">
            <v>-</v>
          </cell>
          <cell r="AK366" t="str">
            <v>-</v>
          </cell>
          <cell r="AL366" t="str">
            <v>-</v>
          </cell>
          <cell r="AM366" t="str">
            <v>-</v>
          </cell>
          <cell r="AN366" t="str">
            <v>-</v>
          </cell>
          <cell r="AO366">
            <v>13</v>
          </cell>
          <cell r="AP366">
            <v>0.4</v>
          </cell>
          <cell r="AQ366" t="str">
            <v>-</v>
          </cell>
          <cell r="AR366" t="str">
            <v>-</v>
          </cell>
          <cell r="AS366">
            <v>6.79</v>
          </cell>
          <cell r="AT366" t="str">
            <v>day</v>
          </cell>
          <cell r="AU366" t="str">
            <v>-</v>
          </cell>
          <cell r="AV366" t="str">
            <v>-</v>
          </cell>
          <cell r="AW366" t="str">
            <v>-</v>
          </cell>
          <cell r="AX366" t="str">
            <v>-</v>
          </cell>
          <cell r="AY366" t="str">
            <v>-</v>
          </cell>
          <cell r="AZ366" t="str">
            <v>-</v>
          </cell>
          <cell r="BA366" t="str">
            <v>-</v>
          </cell>
          <cell r="BB366" t="str">
            <v>-</v>
          </cell>
          <cell r="BC366" t="str">
            <v>-</v>
          </cell>
          <cell r="BD366" t="str">
            <v>-</v>
          </cell>
          <cell r="BE366" t="str">
            <v>-</v>
          </cell>
          <cell r="BF366" t="str">
            <v>-</v>
          </cell>
          <cell r="BG366" t="str">
            <v>-</v>
          </cell>
          <cell r="BH366" t="str">
            <v>-</v>
          </cell>
          <cell r="BI366" t="str">
            <v>-</v>
          </cell>
          <cell r="BJ366" t="str">
            <v>-</v>
          </cell>
          <cell r="BK366" t="str">
            <v>-</v>
          </cell>
          <cell r="BL366" t="str">
            <v>-</v>
          </cell>
          <cell r="BM366">
            <v>0.54876033057851203</v>
          </cell>
          <cell r="BN366">
            <v>0.54876033057851203</v>
          </cell>
          <cell r="BO366" t="str">
            <v>-</v>
          </cell>
          <cell r="BP366" t="str">
            <v>-</v>
          </cell>
          <cell r="BQ366">
            <v>12395.403834710734</v>
          </cell>
          <cell r="BR366">
            <v>1032.9503195592279</v>
          </cell>
          <cell r="BS366">
            <v>238.37498432123965</v>
          </cell>
          <cell r="BT366">
            <v>47.67499686424793</v>
          </cell>
        </row>
        <row r="367">
          <cell r="A367" t="str">
            <v>Portugal2025100 / 100</v>
          </cell>
          <cell r="B367" t="str">
            <v>Portugal</v>
          </cell>
          <cell r="C367">
            <v>2025</v>
          </cell>
          <cell r="D367" t="str">
            <v>100 / 100</v>
          </cell>
          <cell r="E367">
            <v>22588.01</v>
          </cell>
          <cell r="F367">
            <v>1882.3341666666665</v>
          </cell>
          <cell r="G367">
            <v>434.38814913960869</v>
          </cell>
          <cell r="H367">
            <v>86.877629827921737</v>
          </cell>
          <cell r="I367">
            <v>22588.01</v>
          </cell>
          <cell r="J367">
            <v>1882.3341666666665</v>
          </cell>
          <cell r="K367">
            <v>434.38814913960869</v>
          </cell>
          <cell r="L367">
            <v>86.877629827921737</v>
          </cell>
          <cell r="M367" t="str">
            <v>..</v>
          </cell>
          <cell r="N367" t="str">
            <v>..</v>
          </cell>
          <cell r="O367" t="str">
            <v>..</v>
          </cell>
          <cell r="P367" t="str">
            <v>..</v>
          </cell>
          <cell r="Q367" t="str">
            <v>..</v>
          </cell>
          <cell r="R367" t="str">
            <v>..</v>
          </cell>
          <cell r="S367" t="str">
            <v>..</v>
          </cell>
          <cell r="T367" t="str">
            <v>..</v>
          </cell>
          <cell r="U367" t="str">
            <v>..</v>
          </cell>
          <cell r="V367">
            <v>17.285714285714299</v>
          </cell>
          <cell r="W367">
            <v>17.285714285714299</v>
          </cell>
          <cell r="X367">
            <v>0</v>
          </cell>
          <cell r="Y367" t="str">
            <v>-</v>
          </cell>
          <cell r="Z367" t="str">
            <v>Thirty days of initial parental leave that are 'effectively' reserved for the father, and three months of 'additional parental leave'. Initial parental leave is paid at 100 per cent of earnings with no ceiling on payments. Minimum payment is EUR 13.97 per day. Additional parental leave is paid at fourty per cent of average earnings with no ceiling on payments, with a minimum payment of EUR 6.97</v>
          </cell>
          <cell r="AA367" t="str">
            <v>Gross</v>
          </cell>
          <cell r="AB367" t="str">
            <v>N</v>
          </cell>
          <cell r="AC367">
            <v>4.2857142857142856</v>
          </cell>
          <cell r="AD367">
            <v>1</v>
          </cell>
          <cell r="AE367" t="str">
            <v>-</v>
          </cell>
          <cell r="AF367" t="str">
            <v>-</v>
          </cell>
          <cell r="AG367">
            <v>13.97</v>
          </cell>
          <cell r="AH367" t="str">
            <v>day</v>
          </cell>
          <cell r="AI367" t="str">
            <v>-</v>
          </cell>
          <cell r="AJ367" t="str">
            <v>-</v>
          </cell>
          <cell r="AK367" t="str">
            <v>-</v>
          </cell>
          <cell r="AL367" t="str">
            <v>-</v>
          </cell>
          <cell r="AM367" t="str">
            <v>-</v>
          </cell>
          <cell r="AN367" t="str">
            <v>-</v>
          </cell>
          <cell r="AO367">
            <v>13</v>
          </cell>
          <cell r="AP367">
            <v>0.4</v>
          </cell>
          <cell r="AQ367" t="str">
            <v>-</v>
          </cell>
          <cell r="AR367" t="str">
            <v>-</v>
          </cell>
          <cell r="AS367">
            <v>6.97</v>
          </cell>
          <cell r="AT367" t="str">
            <v>day</v>
          </cell>
          <cell r="AU367" t="str">
            <v>-</v>
          </cell>
          <cell r="AV367" t="str">
            <v>-</v>
          </cell>
          <cell r="AW367" t="str">
            <v>-</v>
          </cell>
          <cell r="AX367" t="str">
            <v>-</v>
          </cell>
          <cell r="AY367" t="str">
            <v>-</v>
          </cell>
          <cell r="AZ367" t="str">
            <v>-</v>
          </cell>
          <cell r="BA367" t="str">
            <v>-</v>
          </cell>
          <cell r="BB367" t="str">
            <v>-</v>
          </cell>
          <cell r="BC367" t="str">
            <v>-</v>
          </cell>
          <cell r="BD367" t="str">
            <v>-</v>
          </cell>
          <cell r="BE367" t="str">
            <v>-</v>
          </cell>
          <cell r="BF367" t="str">
            <v>-</v>
          </cell>
          <cell r="BG367" t="str">
            <v>-</v>
          </cell>
          <cell r="BH367" t="str">
            <v>-</v>
          </cell>
          <cell r="BI367" t="str">
            <v>-</v>
          </cell>
          <cell r="BJ367" t="str">
            <v>-</v>
          </cell>
          <cell r="BK367" t="str">
            <v>-</v>
          </cell>
          <cell r="BL367" t="str">
            <v>-</v>
          </cell>
          <cell r="BM367">
            <v>0.54876033057851203</v>
          </cell>
          <cell r="BN367">
            <v>0.54876033057851203</v>
          </cell>
          <cell r="BO367" t="str">
            <v>-</v>
          </cell>
          <cell r="BP367" t="str">
            <v>-</v>
          </cell>
          <cell r="BQ367">
            <v>12395.403834710734</v>
          </cell>
          <cell r="BR367">
            <v>1032.9503195592279</v>
          </cell>
          <cell r="BS367">
            <v>238.37498432123965</v>
          </cell>
          <cell r="BT367">
            <v>47.67499686424793</v>
          </cell>
        </row>
        <row r="368">
          <cell r="A368" t="str">
            <v>Slovak Republic2014100 / 100</v>
          </cell>
          <cell r="B368" t="str">
            <v>Slovak Republic</v>
          </cell>
          <cell r="C368">
            <v>2014</v>
          </cell>
          <cell r="D368" t="str">
            <v>100 / 100</v>
          </cell>
          <cell r="E368">
            <v>10731.460999999999</v>
          </cell>
          <cell r="F368">
            <v>894.28841666666665</v>
          </cell>
          <cell r="G368">
            <v>206.37583750644234</v>
          </cell>
          <cell r="H368">
            <v>41.275167501288465</v>
          </cell>
          <cell r="I368">
            <v>10731.460999999999</v>
          </cell>
          <cell r="J368">
            <v>894.28841666666665</v>
          </cell>
          <cell r="K368">
            <v>206.37583750644234</v>
          </cell>
          <cell r="L368">
            <v>41.275167501288465</v>
          </cell>
          <cell r="M368" t="str">
            <v>..</v>
          </cell>
          <cell r="N368" t="str">
            <v>..</v>
          </cell>
          <cell r="O368" t="str">
            <v>..</v>
          </cell>
          <cell r="P368" t="str">
            <v>..</v>
          </cell>
          <cell r="Q368" t="str">
            <v>..</v>
          </cell>
          <cell r="R368" t="str">
            <v>..</v>
          </cell>
          <cell r="S368" t="str">
            <v>..</v>
          </cell>
          <cell r="T368" t="str">
            <v>..</v>
          </cell>
          <cell r="U368" t="str">
            <v>..</v>
          </cell>
          <cell r="V368">
            <v>156</v>
          </cell>
          <cell r="W368">
            <v>28</v>
          </cell>
          <cell r="X368">
            <v>128</v>
          </cell>
          <cell r="Y368" t="str">
            <v>-</v>
          </cell>
          <cell r="Z368" t="str">
            <v>No statutory entitlement, but father's can receive 28 weeks of additional maternity benefit (which is higher than parental leave allowances for the average earner)</v>
          </cell>
          <cell r="AA368" t="str">
            <v>Gross</v>
          </cell>
          <cell r="AB368" t="str">
            <v>N</v>
          </cell>
          <cell r="AC368">
            <v>28</v>
          </cell>
          <cell r="AD368">
            <v>0.65</v>
          </cell>
          <cell r="AE368">
            <v>1341.4326249999999</v>
          </cell>
          <cell r="AF368" t="str">
            <v>month</v>
          </cell>
          <cell r="AG368">
            <v>203.2</v>
          </cell>
          <cell r="AH368" t="str">
            <v>month</v>
          </cell>
          <cell r="AI368" t="str">
            <v>-</v>
          </cell>
          <cell r="AJ368" t="str">
            <v>-</v>
          </cell>
          <cell r="AK368" t="str">
            <v>-</v>
          </cell>
          <cell r="AL368" t="str">
            <v>-</v>
          </cell>
          <cell r="AM368" t="str">
            <v>-</v>
          </cell>
          <cell r="AN368" t="str">
            <v>-</v>
          </cell>
          <cell r="AO368" t="str">
            <v>-</v>
          </cell>
          <cell r="AP368" t="str">
            <v>-</v>
          </cell>
          <cell r="AQ368" t="str">
            <v>-</v>
          </cell>
          <cell r="AR368" t="str">
            <v>-</v>
          </cell>
          <cell r="AS368" t="str">
            <v>-</v>
          </cell>
          <cell r="AT368" t="str">
            <v>-</v>
          </cell>
          <cell r="AU368" t="str">
            <v>-</v>
          </cell>
          <cell r="AV368" t="str">
            <v>-</v>
          </cell>
          <cell r="AW368" t="str">
            <v>-</v>
          </cell>
          <cell r="AX368" t="str">
            <v>-</v>
          </cell>
          <cell r="AY368" t="str">
            <v>-</v>
          </cell>
          <cell r="AZ368" t="str">
            <v>-</v>
          </cell>
          <cell r="BA368" t="str">
            <v>-</v>
          </cell>
          <cell r="BB368" t="str">
            <v>-</v>
          </cell>
          <cell r="BC368" t="str">
            <v>-</v>
          </cell>
          <cell r="BD368" t="str">
            <v>-</v>
          </cell>
          <cell r="BE368" t="str">
            <v>-</v>
          </cell>
          <cell r="BF368" t="str">
            <v>-</v>
          </cell>
          <cell r="BG368" t="str">
            <v>-</v>
          </cell>
          <cell r="BH368" t="str">
            <v>-</v>
          </cell>
          <cell r="BI368" t="str">
            <v>-</v>
          </cell>
          <cell r="BJ368" t="str">
            <v>-</v>
          </cell>
          <cell r="BK368" t="str">
            <v>-</v>
          </cell>
          <cell r="BL368" t="str">
            <v>-</v>
          </cell>
          <cell r="BM368">
            <v>0.65</v>
          </cell>
          <cell r="BN368">
            <v>0.11666666666666667</v>
          </cell>
          <cell r="BO368" t="str">
            <v>-</v>
          </cell>
          <cell r="BP368" t="str">
            <v>-</v>
          </cell>
          <cell r="BQ368">
            <v>6975.4496499999996</v>
          </cell>
          <cell r="BR368">
            <v>581.28747083333337</v>
          </cell>
          <cell r="BS368">
            <v>134.14429437918753</v>
          </cell>
          <cell r="BT368">
            <v>26.828858875837504</v>
          </cell>
        </row>
        <row r="369">
          <cell r="A369" t="str">
            <v>Slovak Republic2015100 / 100</v>
          </cell>
          <cell r="B369" t="str">
            <v>Slovak Republic</v>
          </cell>
          <cell r="C369">
            <v>2015</v>
          </cell>
          <cell r="D369" t="str">
            <v>100 / 100</v>
          </cell>
          <cell r="E369">
            <v>10982.973</v>
          </cell>
          <cell r="F369">
            <v>915.24775</v>
          </cell>
          <cell r="G369">
            <v>211.21264394341492</v>
          </cell>
          <cell r="H369">
            <v>42.242528788682982</v>
          </cell>
          <cell r="I369">
            <v>10982.973</v>
          </cell>
          <cell r="J369">
            <v>915.24775</v>
          </cell>
          <cell r="K369">
            <v>211.21264394341492</v>
          </cell>
          <cell r="L369">
            <v>42.242528788682982</v>
          </cell>
          <cell r="M369" t="str">
            <v>..</v>
          </cell>
          <cell r="N369" t="str">
            <v>..</v>
          </cell>
          <cell r="O369" t="str">
            <v>..</v>
          </cell>
          <cell r="P369" t="str">
            <v>..</v>
          </cell>
          <cell r="Q369" t="str">
            <v>..</v>
          </cell>
          <cell r="R369" t="str">
            <v>..</v>
          </cell>
          <cell r="S369" t="str">
            <v>..</v>
          </cell>
          <cell r="T369" t="str">
            <v>..</v>
          </cell>
          <cell r="U369" t="str">
            <v>..</v>
          </cell>
          <cell r="V369">
            <v>156</v>
          </cell>
          <cell r="W369">
            <v>28</v>
          </cell>
          <cell r="X369">
            <v>128</v>
          </cell>
          <cell r="Y369" t="str">
            <v>-</v>
          </cell>
          <cell r="Z369" t="str">
            <v>No statutory entitlement, but father's can receive 28 weeks of additional maternity benefit (which is higher than parental leave allowances for the average earner)</v>
          </cell>
          <cell r="AA369" t="str">
            <v>Gross</v>
          </cell>
          <cell r="AB369" t="str">
            <v>N</v>
          </cell>
          <cell r="AC369">
            <v>28</v>
          </cell>
          <cell r="AD369">
            <v>0.65</v>
          </cell>
          <cell r="AE369">
            <v>1372.871625</v>
          </cell>
          <cell r="AF369" t="str">
            <v>month</v>
          </cell>
          <cell r="AG369">
            <v>203.2</v>
          </cell>
          <cell r="AH369" t="str">
            <v>month</v>
          </cell>
          <cell r="AI369" t="str">
            <v>-</v>
          </cell>
          <cell r="AJ369" t="str">
            <v>-</v>
          </cell>
          <cell r="AK369" t="str">
            <v>-</v>
          </cell>
          <cell r="AL369" t="str">
            <v>-</v>
          </cell>
          <cell r="AM369" t="str">
            <v>-</v>
          </cell>
          <cell r="AN369" t="str">
            <v>-</v>
          </cell>
          <cell r="AO369" t="str">
            <v>-</v>
          </cell>
          <cell r="AP369" t="str">
            <v>-</v>
          </cell>
          <cell r="AQ369" t="str">
            <v>-</v>
          </cell>
          <cell r="AR369" t="str">
            <v>-</v>
          </cell>
          <cell r="AS369" t="str">
            <v>-</v>
          </cell>
          <cell r="AT369" t="str">
            <v>-</v>
          </cell>
          <cell r="AU369" t="str">
            <v>-</v>
          </cell>
          <cell r="AV369" t="str">
            <v>-</v>
          </cell>
          <cell r="AW369" t="str">
            <v>-</v>
          </cell>
          <cell r="AX369" t="str">
            <v>-</v>
          </cell>
          <cell r="AY369" t="str">
            <v>-</v>
          </cell>
          <cell r="AZ369" t="str">
            <v>-</v>
          </cell>
          <cell r="BA369" t="str">
            <v>-</v>
          </cell>
          <cell r="BB369" t="str">
            <v>-</v>
          </cell>
          <cell r="BC369" t="str">
            <v>-</v>
          </cell>
          <cell r="BD369" t="str">
            <v>-</v>
          </cell>
          <cell r="BE369" t="str">
            <v>-</v>
          </cell>
          <cell r="BF369" t="str">
            <v>-</v>
          </cell>
          <cell r="BG369" t="str">
            <v>-</v>
          </cell>
          <cell r="BH369" t="str">
            <v>-</v>
          </cell>
          <cell r="BI369" t="str">
            <v>-</v>
          </cell>
          <cell r="BJ369" t="str">
            <v>-</v>
          </cell>
          <cell r="BK369" t="str">
            <v>-</v>
          </cell>
          <cell r="BL369" t="str">
            <v>-</v>
          </cell>
          <cell r="BM369">
            <v>0.65</v>
          </cell>
          <cell r="BN369">
            <v>0.11666666666666667</v>
          </cell>
          <cell r="BO369" t="str">
            <v>-</v>
          </cell>
          <cell r="BP369" t="str">
            <v>-</v>
          </cell>
          <cell r="BQ369">
            <v>7138.9324500000002</v>
          </cell>
          <cell r="BR369">
            <v>594.91103750000002</v>
          </cell>
          <cell r="BS369">
            <v>137.28821856321971</v>
          </cell>
          <cell r="BT369">
            <v>27.457643712643939</v>
          </cell>
        </row>
        <row r="370">
          <cell r="A370" t="str">
            <v>Slovak Republic2016100 / 100</v>
          </cell>
          <cell r="B370" t="str">
            <v>Slovak Republic</v>
          </cell>
          <cell r="C370">
            <v>2016</v>
          </cell>
          <cell r="D370" t="str">
            <v>100 / 100</v>
          </cell>
          <cell r="E370">
            <v>11307.424999999999</v>
          </cell>
          <cell r="F370">
            <v>942.28541666666661</v>
          </cell>
          <cell r="G370">
            <v>217.45215347810364</v>
          </cell>
          <cell r="H370">
            <v>43.490430695620731</v>
          </cell>
          <cell r="I370">
            <v>11307.424999999999</v>
          </cell>
          <cell r="J370">
            <v>942.28541666666661</v>
          </cell>
          <cell r="K370">
            <v>217.45215347810364</v>
          </cell>
          <cell r="L370">
            <v>43.490430695620731</v>
          </cell>
          <cell r="M370" t="str">
            <v>..</v>
          </cell>
          <cell r="N370" t="str">
            <v>..</v>
          </cell>
          <cell r="O370" t="str">
            <v>..</v>
          </cell>
          <cell r="P370" t="str">
            <v>..</v>
          </cell>
          <cell r="Q370" t="str">
            <v>..</v>
          </cell>
          <cell r="R370" t="str">
            <v>..</v>
          </cell>
          <cell r="S370" t="str">
            <v>..</v>
          </cell>
          <cell r="T370" t="str">
            <v>..</v>
          </cell>
          <cell r="U370" t="str">
            <v>..</v>
          </cell>
          <cell r="V370">
            <v>156</v>
          </cell>
          <cell r="W370">
            <v>28</v>
          </cell>
          <cell r="X370">
            <v>128</v>
          </cell>
          <cell r="Y370" t="str">
            <v>-</v>
          </cell>
          <cell r="Z370" t="str">
            <v>No statutory entitlement, but father's can receive 28 weeks of additional maternity benefit (which is higher than parental leave allowances for the average earner)</v>
          </cell>
          <cell r="AA370" t="str">
            <v>Gross</v>
          </cell>
          <cell r="AB370" t="str">
            <v>N</v>
          </cell>
          <cell r="AC370">
            <v>28</v>
          </cell>
          <cell r="AD370">
            <v>0.7</v>
          </cell>
          <cell r="AE370">
            <v>1413.4281249999999</v>
          </cell>
          <cell r="AF370" t="str">
            <v>month</v>
          </cell>
          <cell r="AG370">
            <v>203.2</v>
          </cell>
          <cell r="AH370" t="str">
            <v>month</v>
          </cell>
          <cell r="AI370" t="str">
            <v>-</v>
          </cell>
          <cell r="AJ370" t="str">
            <v>-</v>
          </cell>
          <cell r="AK370" t="str">
            <v>-</v>
          </cell>
          <cell r="AL370" t="str">
            <v>-</v>
          </cell>
          <cell r="AM370" t="str">
            <v>-</v>
          </cell>
          <cell r="AN370" t="str">
            <v>-</v>
          </cell>
          <cell r="AO370" t="str">
            <v>-</v>
          </cell>
          <cell r="AP370" t="str">
            <v>-</v>
          </cell>
          <cell r="AQ370" t="str">
            <v>-</v>
          </cell>
          <cell r="AR370" t="str">
            <v>-</v>
          </cell>
          <cell r="AS370" t="str">
            <v>-</v>
          </cell>
          <cell r="AT370" t="str">
            <v>-</v>
          </cell>
          <cell r="AU370" t="str">
            <v>-</v>
          </cell>
          <cell r="AV370" t="str">
            <v>-</v>
          </cell>
          <cell r="AW370" t="str">
            <v>-</v>
          </cell>
          <cell r="AX370" t="str">
            <v>-</v>
          </cell>
          <cell r="AY370" t="str">
            <v>-</v>
          </cell>
          <cell r="AZ370" t="str">
            <v>-</v>
          </cell>
          <cell r="BA370" t="str">
            <v>-</v>
          </cell>
          <cell r="BB370" t="str">
            <v>-</v>
          </cell>
          <cell r="BC370" t="str">
            <v>-</v>
          </cell>
          <cell r="BD370" t="str">
            <v>-</v>
          </cell>
          <cell r="BE370" t="str">
            <v>-</v>
          </cell>
          <cell r="BF370" t="str">
            <v>-</v>
          </cell>
          <cell r="BG370" t="str">
            <v>-</v>
          </cell>
          <cell r="BH370" t="str">
            <v>-</v>
          </cell>
          <cell r="BI370" t="str">
            <v>-</v>
          </cell>
          <cell r="BJ370" t="str">
            <v>-</v>
          </cell>
          <cell r="BK370" t="str">
            <v>-</v>
          </cell>
          <cell r="BL370" t="str">
            <v>-</v>
          </cell>
          <cell r="BM370">
            <v>0.7</v>
          </cell>
          <cell r="BN370">
            <v>0.12564102564102564</v>
          </cell>
          <cell r="BO370" t="str">
            <v>-</v>
          </cell>
          <cell r="BP370" t="str">
            <v>-</v>
          </cell>
          <cell r="BQ370">
            <v>7915.1974999999993</v>
          </cell>
          <cell r="BR370">
            <v>659.59979166666653</v>
          </cell>
          <cell r="BS370">
            <v>152.21650743467254</v>
          </cell>
          <cell r="BT370">
            <v>30.443301486934509</v>
          </cell>
        </row>
        <row r="371">
          <cell r="A371" t="str">
            <v>Slovak Republic2017100 / 100</v>
          </cell>
          <cell r="B371" t="str">
            <v>Slovak Republic</v>
          </cell>
          <cell r="C371">
            <v>2017</v>
          </cell>
          <cell r="D371" t="str">
            <v>100 / 100</v>
          </cell>
          <cell r="E371">
            <v>11744.648999999999</v>
          </cell>
          <cell r="F371">
            <v>978.72074999999995</v>
          </cell>
          <cell r="G371">
            <v>225.86037200286154</v>
          </cell>
          <cell r="H371">
            <v>45.172074400572306</v>
          </cell>
          <cell r="I371">
            <v>11744.648999999999</v>
          </cell>
          <cell r="J371">
            <v>978.72074999999995</v>
          </cell>
          <cell r="K371">
            <v>225.86037200286154</v>
          </cell>
          <cell r="L371">
            <v>45.172074400572306</v>
          </cell>
          <cell r="M371" t="str">
            <v>..</v>
          </cell>
          <cell r="N371" t="str">
            <v>..</v>
          </cell>
          <cell r="O371" t="str">
            <v>..</v>
          </cell>
          <cell r="P371" t="str">
            <v>..</v>
          </cell>
          <cell r="Q371" t="str">
            <v>..</v>
          </cell>
          <cell r="R371" t="str">
            <v>..</v>
          </cell>
          <cell r="S371" t="str">
            <v>..</v>
          </cell>
          <cell r="T371" t="str">
            <v>..</v>
          </cell>
          <cell r="U371" t="str">
            <v>..</v>
          </cell>
          <cell r="V371">
            <v>156</v>
          </cell>
          <cell r="W371">
            <v>28</v>
          </cell>
          <cell r="X371">
            <v>128</v>
          </cell>
          <cell r="Y371" t="str">
            <v>-</v>
          </cell>
          <cell r="Z371" t="str">
            <v>No statutory entitlement, but father's can receive 28 weeks of additional maternity benefit (which is higher than parental leave allowances for the average earner)</v>
          </cell>
          <cell r="AA371" t="str">
            <v>Gross</v>
          </cell>
          <cell r="AB371" t="str">
            <v>N</v>
          </cell>
          <cell r="AC371">
            <v>28</v>
          </cell>
          <cell r="AD371">
            <v>0.75</v>
          </cell>
          <cell r="AE371">
            <v>1957.4414999999999</v>
          </cell>
          <cell r="AF371" t="str">
            <v>month</v>
          </cell>
          <cell r="AG371">
            <v>213.2</v>
          </cell>
          <cell r="AH371" t="str">
            <v>month</v>
          </cell>
          <cell r="AI371" t="str">
            <v>-</v>
          </cell>
          <cell r="AJ371" t="str">
            <v>-</v>
          </cell>
          <cell r="AK371" t="str">
            <v>-</v>
          </cell>
          <cell r="AL371" t="str">
            <v>-</v>
          </cell>
          <cell r="AM371" t="str">
            <v>-</v>
          </cell>
          <cell r="AN371" t="str">
            <v>-</v>
          </cell>
          <cell r="AO371" t="str">
            <v>-</v>
          </cell>
          <cell r="AP371" t="str">
            <v>-</v>
          </cell>
          <cell r="AQ371" t="str">
            <v>-</v>
          </cell>
          <cell r="AR371" t="str">
            <v>-</v>
          </cell>
          <cell r="AS371" t="str">
            <v>-</v>
          </cell>
          <cell r="AT371" t="str">
            <v>-</v>
          </cell>
          <cell r="AU371" t="str">
            <v>-</v>
          </cell>
          <cell r="AV371" t="str">
            <v>-</v>
          </cell>
          <cell r="AW371" t="str">
            <v>-</v>
          </cell>
          <cell r="AX371" t="str">
            <v>-</v>
          </cell>
          <cell r="AY371" t="str">
            <v>-</v>
          </cell>
          <cell r="AZ371" t="str">
            <v>-</v>
          </cell>
          <cell r="BA371" t="str">
            <v>-</v>
          </cell>
          <cell r="BB371" t="str">
            <v>-</v>
          </cell>
          <cell r="BC371" t="str">
            <v>-</v>
          </cell>
          <cell r="BD371" t="str">
            <v>-</v>
          </cell>
          <cell r="BE371" t="str">
            <v>-</v>
          </cell>
          <cell r="BF371" t="str">
            <v>-</v>
          </cell>
          <cell r="BG371" t="str">
            <v>-</v>
          </cell>
          <cell r="BH371" t="str">
            <v>-</v>
          </cell>
          <cell r="BI371" t="str">
            <v>-</v>
          </cell>
          <cell r="BJ371" t="str">
            <v>-</v>
          </cell>
          <cell r="BK371" t="str">
            <v>-</v>
          </cell>
          <cell r="BL371" t="str">
            <v>-</v>
          </cell>
          <cell r="BM371">
            <v>0.75</v>
          </cell>
          <cell r="BN371">
            <v>0.13461538461538461</v>
          </cell>
          <cell r="BO371" t="str">
            <v>-</v>
          </cell>
          <cell r="BP371" t="str">
            <v>-</v>
          </cell>
          <cell r="BQ371">
            <v>8808.48675</v>
          </cell>
          <cell r="BR371">
            <v>734.04056249999996</v>
          </cell>
          <cell r="BS371">
            <v>169.39527900214614</v>
          </cell>
          <cell r="BT371">
            <v>33.879055800429228</v>
          </cell>
        </row>
        <row r="372">
          <cell r="A372" t="str">
            <v>Slovak Republic2018100 / 100</v>
          </cell>
          <cell r="B372" t="str">
            <v>Slovak Republic</v>
          </cell>
          <cell r="C372">
            <v>2018</v>
          </cell>
          <cell r="D372" t="str">
            <v>100 / 100</v>
          </cell>
          <cell r="E372">
            <v>12455.317999999999</v>
          </cell>
          <cell r="F372">
            <v>1037.9431666666667</v>
          </cell>
          <cell r="G372">
            <v>239.52718867068208</v>
          </cell>
          <cell r="H372">
            <v>47.905437734136413</v>
          </cell>
          <cell r="I372">
            <v>12455.317999999999</v>
          </cell>
          <cell r="J372">
            <v>1037.9431666666667</v>
          </cell>
          <cell r="K372">
            <v>239.52718867068208</v>
          </cell>
          <cell r="L372">
            <v>47.905437734136413</v>
          </cell>
          <cell r="M372" t="str">
            <v>..</v>
          </cell>
          <cell r="N372" t="str">
            <v>..</v>
          </cell>
          <cell r="O372" t="str">
            <v>..</v>
          </cell>
          <cell r="P372" t="str">
            <v>..</v>
          </cell>
          <cell r="Q372" t="str">
            <v>..</v>
          </cell>
          <cell r="R372" t="str">
            <v>..</v>
          </cell>
          <cell r="S372" t="str">
            <v>..</v>
          </cell>
          <cell r="T372" t="str">
            <v>..</v>
          </cell>
          <cell r="U372" t="str">
            <v>..</v>
          </cell>
          <cell r="V372">
            <v>156</v>
          </cell>
          <cell r="W372">
            <v>28</v>
          </cell>
          <cell r="X372">
            <v>128</v>
          </cell>
          <cell r="Y372" t="str">
            <v>-</v>
          </cell>
          <cell r="Z372" t="str">
            <v>No statutory entitlement, but father's can receive 28 weeks of additional maternity benefit (which is higher than parental leave allowances for the average earner)</v>
          </cell>
          <cell r="AA372" t="str">
            <v>Gross</v>
          </cell>
          <cell r="AB372" t="str">
            <v>N</v>
          </cell>
          <cell r="AC372">
            <v>28</v>
          </cell>
          <cell r="AD372">
            <v>0.75</v>
          </cell>
          <cell r="AE372">
            <v>2075.8863333333334</v>
          </cell>
          <cell r="AF372" t="str">
            <v>month</v>
          </cell>
          <cell r="AG372">
            <v>214.7</v>
          </cell>
          <cell r="AH372" t="str">
            <v>month</v>
          </cell>
          <cell r="AI372" t="str">
            <v>-</v>
          </cell>
          <cell r="AJ372" t="str">
            <v>-</v>
          </cell>
          <cell r="AK372" t="str">
            <v>-</v>
          </cell>
          <cell r="AL372" t="str">
            <v>-</v>
          </cell>
          <cell r="AM372" t="str">
            <v>-</v>
          </cell>
          <cell r="AN372" t="str">
            <v>-</v>
          </cell>
          <cell r="AO372" t="str">
            <v>-</v>
          </cell>
          <cell r="AP372" t="str">
            <v>-</v>
          </cell>
          <cell r="AQ372" t="str">
            <v>-</v>
          </cell>
          <cell r="AR372" t="str">
            <v>-</v>
          </cell>
          <cell r="AS372" t="str">
            <v>-</v>
          </cell>
          <cell r="AT372" t="str">
            <v>-</v>
          </cell>
          <cell r="AU372" t="str">
            <v>-</v>
          </cell>
          <cell r="AV372" t="str">
            <v>-</v>
          </cell>
          <cell r="AW372" t="str">
            <v>-</v>
          </cell>
          <cell r="AX372" t="str">
            <v>-</v>
          </cell>
          <cell r="AY372" t="str">
            <v>-</v>
          </cell>
          <cell r="AZ372" t="str">
            <v>-</v>
          </cell>
          <cell r="BA372" t="str">
            <v>-</v>
          </cell>
          <cell r="BB372" t="str">
            <v>-</v>
          </cell>
          <cell r="BC372" t="str">
            <v>-</v>
          </cell>
          <cell r="BD372" t="str">
            <v>-</v>
          </cell>
          <cell r="BE372" t="str">
            <v>-</v>
          </cell>
          <cell r="BF372" t="str">
            <v>-</v>
          </cell>
          <cell r="BG372" t="str">
            <v>-</v>
          </cell>
          <cell r="BH372" t="str">
            <v>-</v>
          </cell>
          <cell r="BI372" t="str">
            <v>-</v>
          </cell>
          <cell r="BJ372" t="str">
            <v>-</v>
          </cell>
          <cell r="BK372" t="str">
            <v>-</v>
          </cell>
          <cell r="BL372" t="str">
            <v>-</v>
          </cell>
          <cell r="BM372">
            <v>0.75</v>
          </cell>
          <cell r="BN372">
            <v>0.13461538461538461</v>
          </cell>
          <cell r="BO372" t="str">
            <v>-</v>
          </cell>
          <cell r="BP372" t="str">
            <v>-</v>
          </cell>
          <cell r="BQ372">
            <v>9341.4884999999995</v>
          </cell>
          <cell r="BR372">
            <v>778.45737499999996</v>
          </cell>
          <cell r="BS372">
            <v>179.64539150301155</v>
          </cell>
          <cell r="BT372">
            <v>35.929078300602313</v>
          </cell>
        </row>
        <row r="373">
          <cell r="A373" t="str">
            <v>Slovak Republic2019100 / 100</v>
          </cell>
          <cell r="B373" t="str">
            <v>Slovak Republic</v>
          </cell>
          <cell r="C373">
            <v>2019</v>
          </cell>
          <cell r="D373" t="str">
            <v>100 / 100</v>
          </cell>
          <cell r="E373">
            <v>13153.883</v>
          </cell>
          <cell r="F373">
            <v>1096.1569166666666</v>
          </cell>
          <cell r="G373">
            <v>252.96123431718701</v>
          </cell>
          <cell r="H373">
            <v>50.592246863437403</v>
          </cell>
          <cell r="I373">
            <v>13153.883</v>
          </cell>
          <cell r="J373">
            <v>1096.1569166666666</v>
          </cell>
          <cell r="K373">
            <v>252.96123431718701</v>
          </cell>
          <cell r="L373">
            <v>50.592246863437403</v>
          </cell>
          <cell r="M373" t="str">
            <v>..</v>
          </cell>
          <cell r="N373" t="str">
            <v>..</v>
          </cell>
          <cell r="O373" t="str">
            <v>..</v>
          </cell>
          <cell r="P373" t="str">
            <v>..</v>
          </cell>
          <cell r="Q373" t="str">
            <v>..</v>
          </cell>
          <cell r="R373" t="str">
            <v>..</v>
          </cell>
          <cell r="S373" t="str">
            <v>..</v>
          </cell>
          <cell r="T373" t="str">
            <v>..</v>
          </cell>
          <cell r="U373" t="str">
            <v>..</v>
          </cell>
          <cell r="V373">
            <v>156</v>
          </cell>
          <cell r="W373">
            <v>28</v>
          </cell>
          <cell r="X373">
            <v>128</v>
          </cell>
          <cell r="Y373" t="str">
            <v>-</v>
          </cell>
          <cell r="Z373" t="str">
            <v>No statutory entitlement, but father's can receive 28 weeks of additional maternity benefit (which is higher than parental leave allowances for the average earner)</v>
          </cell>
          <cell r="AA373" t="str">
            <v>Gross</v>
          </cell>
          <cell r="AB373" t="str">
            <v>N</v>
          </cell>
          <cell r="AC373">
            <v>28</v>
          </cell>
          <cell r="AD373">
            <v>0.75</v>
          </cell>
          <cell r="AE373">
            <v>2192.3138333333332</v>
          </cell>
          <cell r="AF373" t="str">
            <v>month</v>
          </cell>
          <cell r="AG373">
            <v>214.7</v>
          </cell>
          <cell r="AH373" t="str">
            <v>month</v>
          </cell>
          <cell r="AI373" t="str">
            <v>-</v>
          </cell>
          <cell r="AJ373" t="str">
            <v>-</v>
          </cell>
          <cell r="AK373" t="str">
            <v>-</v>
          </cell>
          <cell r="AL373" t="str">
            <v>-</v>
          </cell>
          <cell r="AM373" t="str">
            <v>-</v>
          </cell>
          <cell r="AN373" t="str">
            <v>-</v>
          </cell>
          <cell r="AO373" t="str">
            <v>-</v>
          </cell>
          <cell r="AP373" t="str">
            <v>-</v>
          </cell>
          <cell r="AQ373" t="str">
            <v>-</v>
          </cell>
          <cell r="AR373" t="str">
            <v>-</v>
          </cell>
          <cell r="AS373" t="str">
            <v>-</v>
          </cell>
          <cell r="AT373" t="str">
            <v>-</v>
          </cell>
          <cell r="AU373" t="str">
            <v>-</v>
          </cell>
          <cell r="AV373" t="str">
            <v>-</v>
          </cell>
          <cell r="AW373" t="str">
            <v>-</v>
          </cell>
          <cell r="AX373" t="str">
            <v>-</v>
          </cell>
          <cell r="AY373" t="str">
            <v>-</v>
          </cell>
          <cell r="AZ373" t="str">
            <v>-</v>
          </cell>
          <cell r="BA373" t="str">
            <v>-</v>
          </cell>
          <cell r="BB373" t="str">
            <v>-</v>
          </cell>
          <cell r="BC373" t="str">
            <v>-</v>
          </cell>
          <cell r="BD373" t="str">
            <v>-</v>
          </cell>
          <cell r="BE373" t="str">
            <v>-</v>
          </cell>
          <cell r="BF373" t="str">
            <v>-</v>
          </cell>
          <cell r="BG373" t="str">
            <v>-</v>
          </cell>
          <cell r="BH373" t="str">
            <v>-</v>
          </cell>
          <cell r="BI373" t="str">
            <v>-</v>
          </cell>
          <cell r="BJ373" t="str">
            <v>-</v>
          </cell>
          <cell r="BK373" t="str">
            <v>-</v>
          </cell>
          <cell r="BL373" t="str">
            <v>-</v>
          </cell>
          <cell r="BM373">
            <v>0.75</v>
          </cell>
          <cell r="BN373">
            <v>0.13461538461538461</v>
          </cell>
          <cell r="BO373" t="str">
            <v>-</v>
          </cell>
          <cell r="BP373" t="str">
            <v>-</v>
          </cell>
          <cell r="BQ373">
            <v>9865.4122499999994</v>
          </cell>
          <cell r="BR373">
            <v>822.11768749999987</v>
          </cell>
          <cell r="BS373">
            <v>189.72092573789024</v>
          </cell>
          <cell r="BT373">
            <v>37.944185147578054</v>
          </cell>
        </row>
        <row r="374">
          <cell r="A374" t="str">
            <v>Slovak Republic2020100 / 100</v>
          </cell>
          <cell r="B374" t="str">
            <v>Slovak Republic</v>
          </cell>
          <cell r="C374">
            <v>2020</v>
          </cell>
          <cell r="D374" t="str">
            <v>100 / 100</v>
          </cell>
          <cell r="E374">
            <v>13417.93</v>
          </cell>
          <cell r="F374">
            <v>1118.1608333333334</v>
          </cell>
          <cell r="G374">
            <v>258.03910030077151</v>
          </cell>
          <cell r="H374">
            <v>51.607820060154303</v>
          </cell>
          <cell r="I374">
            <v>13417.93</v>
          </cell>
          <cell r="J374">
            <v>1118.1608333333334</v>
          </cell>
          <cell r="K374">
            <v>258.03910030077151</v>
          </cell>
          <cell r="L374">
            <v>51.607820060154303</v>
          </cell>
          <cell r="M374" t="str">
            <v>..</v>
          </cell>
          <cell r="N374" t="str">
            <v>..</v>
          </cell>
          <cell r="O374" t="str">
            <v>..</v>
          </cell>
          <cell r="P374" t="str">
            <v>..</v>
          </cell>
          <cell r="Q374" t="str">
            <v>..</v>
          </cell>
          <cell r="R374" t="str">
            <v>..</v>
          </cell>
          <cell r="S374" t="str">
            <v>..</v>
          </cell>
          <cell r="T374" t="str">
            <v>..</v>
          </cell>
          <cell r="U374" t="str">
            <v>..</v>
          </cell>
          <cell r="V374">
            <v>156</v>
          </cell>
          <cell r="W374">
            <v>28</v>
          </cell>
          <cell r="X374">
            <v>128</v>
          </cell>
          <cell r="Y374" t="str">
            <v>-</v>
          </cell>
          <cell r="Z374" t="str">
            <v>No statutory entitlement, but father's can receive 28 weeks of additional maternity benefit (which is higher than parental leave allowances for the average earner)</v>
          </cell>
          <cell r="AA374" t="str">
            <v>Gross</v>
          </cell>
          <cell r="AB374" t="str">
            <v>N</v>
          </cell>
          <cell r="AC374">
            <v>28</v>
          </cell>
          <cell r="AD374">
            <v>0.75</v>
          </cell>
          <cell r="AE374">
            <v>2236.3216666666667</v>
          </cell>
          <cell r="AF374" t="str">
            <v>month</v>
          </cell>
          <cell r="AG374">
            <v>370</v>
          </cell>
          <cell r="AH374" t="str">
            <v>month</v>
          </cell>
          <cell r="AI374" t="str">
            <v>-</v>
          </cell>
          <cell r="AJ374" t="str">
            <v>-</v>
          </cell>
          <cell r="AK374" t="str">
            <v>-</v>
          </cell>
          <cell r="AL374" t="str">
            <v>-</v>
          </cell>
          <cell r="AM374" t="str">
            <v>-</v>
          </cell>
          <cell r="AN374" t="str">
            <v>-</v>
          </cell>
          <cell r="AO374" t="str">
            <v>-</v>
          </cell>
          <cell r="AP374" t="str">
            <v>-</v>
          </cell>
          <cell r="AQ374" t="str">
            <v>-</v>
          </cell>
          <cell r="AR374" t="str">
            <v>-</v>
          </cell>
          <cell r="AS374" t="str">
            <v>-</v>
          </cell>
          <cell r="AT374" t="str">
            <v>-</v>
          </cell>
          <cell r="AU374" t="str">
            <v>-</v>
          </cell>
          <cell r="AV374" t="str">
            <v>-</v>
          </cell>
          <cell r="AW374" t="str">
            <v>-</v>
          </cell>
          <cell r="AX374" t="str">
            <v>-</v>
          </cell>
          <cell r="AY374" t="str">
            <v>-</v>
          </cell>
          <cell r="AZ374" t="str">
            <v>-</v>
          </cell>
          <cell r="BA374" t="str">
            <v>-</v>
          </cell>
          <cell r="BB374" t="str">
            <v>-</v>
          </cell>
          <cell r="BC374" t="str">
            <v>-</v>
          </cell>
          <cell r="BD374" t="str">
            <v>-</v>
          </cell>
          <cell r="BE374" t="str">
            <v>-</v>
          </cell>
          <cell r="BF374" t="str">
            <v>-</v>
          </cell>
          <cell r="BG374" t="str">
            <v>-</v>
          </cell>
          <cell r="BH374" t="str">
            <v>-</v>
          </cell>
          <cell r="BI374" t="str">
            <v>-</v>
          </cell>
          <cell r="BJ374" t="str">
            <v>-</v>
          </cell>
          <cell r="BK374" t="str">
            <v>-</v>
          </cell>
          <cell r="BL374" t="str">
            <v>-</v>
          </cell>
          <cell r="BM374">
            <v>0.75</v>
          </cell>
          <cell r="BN374">
            <v>0.13461538461538461</v>
          </cell>
          <cell r="BO374" t="str">
            <v>-</v>
          </cell>
          <cell r="BP374" t="str">
            <v>-</v>
          </cell>
          <cell r="BQ374">
            <v>10063.4475</v>
          </cell>
          <cell r="BR374">
            <v>838.62062500000002</v>
          </cell>
          <cell r="BS374">
            <v>193.52932522557865</v>
          </cell>
          <cell r="BT374">
            <v>38.705865045115729</v>
          </cell>
        </row>
        <row r="375">
          <cell r="A375" t="str">
            <v>Slovak Republic2021100 / 100</v>
          </cell>
          <cell r="B375" t="str">
            <v>Slovak Republic</v>
          </cell>
          <cell r="C375">
            <v>2021</v>
          </cell>
          <cell r="D375" t="str">
            <v>100 / 100</v>
          </cell>
          <cell r="E375">
            <v>14437.76</v>
          </cell>
          <cell r="F375">
            <v>1203.1466666666668</v>
          </cell>
          <cell r="G375">
            <v>277.65136654897344</v>
          </cell>
          <cell r="H375">
            <v>55.530273309794687</v>
          </cell>
          <cell r="I375">
            <v>14437.76</v>
          </cell>
          <cell r="J375">
            <v>1203.1466666666668</v>
          </cell>
          <cell r="K375">
            <v>277.65136654897344</v>
          </cell>
          <cell r="L375">
            <v>55.530273309794687</v>
          </cell>
          <cell r="M375" t="str">
            <v>..</v>
          </cell>
          <cell r="N375" t="str">
            <v>..</v>
          </cell>
          <cell r="O375" t="str">
            <v>..</v>
          </cell>
          <cell r="P375" t="str">
            <v>..</v>
          </cell>
          <cell r="Q375" t="str">
            <v>..</v>
          </cell>
          <cell r="R375" t="str">
            <v>..</v>
          </cell>
          <cell r="S375" t="str">
            <v>..</v>
          </cell>
          <cell r="T375" t="str">
            <v>..</v>
          </cell>
          <cell r="U375" t="str">
            <v>..</v>
          </cell>
          <cell r="V375">
            <v>156</v>
          </cell>
          <cell r="W375">
            <v>28</v>
          </cell>
          <cell r="X375">
            <v>128</v>
          </cell>
          <cell r="Y375" t="str">
            <v>-</v>
          </cell>
          <cell r="Z375" t="str">
            <v>No statutory entitlement, but father's can receive 28 weeks of additional maternity benefit (which is higher than parental leave allowances for the average earner)</v>
          </cell>
          <cell r="AA375" t="str">
            <v>Gross</v>
          </cell>
          <cell r="AB375" t="str">
            <v>N</v>
          </cell>
          <cell r="AC375">
            <v>28</v>
          </cell>
          <cell r="AD375">
            <v>0.75</v>
          </cell>
          <cell r="AE375">
            <v>2406.2933333333335</v>
          </cell>
          <cell r="AF375" t="str">
            <v>month</v>
          </cell>
          <cell r="AG375">
            <v>378.1</v>
          </cell>
          <cell r="AH375" t="str">
            <v>month</v>
          </cell>
          <cell r="AI375" t="str">
            <v>-</v>
          </cell>
          <cell r="AJ375" t="str">
            <v>-</v>
          </cell>
          <cell r="AK375" t="str">
            <v>-</v>
          </cell>
          <cell r="AL375" t="str">
            <v>-</v>
          </cell>
          <cell r="AM375" t="str">
            <v>-</v>
          </cell>
          <cell r="AN375" t="str">
            <v>-</v>
          </cell>
          <cell r="AO375" t="str">
            <v>-</v>
          </cell>
          <cell r="AP375" t="str">
            <v>-</v>
          </cell>
          <cell r="AQ375" t="str">
            <v>-</v>
          </cell>
          <cell r="AR375" t="str">
            <v>-</v>
          </cell>
          <cell r="AS375" t="str">
            <v>-</v>
          </cell>
          <cell r="AT375" t="str">
            <v>-</v>
          </cell>
          <cell r="AU375" t="str">
            <v>-</v>
          </cell>
          <cell r="AV375" t="str">
            <v>-</v>
          </cell>
          <cell r="AW375" t="str">
            <v>-</v>
          </cell>
          <cell r="AX375" t="str">
            <v>-</v>
          </cell>
          <cell r="AY375" t="str">
            <v>-</v>
          </cell>
          <cell r="AZ375" t="str">
            <v>-</v>
          </cell>
          <cell r="BA375" t="str">
            <v>-</v>
          </cell>
          <cell r="BB375" t="str">
            <v>-</v>
          </cell>
          <cell r="BC375" t="str">
            <v>-</v>
          </cell>
          <cell r="BD375" t="str">
            <v>-</v>
          </cell>
          <cell r="BE375" t="str">
            <v>-</v>
          </cell>
          <cell r="BF375" t="str">
            <v>-</v>
          </cell>
          <cell r="BG375" t="str">
            <v>-</v>
          </cell>
          <cell r="BH375" t="str">
            <v>-</v>
          </cell>
          <cell r="BI375" t="str">
            <v>-</v>
          </cell>
          <cell r="BJ375" t="str">
            <v>-</v>
          </cell>
          <cell r="BK375" t="str">
            <v>-</v>
          </cell>
          <cell r="BL375" t="str">
            <v>-</v>
          </cell>
          <cell r="BM375">
            <v>0.75</v>
          </cell>
          <cell r="BN375">
            <v>0.13461538461538461</v>
          </cell>
          <cell r="BO375" t="str">
            <v>-</v>
          </cell>
          <cell r="BP375" t="str">
            <v>-</v>
          </cell>
          <cell r="BQ375">
            <v>10828.32</v>
          </cell>
          <cell r="BR375">
            <v>902.36000000000013</v>
          </cell>
          <cell r="BS375">
            <v>208.23852491173008</v>
          </cell>
          <cell r="BT375">
            <v>41.647704982346013</v>
          </cell>
        </row>
        <row r="376">
          <cell r="A376" t="str">
            <v>Slovak Republic2022100 / 100</v>
          </cell>
          <cell r="B376" t="str">
            <v>Slovak Republic</v>
          </cell>
          <cell r="C376">
            <v>2022</v>
          </cell>
          <cell r="D376" t="str">
            <v>100 / 100</v>
          </cell>
          <cell r="E376">
            <v>15380.58</v>
          </cell>
          <cell r="F376">
            <v>1281.7149999999999</v>
          </cell>
          <cell r="G376">
            <v>295.78265986661432</v>
          </cell>
          <cell r="H376">
            <v>59.156531973322863</v>
          </cell>
          <cell r="I376">
            <v>15380.58</v>
          </cell>
          <cell r="J376">
            <v>1281.7149999999999</v>
          </cell>
          <cell r="K376">
            <v>295.78265986661432</v>
          </cell>
          <cell r="L376">
            <v>59.156531973322863</v>
          </cell>
          <cell r="M376" t="str">
            <v>..</v>
          </cell>
          <cell r="N376" t="str">
            <v>..</v>
          </cell>
          <cell r="O376" t="str">
            <v>..</v>
          </cell>
          <cell r="P376" t="str">
            <v>..</v>
          </cell>
          <cell r="Q376" t="str">
            <v>..</v>
          </cell>
          <cell r="R376" t="str">
            <v>..</v>
          </cell>
          <cell r="S376" t="str">
            <v>..</v>
          </cell>
          <cell r="T376" t="str">
            <v>..</v>
          </cell>
          <cell r="U376" t="str">
            <v>..</v>
          </cell>
          <cell r="V376">
            <v>156</v>
          </cell>
          <cell r="W376">
            <v>28</v>
          </cell>
          <cell r="X376">
            <v>128</v>
          </cell>
          <cell r="Y376" t="str">
            <v>-</v>
          </cell>
          <cell r="Z376" t="str">
            <v>No statutory entitlement, but father's can receive 28 weeks of additional maternity benefit (which is higher than parental leave allowances for the average earner)</v>
          </cell>
          <cell r="AA376" t="str">
            <v>Gross</v>
          </cell>
          <cell r="AB376" t="str">
            <v>N</v>
          </cell>
          <cell r="AC376">
            <v>28</v>
          </cell>
          <cell r="AD376">
            <v>0.75</v>
          </cell>
          <cell r="AE376">
            <v>2563.4299999999998</v>
          </cell>
          <cell r="AF376" t="str">
            <v>month</v>
          </cell>
          <cell r="AG376">
            <v>383.3</v>
          </cell>
          <cell r="AH376" t="str">
            <v>month</v>
          </cell>
          <cell r="AI376" t="str">
            <v>-</v>
          </cell>
          <cell r="AJ376" t="str">
            <v>-</v>
          </cell>
          <cell r="AK376" t="str">
            <v>-</v>
          </cell>
          <cell r="AL376" t="str">
            <v>-</v>
          </cell>
          <cell r="AM376" t="str">
            <v>-</v>
          </cell>
          <cell r="AN376" t="str">
            <v>-</v>
          </cell>
          <cell r="AO376" t="str">
            <v>-</v>
          </cell>
          <cell r="AP376" t="str">
            <v>-</v>
          </cell>
          <cell r="AQ376" t="str">
            <v>-</v>
          </cell>
          <cell r="AR376" t="str">
            <v>-</v>
          </cell>
          <cell r="AS376" t="str">
            <v>-</v>
          </cell>
          <cell r="AT376" t="str">
            <v>-</v>
          </cell>
          <cell r="AU376" t="str">
            <v>-</v>
          </cell>
          <cell r="AV376" t="str">
            <v>-</v>
          </cell>
          <cell r="AW376" t="str">
            <v>-</v>
          </cell>
          <cell r="AX376" t="str">
            <v>-</v>
          </cell>
          <cell r="AY376" t="str">
            <v>-</v>
          </cell>
          <cell r="AZ376" t="str">
            <v>-</v>
          </cell>
          <cell r="BA376" t="str">
            <v>-</v>
          </cell>
          <cell r="BB376" t="str">
            <v>-</v>
          </cell>
          <cell r="BC376" t="str">
            <v>-</v>
          </cell>
          <cell r="BD376" t="str">
            <v>-</v>
          </cell>
          <cell r="BE376" t="str">
            <v>-</v>
          </cell>
          <cell r="BF376" t="str">
            <v>-</v>
          </cell>
          <cell r="BG376" t="str">
            <v>-</v>
          </cell>
          <cell r="BH376" t="str">
            <v>-</v>
          </cell>
          <cell r="BI376" t="str">
            <v>-</v>
          </cell>
          <cell r="BJ376" t="str">
            <v>-</v>
          </cell>
          <cell r="BK376" t="str">
            <v>-</v>
          </cell>
          <cell r="BL376" t="str">
            <v>-</v>
          </cell>
          <cell r="BM376">
            <v>0.75</v>
          </cell>
          <cell r="BN376">
            <v>0.13461538461538461</v>
          </cell>
          <cell r="BO376" t="str">
            <v>-</v>
          </cell>
          <cell r="BP376" t="str">
            <v>-</v>
          </cell>
          <cell r="BQ376">
            <v>11535.434999999999</v>
          </cell>
          <cell r="BR376">
            <v>961.28624999999988</v>
          </cell>
          <cell r="BS376">
            <v>221.83699489996076</v>
          </cell>
          <cell r="BT376">
            <v>44.367398979992146</v>
          </cell>
        </row>
        <row r="377">
          <cell r="A377" t="str">
            <v>Slovak Republic2023100 / 100</v>
          </cell>
          <cell r="B377" t="str">
            <v>Slovak Republic</v>
          </cell>
          <cell r="C377">
            <v>2023</v>
          </cell>
          <cell r="D377" t="str">
            <v>100 / 100</v>
          </cell>
          <cell r="E377">
            <v>17008.812000000002</v>
          </cell>
          <cell r="F377">
            <v>1417.4010000000001</v>
          </cell>
          <cell r="G377">
            <v>327.09505457734286</v>
          </cell>
          <cell r="H377">
            <v>65.419010915468576</v>
          </cell>
          <cell r="I377">
            <v>17008.812000000002</v>
          </cell>
          <cell r="J377">
            <v>1417.4010000000001</v>
          </cell>
          <cell r="K377">
            <v>327.09505457734286</v>
          </cell>
          <cell r="L377">
            <v>65.419010915468576</v>
          </cell>
          <cell r="M377" t="str">
            <v>..</v>
          </cell>
          <cell r="N377" t="str">
            <v>..</v>
          </cell>
          <cell r="O377" t="str">
            <v>..</v>
          </cell>
          <cell r="P377" t="str">
            <v>..</v>
          </cell>
          <cell r="Q377" t="str">
            <v>..</v>
          </cell>
          <cell r="R377" t="str">
            <v>..</v>
          </cell>
          <cell r="S377" t="str">
            <v>..</v>
          </cell>
          <cell r="T377" t="str">
            <v>..</v>
          </cell>
          <cell r="U377" t="str">
            <v>..</v>
          </cell>
          <cell r="V377">
            <v>128</v>
          </cell>
          <cell r="W377">
            <v>26</v>
          </cell>
          <cell r="X377">
            <v>102</v>
          </cell>
          <cell r="Y377" t="str">
            <v>-</v>
          </cell>
          <cell r="Z377" t="str">
            <v>No statutory entitlement, but father's can receive 26 weeks (28 minus 2 weeks of paternity leave) of additional maternity benefit (which is higher than parental leave allowances for the average earner)</v>
          </cell>
          <cell r="AA377" t="str">
            <v>Gross</v>
          </cell>
          <cell r="AB377" t="str">
            <v>N</v>
          </cell>
          <cell r="AC377">
            <v>26</v>
          </cell>
          <cell r="AD377">
            <v>0.75</v>
          </cell>
          <cell r="AE377">
            <v>1851</v>
          </cell>
          <cell r="AF377" t="str">
            <v>month</v>
          </cell>
          <cell r="AG377">
            <v>413</v>
          </cell>
          <cell r="AH377" t="str">
            <v>month</v>
          </cell>
          <cell r="AI377" t="str">
            <v>-</v>
          </cell>
          <cell r="AJ377" t="str">
            <v>-</v>
          </cell>
          <cell r="AK377" t="str">
            <v>-</v>
          </cell>
          <cell r="AL377" t="str">
            <v>-</v>
          </cell>
          <cell r="AM377" t="str">
            <v>-</v>
          </cell>
          <cell r="AN377" t="str">
            <v>-</v>
          </cell>
          <cell r="AO377" t="str">
            <v>-</v>
          </cell>
          <cell r="AP377" t="str">
            <v>-</v>
          </cell>
          <cell r="AQ377" t="str">
            <v>-</v>
          </cell>
          <cell r="AR377" t="str">
            <v>-</v>
          </cell>
          <cell r="AS377" t="str">
            <v>-</v>
          </cell>
          <cell r="AT377" t="str">
            <v>-</v>
          </cell>
          <cell r="AU377" t="str">
            <v>-</v>
          </cell>
          <cell r="AV377" t="str">
            <v>-</v>
          </cell>
          <cell r="AW377" t="str">
            <v>-</v>
          </cell>
          <cell r="AX377" t="str">
            <v>-</v>
          </cell>
          <cell r="AY377" t="str">
            <v>-</v>
          </cell>
          <cell r="AZ377" t="str">
            <v>-</v>
          </cell>
          <cell r="BA377" t="str">
            <v>-</v>
          </cell>
          <cell r="BB377" t="str">
            <v>-</v>
          </cell>
          <cell r="BC377" t="str">
            <v>-</v>
          </cell>
          <cell r="BD377" t="str">
            <v>-</v>
          </cell>
          <cell r="BE377" t="str">
            <v>-</v>
          </cell>
          <cell r="BF377" t="str">
            <v>-</v>
          </cell>
          <cell r="BG377" t="str">
            <v>-</v>
          </cell>
          <cell r="BH377" t="str">
            <v>-</v>
          </cell>
          <cell r="BI377" t="str">
            <v>-</v>
          </cell>
          <cell r="BJ377" t="str">
            <v>-</v>
          </cell>
          <cell r="BK377" t="str">
            <v>-</v>
          </cell>
          <cell r="BL377" t="str">
            <v>-</v>
          </cell>
          <cell r="BM377">
            <v>0.75</v>
          </cell>
          <cell r="BN377">
            <v>0.15234375</v>
          </cell>
          <cell r="BO377" t="str">
            <v>-</v>
          </cell>
          <cell r="BP377" t="str">
            <v>-</v>
          </cell>
          <cell r="BQ377">
            <v>12756.609</v>
          </cell>
          <cell r="BR377">
            <v>1063.0507500000001</v>
          </cell>
          <cell r="BS377">
            <v>245.32129093300716</v>
          </cell>
          <cell r="BT377">
            <v>49.064258186601435</v>
          </cell>
        </row>
        <row r="378">
          <cell r="A378" t="str">
            <v>Slovak Republic2024100 / 100</v>
          </cell>
          <cell r="B378" t="str">
            <v>Slovak Republic</v>
          </cell>
          <cell r="C378">
            <v>2024</v>
          </cell>
          <cell r="D378" t="str">
            <v>100 / 100</v>
          </cell>
          <cell r="E378">
            <v>18528.54</v>
          </cell>
          <cell r="F378">
            <v>1544.0450000000001</v>
          </cell>
          <cell r="G378">
            <v>356.32081785244503</v>
          </cell>
          <cell r="H378">
            <v>71.264163570489004</v>
          </cell>
          <cell r="I378">
            <v>18528.54</v>
          </cell>
          <cell r="J378">
            <v>1544.0450000000001</v>
          </cell>
          <cell r="K378">
            <v>356.32081785244503</v>
          </cell>
          <cell r="L378">
            <v>71.264163570489004</v>
          </cell>
          <cell r="M378" t="str">
            <v>..</v>
          </cell>
          <cell r="N378" t="str">
            <v>..</v>
          </cell>
          <cell r="O378" t="str">
            <v>..</v>
          </cell>
          <cell r="P378" t="str">
            <v>..</v>
          </cell>
          <cell r="Q378" t="str">
            <v>..</v>
          </cell>
          <cell r="R378" t="str">
            <v>..</v>
          </cell>
          <cell r="S378" t="str">
            <v>..</v>
          </cell>
          <cell r="T378" t="str">
            <v>..</v>
          </cell>
          <cell r="U378" t="str">
            <v>..</v>
          </cell>
          <cell r="V378">
            <v>128</v>
          </cell>
          <cell r="W378">
            <v>26</v>
          </cell>
          <cell r="X378">
            <v>102</v>
          </cell>
          <cell r="Y378" t="str">
            <v>-</v>
          </cell>
          <cell r="Z378" t="str">
            <v>No statutory entitlement, but father's can receive 26 weeks (28 minus 2 weeks of paternity leave) of additional maternity benefit (which is higher than parental leave allowances for the average earner)</v>
          </cell>
          <cell r="AA378" t="str">
            <v>Gross</v>
          </cell>
          <cell r="AB378" t="str">
            <v>N</v>
          </cell>
          <cell r="AC378">
            <v>26</v>
          </cell>
          <cell r="AD378">
            <v>0.75</v>
          </cell>
          <cell r="AE378">
            <v>1994</v>
          </cell>
          <cell r="AF378" t="str">
            <v>month</v>
          </cell>
          <cell r="AG378">
            <v>473</v>
          </cell>
          <cell r="AH378" t="str">
            <v>month</v>
          </cell>
          <cell r="AI378" t="str">
            <v>-</v>
          </cell>
          <cell r="AJ378" t="str">
            <v>-</v>
          </cell>
          <cell r="AK378" t="str">
            <v>-</v>
          </cell>
          <cell r="AL378" t="str">
            <v>-</v>
          </cell>
          <cell r="AM378" t="str">
            <v>-</v>
          </cell>
          <cell r="AN378" t="str">
            <v>-</v>
          </cell>
          <cell r="AO378" t="str">
            <v>-</v>
          </cell>
          <cell r="AP378" t="str">
            <v>-</v>
          </cell>
          <cell r="AQ378" t="str">
            <v>-</v>
          </cell>
          <cell r="AR378" t="str">
            <v>-</v>
          </cell>
          <cell r="AS378" t="str">
            <v>-</v>
          </cell>
          <cell r="AT378" t="str">
            <v>-</v>
          </cell>
          <cell r="AU378" t="str">
            <v>-</v>
          </cell>
          <cell r="AV378" t="str">
            <v>-</v>
          </cell>
          <cell r="AW378" t="str">
            <v>-</v>
          </cell>
          <cell r="AX378" t="str">
            <v>-</v>
          </cell>
          <cell r="AY378" t="str">
            <v>-</v>
          </cell>
          <cell r="AZ378" t="str">
            <v>-</v>
          </cell>
          <cell r="BA378" t="str">
            <v>-</v>
          </cell>
          <cell r="BB378" t="str">
            <v>-</v>
          </cell>
          <cell r="BC378" t="str">
            <v>-</v>
          </cell>
          <cell r="BD378" t="str">
            <v>-</v>
          </cell>
          <cell r="BE378" t="str">
            <v>-</v>
          </cell>
          <cell r="BF378" t="str">
            <v>-</v>
          </cell>
          <cell r="BG378" t="str">
            <v>-</v>
          </cell>
          <cell r="BH378" t="str">
            <v>-</v>
          </cell>
          <cell r="BI378" t="str">
            <v>-</v>
          </cell>
          <cell r="BJ378" t="str">
            <v>-</v>
          </cell>
          <cell r="BK378" t="str">
            <v>-</v>
          </cell>
          <cell r="BL378" t="str">
            <v>-</v>
          </cell>
          <cell r="BM378">
            <v>0.75</v>
          </cell>
          <cell r="BN378">
            <v>0.15234375</v>
          </cell>
          <cell r="BO378" t="str">
            <v>-</v>
          </cell>
          <cell r="BP378" t="str">
            <v>-</v>
          </cell>
          <cell r="BQ378">
            <v>13896.405000000001</v>
          </cell>
          <cell r="BR378">
            <v>1158.0337500000001</v>
          </cell>
          <cell r="BS378">
            <v>267.24061338933376</v>
          </cell>
          <cell r="BT378">
            <v>53.448122677866749</v>
          </cell>
        </row>
        <row r="379">
          <cell r="A379" t="str">
            <v>Slovak Republic2025100 / 100</v>
          </cell>
          <cell r="B379" t="str">
            <v>Slovak Republic</v>
          </cell>
          <cell r="C379">
            <v>2025</v>
          </cell>
          <cell r="D379" t="str">
            <v>100 / 100</v>
          </cell>
          <cell r="E379">
            <v>18528.54</v>
          </cell>
          <cell r="F379">
            <v>1544.0450000000001</v>
          </cell>
          <cell r="G379">
            <v>356.32081785244503</v>
          </cell>
          <cell r="H379">
            <v>71.264163570489004</v>
          </cell>
          <cell r="I379">
            <v>18528.54</v>
          </cell>
          <cell r="J379">
            <v>1544.0450000000001</v>
          </cell>
          <cell r="K379">
            <v>356.32081785244503</v>
          </cell>
          <cell r="L379">
            <v>71.264163570489004</v>
          </cell>
          <cell r="M379" t="str">
            <v>..</v>
          </cell>
          <cell r="N379" t="str">
            <v>..</v>
          </cell>
          <cell r="O379" t="str">
            <v>..</v>
          </cell>
          <cell r="P379" t="str">
            <v>..</v>
          </cell>
          <cell r="Q379" t="str">
            <v>..</v>
          </cell>
          <cell r="R379" t="str">
            <v>..</v>
          </cell>
          <cell r="S379" t="str">
            <v>..</v>
          </cell>
          <cell r="T379" t="str">
            <v>..</v>
          </cell>
          <cell r="U379" t="str">
            <v>..</v>
          </cell>
          <cell r="V379">
            <v>128</v>
          </cell>
          <cell r="W379">
            <v>26</v>
          </cell>
          <cell r="X379">
            <v>102</v>
          </cell>
          <cell r="Y379" t="str">
            <v>-</v>
          </cell>
          <cell r="Z379" t="str">
            <v>No statutory entitlement, but father's can receive 26 weeks (28 minus 2 weeks of paternity leave) of additional maternity benefit (which is higher than parental leave allowances for the average earner)</v>
          </cell>
          <cell r="AA379" t="str">
            <v>Gross</v>
          </cell>
          <cell r="AB379" t="str">
            <v>N</v>
          </cell>
          <cell r="AC379">
            <v>26</v>
          </cell>
          <cell r="AD379">
            <v>0.75</v>
          </cell>
          <cell r="AE379">
            <v>2186</v>
          </cell>
          <cell r="AF379" t="str">
            <v>month</v>
          </cell>
          <cell r="AG379">
            <v>482</v>
          </cell>
          <cell r="AH379" t="str">
            <v>month</v>
          </cell>
          <cell r="AI379" t="str">
            <v>-</v>
          </cell>
          <cell r="AJ379" t="str">
            <v>-</v>
          </cell>
          <cell r="AK379" t="str">
            <v>-</v>
          </cell>
          <cell r="AL379" t="str">
            <v>-</v>
          </cell>
          <cell r="AM379" t="str">
            <v>-</v>
          </cell>
          <cell r="AN379" t="str">
            <v>-</v>
          </cell>
          <cell r="AO379" t="str">
            <v>-</v>
          </cell>
          <cell r="AP379" t="str">
            <v>-</v>
          </cell>
          <cell r="AQ379" t="str">
            <v>-</v>
          </cell>
          <cell r="AR379" t="str">
            <v>-</v>
          </cell>
          <cell r="AS379" t="str">
            <v>-</v>
          </cell>
          <cell r="AT379" t="str">
            <v>-</v>
          </cell>
          <cell r="AU379" t="str">
            <v>-</v>
          </cell>
          <cell r="AV379" t="str">
            <v>-</v>
          </cell>
          <cell r="AW379" t="str">
            <v>-</v>
          </cell>
          <cell r="AX379" t="str">
            <v>-</v>
          </cell>
          <cell r="AY379" t="str">
            <v>-</v>
          </cell>
          <cell r="AZ379" t="str">
            <v>-</v>
          </cell>
          <cell r="BA379" t="str">
            <v>-</v>
          </cell>
          <cell r="BB379" t="str">
            <v>-</v>
          </cell>
          <cell r="BC379" t="str">
            <v>-</v>
          </cell>
          <cell r="BD379" t="str">
            <v>-</v>
          </cell>
          <cell r="BE379" t="str">
            <v>-</v>
          </cell>
          <cell r="BF379" t="str">
            <v>-</v>
          </cell>
          <cell r="BG379" t="str">
            <v>-</v>
          </cell>
          <cell r="BH379" t="str">
            <v>-</v>
          </cell>
          <cell r="BI379" t="str">
            <v>-</v>
          </cell>
          <cell r="BJ379" t="str">
            <v>-</v>
          </cell>
          <cell r="BK379" t="str">
            <v>-</v>
          </cell>
          <cell r="BL379" t="str">
            <v>-</v>
          </cell>
          <cell r="BM379">
            <v>0.75</v>
          </cell>
          <cell r="BN379">
            <v>0.15234375</v>
          </cell>
          <cell r="BO379" t="str">
            <v>-</v>
          </cell>
          <cell r="BP379" t="str">
            <v>-</v>
          </cell>
          <cell r="BQ379">
            <v>13896.405000000001</v>
          </cell>
          <cell r="BR379">
            <v>1158.0337500000001</v>
          </cell>
          <cell r="BS379">
            <v>267.24061338933376</v>
          </cell>
          <cell r="BT379">
            <v>53.448122677866749</v>
          </cell>
        </row>
        <row r="380">
          <cell r="A380" t="str">
            <v>Slovenia2014100 / 100</v>
          </cell>
          <cell r="B380" t="str">
            <v>Slovenia</v>
          </cell>
          <cell r="C380">
            <v>2014</v>
          </cell>
          <cell r="D380" t="str">
            <v>100 / 100</v>
          </cell>
          <cell r="E380">
            <v>17948</v>
          </cell>
          <cell r="F380">
            <v>1495.6666666666667</v>
          </cell>
          <cell r="G380">
            <v>345.15650120385538</v>
          </cell>
          <cell r="H380">
            <v>69.031300240771074</v>
          </cell>
          <cell r="I380">
            <v>17948</v>
          </cell>
          <cell r="J380">
            <v>1495.6666666666667</v>
          </cell>
          <cell r="K380">
            <v>345.15650120385538</v>
          </cell>
          <cell r="L380">
            <v>69.031300240771074</v>
          </cell>
          <cell r="M380" t="str">
            <v>..</v>
          </cell>
          <cell r="N380" t="str">
            <v>..</v>
          </cell>
          <cell r="O380" t="str">
            <v>..</v>
          </cell>
          <cell r="P380" t="str">
            <v>..</v>
          </cell>
          <cell r="Q380" t="str">
            <v>..</v>
          </cell>
          <cell r="R380" t="str">
            <v>..</v>
          </cell>
          <cell r="S380" t="str">
            <v>..</v>
          </cell>
          <cell r="T380" t="str">
            <v>..</v>
          </cell>
          <cell r="U380" t="str">
            <v>..</v>
          </cell>
          <cell r="V380">
            <v>0</v>
          </cell>
          <cell r="W380">
            <v>0</v>
          </cell>
          <cell r="X380">
            <v>0</v>
          </cell>
          <cell r="Y380" t="str">
            <v>-</v>
          </cell>
          <cell r="Z380"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0" t="str">
            <v>-</v>
          </cell>
          <cell r="AB380" t="str">
            <v>-</v>
          </cell>
          <cell r="AC380" t="str">
            <v>-</v>
          </cell>
          <cell r="AD380" t="str">
            <v>-</v>
          </cell>
          <cell r="AE380" t="str">
            <v>-</v>
          </cell>
          <cell r="AF380" t="str">
            <v>-</v>
          </cell>
          <cell r="AG380" t="str">
            <v>-</v>
          </cell>
          <cell r="AH380" t="str">
            <v>-</v>
          </cell>
          <cell r="AI380" t="str">
            <v>-</v>
          </cell>
          <cell r="AJ380" t="str">
            <v>-</v>
          </cell>
          <cell r="AK380" t="str">
            <v>-</v>
          </cell>
          <cell r="AL380" t="str">
            <v>-</v>
          </cell>
          <cell r="AM380" t="str">
            <v>-</v>
          </cell>
          <cell r="AN380" t="str">
            <v>-</v>
          </cell>
          <cell r="AO380" t="str">
            <v>-</v>
          </cell>
          <cell r="AP380" t="str">
            <v>-</v>
          </cell>
          <cell r="AQ380" t="str">
            <v>-</v>
          </cell>
          <cell r="AR380" t="str">
            <v>-</v>
          </cell>
          <cell r="AS380" t="str">
            <v>-</v>
          </cell>
          <cell r="AT380" t="str">
            <v>-</v>
          </cell>
          <cell r="AU380" t="str">
            <v>-</v>
          </cell>
          <cell r="AV380" t="str">
            <v>-</v>
          </cell>
          <cell r="AW380" t="str">
            <v>-</v>
          </cell>
          <cell r="AX380" t="str">
            <v>-</v>
          </cell>
          <cell r="AY380" t="str">
            <v>-</v>
          </cell>
          <cell r="AZ380" t="str">
            <v>-</v>
          </cell>
          <cell r="BA380" t="str">
            <v>-</v>
          </cell>
          <cell r="BB380" t="str">
            <v>-</v>
          </cell>
          <cell r="BC380" t="str">
            <v>-</v>
          </cell>
          <cell r="BD380" t="str">
            <v>-</v>
          </cell>
          <cell r="BE380" t="str">
            <v>-</v>
          </cell>
          <cell r="BF380" t="str">
            <v>-</v>
          </cell>
          <cell r="BG380" t="str">
            <v>-</v>
          </cell>
          <cell r="BH380" t="str">
            <v>-</v>
          </cell>
          <cell r="BI380" t="str">
            <v>-</v>
          </cell>
          <cell r="BJ380" t="str">
            <v>-</v>
          </cell>
          <cell r="BK380" t="str">
            <v>-</v>
          </cell>
          <cell r="BL380" t="str">
            <v>-</v>
          </cell>
          <cell r="BM380">
            <v>0</v>
          </cell>
          <cell r="BN380">
            <v>0</v>
          </cell>
          <cell r="BO380" t="str">
            <v>-</v>
          </cell>
          <cell r="BP380" t="str">
            <v>-</v>
          </cell>
          <cell r="BQ380">
            <v>0</v>
          </cell>
          <cell r="BR380">
            <v>0</v>
          </cell>
          <cell r="BS380">
            <v>0</v>
          </cell>
          <cell r="BT380">
            <v>0</v>
          </cell>
        </row>
        <row r="381">
          <cell r="A381" t="str">
            <v>Slovenia2015100 / 100</v>
          </cell>
          <cell r="B381" t="str">
            <v>Slovenia</v>
          </cell>
          <cell r="C381">
            <v>2015</v>
          </cell>
          <cell r="D381" t="str">
            <v>100 / 100</v>
          </cell>
          <cell r="E381">
            <v>18092</v>
          </cell>
          <cell r="F381">
            <v>1487.60706</v>
          </cell>
          <cell r="G381">
            <v>343.296577665982</v>
          </cell>
          <cell r="H381">
            <v>68.659315533196406</v>
          </cell>
          <cell r="I381">
            <v>17851.28472</v>
          </cell>
          <cell r="J381">
            <v>1487.60706</v>
          </cell>
          <cell r="K381">
            <v>343.296577665982</v>
          </cell>
          <cell r="L381">
            <v>68.659315533196406</v>
          </cell>
          <cell r="M381" t="str">
            <v>..</v>
          </cell>
          <cell r="N381" t="str">
            <v>..</v>
          </cell>
          <cell r="O381" t="str">
            <v>..</v>
          </cell>
          <cell r="P381" t="str">
            <v>..</v>
          </cell>
          <cell r="Q381" t="str">
            <v>..</v>
          </cell>
          <cell r="R381" t="str">
            <v>..</v>
          </cell>
          <cell r="S381" t="str">
            <v>..</v>
          </cell>
          <cell r="T381" t="str">
            <v>..</v>
          </cell>
          <cell r="U381" t="str">
            <v>..</v>
          </cell>
          <cell r="V381">
            <v>0</v>
          </cell>
          <cell r="W381">
            <v>0</v>
          </cell>
          <cell r="X381">
            <v>0</v>
          </cell>
          <cell r="Y381" t="str">
            <v>-</v>
          </cell>
          <cell r="Z381"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1" t="str">
            <v>-</v>
          </cell>
          <cell r="AB381" t="str">
            <v>-</v>
          </cell>
          <cell r="AC381" t="str">
            <v>-</v>
          </cell>
          <cell r="AD381" t="str">
            <v>-</v>
          </cell>
          <cell r="AE381" t="str">
            <v>-</v>
          </cell>
          <cell r="AF381" t="str">
            <v>-</v>
          </cell>
          <cell r="AG381" t="str">
            <v>-</v>
          </cell>
          <cell r="AH381" t="str">
            <v>-</v>
          </cell>
          <cell r="AI381" t="str">
            <v>-</v>
          </cell>
          <cell r="AJ381" t="str">
            <v>-</v>
          </cell>
          <cell r="AK381" t="str">
            <v>-</v>
          </cell>
          <cell r="AL381" t="str">
            <v>-</v>
          </cell>
          <cell r="AM381" t="str">
            <v>-</v>
          </cell>
          <cell r="AN381" t="str">
            <v>-</v>
          </cell>
          <cell r="AO381" t="str">
            <v>-</v>
          </cell>
          <cell r="AP381" t="str">
            <v>-</v>
          </cell>
          <cell r="AQ381" t="str">
            <v>-</v>
          </cell>
          <cell r="AR381" t="str">
            <v>-</v>
          </cell>
          <cell r="AS381" t="str">
            <v>-</v>
          </cell>
          <cell r="AT381" t="str">
            <v>-</v>
          </cell>
          <cell r="AU381" t="str">
            <v>-</v>
          </cell>
          <cell r="AV381" t="str">
            <v>-</v>
          </cell>
          <cell r="AW381" t="str">
            <v>-</v>
          </cell>
          <cell r="AX381" t="str">
            <v>-</v>
          </cell>
          <cell r="AY381" t="str">
            <v>-</v>
          </cell>
          <cell r="AZ381" t="str">
            <v>-</v>
          </cell>
          <cell r="BA381" t="str">
            <v>-</v>
          </cell>
          <cell r="BB381" t="str">
            <v>-</v>
          </cell>
          <cell r="BC381" t="str">
            <v>-</v>
          </cell>
          <cell r="BD381" t="str">
            <v>-</v>
          </cell>
          <cell r="BE381" t="str">
            <v>-</v>
          </cell>
          <cell r="BF381" t="str">
            <v>-</v>
          </cell>
          <cell r="BG381" t="str">
            <v>-</v>
          </cell>
          <cell r="BH381" t="str">
            <v>-</v>
          </cell>
          <cell r="BI381" t="str">
            <v>-</v>
          </cell>
          <cell r="BJ381" t="str">
            <v>-</v>
          </cell>
          <cell r="BK381" t="str">
            <v>-</v>
          </cell>
          <cell r="BL381" t="str">
            <v>-</v>
          </cell>
          <cell r="BM381">
            <v>0</v>
          </cell>
          <cell r="BN381">
            <v>0</v>
          </cell>
          <cell r="BO381" t="str">
            <v>-</v>
          </cell>
          <cell r="BP381" t="str">
            <v>-</v>
          </cell>
          <cell r="BQ381">
            <v>0</v>
          </cell>
          <cell r="BR381">
            <v>0</v>
          </cell>
          <cell r="BS381">
            <v>0</v>
          </cell>
          <cell r="BT381">
            <v>0</v>
          </cell>
        </row>
        <row r="382">
          <cell r="A382" t="str">
            <v>Slovenia2016100 / 100</v>
          </cell>
          <cell r="B382" t="str">
            <v>Slovenia</v>
          </cell>
          <cell r="C382">
            <v>2016</v>
          </cell>
          <cell r="D382" t="str">
            <v>100 / 100</v>
          </cell>
          <cell r="E382">
            <v>18338</v>
          </cell>
          <cell r="F382">
            <v>1528.1666666666667</v>
          </cell>
          <cell r="G382">
            <v>352.6565588966069</v>
          </cell>
          <cell r="H382">
            <v>70.531311779321385</v>
          </cell>
          <cell r="I382">
            <v>18338</v>
          </cell>
          <cell r="J382">
            <v>1528.1666666666667</v>
          </cell>
          <cell r="K382">
            <v>352.6565588966069</v>
          </cell>
          <cell r="L382">
            <v>70.531311779321385</v>
          </cell>
          <cell r="M382" t="str">
            <v>..</v>
          </cell>
          <cell r="N382" t="str">
            <v>..</v>
          </cell>
          <cell r="O382" t="str">
            <v>..</v>
          </cell>
          <cell r="P382" t="str">
            <v>..</v>
          </cell>
          <cell r="Q382" t="str">
            <v>..</v>
          </cell>
          <cell r="R382" t="str">
            <v>..</v>
          </cell>
          <cell r="S382" t="str">
            <v>..</v>
          </cell>
          <cell r="T382" t="str">
            <v>..</v>
          </cell>
          <cell r="U382" t="str">
            <v>..</v>
          </cell>
          <cell r="V382">
            <v>0</v>
          </cell>
          <cell r="W382">
            <v>0</v>
          </cell>
          <cell r="X382">
            <v>0</v>
          </cell>
          <cell r="Y382" t="str">
            <v>-</v>
          </cell>
          <cell r="Z382"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2" t="str">
            <v>-</v>
          </cell>
          <cell r="AB382" t="str">
            <v>-</v>
          </cell>
          <cell r="AC382" t="str">
            <v>-</v>
          </cell>
          <cell r="AD382" t="str">
            <v>-</v>
          </cell>
          <cell r="AE382" t="str">
            <v>-</v>
          </cell>
          <cell r="AF382" t="str">
            <v>-</v>
          </cell>
          <cell r="AG382" t="str">
            <v>-</v>
          </cell>
          <cell r="AH382" t="str">
            <v>-</v>
          </cell>
          <cell r="AI382" t="str">
            <v>-</v>
          </cell>
          <cell r="AJ382" t="str">
            <v>-</v>
          </cell>
          <cell r="AK382" t="str">
            <v>-</v>
          </cell>
          <cell r="AL382" t="str">
            <v>-</v>
          </cell>
          <cell r="AM382" t="str">
            <v>-</v>
          </cell>
          <cell r="AN382" t="str">
            <v>-</v>
          </cell>
          <cell r="AO382" t="str">
            <v>-</v>
          </cell>
          <cell r="AP382" t="str">
            <v>-</v>
          </cell>
          <cell r="AQ382" t="str">
            <v>-</v>
          </cell>
          <cell r="AR382" t="str">
            <v>-</v>
          </cell>
          <cell r="AS382" t="str">
            <v>-</v>
          </cell>
          <cell r="AT382" t="str">
            <v>-</v>
          </cell>
          <cell r="AU382" t="str">
            <v>-</v>
          </cell>
          <cell r="AV382" t="str">
            <v>-</v>
          </cell>
          <cell r="AW382" t="str">
            <v>-</v>
          </cell>
          <cell r="AX382" t="str">
            <v>-</v>
          </cell>
          <cell r="AY382" t="str">
            <v>-</v>
          </cell>
          <cell r="AZ382" t="str">
            <v>-</v>
          </cell>
          <cell r="BA382" t="str">
            <v>-</v>
          </cell>
          <cell r="BB382" t="str">
            <v>-</v>
          </cell>
          <cell r="BC382" t="str">
            <v>-</v>
          </cell>
          <cell r="BD382" t="str">
            <v>-</v>
          </cell>
          <cell r="BE382" t="str">
            <v>-</v>
          </cell>
          <cell r="BF382" t="str">
            <v>-</v>
          </cell>
          <cell r="BG382" t="str">
            <v>-</v>
          </cell>
          <cell r="BH382" t="str">
            <v>-</v>
          </cell>
          <cell r="BI382" t="str">
            <v>-</v>
          </cell>
          <cell r="BJ382" t="str">
            <v>-</v>
          </cell>
          <cell r="BK382" t="str">
            <v>-</v>
          </cell>
          <cell r="BL382" t="str">
            <v>-</v>
          </cell>
          <cell r="BM382">
            <v>0</v>
          </cell>
          <cell r="BN382">
            <v>0</v>
          </cell>
          <cell r="BO382" t="str">
            <v>-</v>
          </cell>
          <cell r="BP382" t="str">
            <v>-</v>
          </cell>
          <cell r="BQ382">
            <v>0</v>
          </cell>
          <cell r="BR382">
            <v>0</v>
          </cell>
          <cell r="BS382">
            <v>0</v>
          </cell>
          <cell r="BT382">
            <v>0</v>
          </cell>
        </row>
        <row r="383">
          <cell r="A383" t="str">
            <v>Slovenia2017100 / 100</v>
          </cell>
          <cell r="B383" t="str">
            <v>Slovenia</v>
          </cell>
          <cell r="C383">
            <v>2017</v>
          </cell>
          <cell r="D383" t="str">
            <v>100 / 100</v>
          </cell>
          <cell r="E383">
            <v>18839</v>
          </cell>
          <cell r="F383">
            <v>1569.9166666666667</v>
          </cell>
          <cell r="G383">
            <v>362.29124839421843</v>
          </cell>
          <cell r="H383">
            <v>72.458249678843686</v>
          </cell>
          <cell r="I383">
            <v>18839</v>
          </cell>
          <cell r="J383">
            <v>1569.9166666666667</v>
          </cell>
          <cell r="K383">
            <v>362.29124839421843</v>
          </cell>
          <cell r="L383">
            <v>72.458249678843686</v>
          </cell>
          <cell r="M383" t="str">
            <v>..</v>
          </cell>
          <cell r="N383" t="str">
            <v>..</v>
          </cell>
          <cell r="O383" t="str">
            <v>..</v>
          </cell>
          <cell r="P383" t="str">
            <v>..</v>
          </cell>
          <cell r="Q383" t="str">
            <v>..</v>
          </cell>
          <cell r="R383" t="str">
            <v>..</v>
          </cell>
          <cell r="S383" t="str">
            <v>..</v>
          </cell>
          <cell r="T383" t="str">
            <v>..</v>
          </cell>
          <cell r="U383" t="str">
            <v>..</v>
          </cell>
          <cell r="V383">
            <v>0</v>
          </cell>
          <cell r="W383">
            <v>0</v>
          </cell>
          <cell r="X383">
            <v>0</v>
          </cell>
          <cell r="Y383" t="str">
            <v>-</v>
          </cell>
          <cell r="Z383"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3" t="str">
            <v>-</v>
          </cell>
          <cell r="AB383" t="str">
            <v>-</v>
          </cell>
          <cell r="AC383" t="str">
            <v>-</v>
          </cell>
          <cell r="AD383" t="str">
            <v>-</v>
          </cell>
          <cell r="AE383" t="str">
            <v>-</v>
          </cell>
          <cell r="AF383" t="str">
            <v>-</v>
          </cell>
          <cell r="AG383" t="str">
            <v>-</v>
          </cell>
          <cell r="AH383" t="str">
            <v>-</v>
          </cell>
          <cell r="AI383" t="str">
            <v>-</v>
          </cell>
          <cell r="AJ383" t="str">
            <v>-</v>
          </cell>
          <cell r="AK383" t="str">
            <v>-</v>
          </cell>
          <cell r="AL383" t="str">
            <v>-</v>
          </cell>
          <cell r="AM383" t="str">
            <v>-</v>
          </cell>
          <cell r="AN383" t="str">
            <v>-</v>
          </cell>
          <cell r="AO383" t="str">
            <v>-</v>
          </cell>
          <cell r="AP383" t="str">
            <v>-</v>
          </cell>
          <cell r="AQ383" t="str">
            <v>-</v>
          </cell>
          <cell r="AR383" t="str">
            <v>-</v>
          </cell>
          <cell r="AS383" t="str">
            <v>-</v>
          </cell>
          <cell r="AT383" t="str">
            <v>-</v>
          </cell>
          <cell r="AU383" t="str">
            <v>-</v>
          </cell>
          <cell r="AV383" t="str">
            <v>-</v>
          </cell>
          <cell r="AW383" t="str">
            <v>-</v>
          </cell>
          <cell r="AX383" t="str">
            <v>-</v>
          </cell>
          <cell r="AY383" t="str">
            <v>-</v>
          </cell>
          <cell r="AZ383" t="str">
            <v>-</v>
          </cell>
          <cell r="BA383" t="str">
            <v>-</v>
          </cell>
          <cell r="BB383" t="str">
            <v>-</v>
          </cell>
          <cell r="BC383" t="str">
            <v>-</v>
          </cell>
          <cell r="BD383" t="str">
            <v>-</v>
          </cell>
          <cell r="BE383" t="str">
            <v>-</v>
          </cell>
          <cell r="BF383" t="str">
            <v>-</v>
          </cell>
          <cell r="BG383" t="str">
            <v>-</v>
          </cell>
          <cell r="BH383" t="str">
            <v>-</v>
          </cell>
          <cell r="BI383" t="str">
            <v>-</v>
          </cell>
          <cell r="BJ383" t="str">
            <v>-</v>
          </cell>
          <cell r="BK383" t="str">
            <v>-</v>
          </cell>
          <cell r="BL383" t="str">
            <v>-</v>
          </cell>
          <cell r="BM383">
            <v>0</v>
          </cell>
          <cell r="BN383">
            <v>0</v>
          </cell>
          <cell r="BO383" t="str">
            <v>-</v>
          </cell>
          <cell r="BP383" t="str">
            <v>-</v>
          </cell>
          <cell r="BQ383">
            <v>0</v>
          </cell>
          <cell r="BR383">
            <v>0</v>
          </cell>
          <cell r="BS383">
            <v>0</v>
          </cell>
          <cell r="BT383">
            <v>0</v>
          </cell>
        </row>
        <row r="384">
          <cell r="A384" t="str">
            <v>Slovenia2018100 / 100</v>
          </cell>
          <cell r="B384" t="str">
            <v>Slovenia</v>
          </cell>
          <cell r="C384">
            <v>2018</v>
          </cell>
          <cell r="D384" t="str">
            <v>100 / 100</v>
          </cell>
          <cell r="E384">
            <v>19569</v>
          </cell>
          <cell r="F384">
            <v>1630.75</v>
          </cell>
          <cell r="G384">
            <v>376.32981792167629</v>
          </cell>
          <cell r="H384">
            <v>75.265963584335253</v>
          </cell>
          <cell r="I384">
            <v>19569</v>
          </cell>
          <cell r="J384">
            <v>1630.75</v>
          </cell>
          <cell r="K384">
            <v>376.32981792167629</v>
          </cell>
          <cell r="L384">
            <v>75.265963584335253</v>
          </cell>
          <cell r="M384" t="str">
            <v>..</v>
          </cell>
          <cell r="N384" t="str">
            <v>..</v>
          </cell>
          <cell r="O384" t="str">
            <v>..</v>
          </cell>
          <cell r="P384" t="str">
            <v>..</v>
          </cell>
          <cell r="Q384" t="str">
            <v>..</v>
          </cell>
          <cell r="R384" t="str">
            <v>..</v>
          </cell>
          <cell r="S384" t="str">
            <v>..</v>
          </cell>
          <cell r="T384" t="str">
            <v>..</v>
          </cell>
          <cell r="U384" t="str">
            <v>..</v>
          </cell>
          <cell r="V384">
            <v>0</v>
          </cell>
          <cell r="W384">
            <v>0</v>
          </cell>
          <cell r="X384">
            <v>0</v>
          </cell>
          <cell r="Y384" t="str">
            <v>-</v>
          </cell>
          <cell r="Z384"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4" t="str">
            <v>-</v>
          </cell>
          <cell r="AB384" t="str">
            <v>-</v>
          </cell>
          <cell r="AC384" t="str">
            <v>-</v>
          </cell>
          <cell r="AD384" t="str">
            <v>-</v>
          </cell>
          <cell r="AE384" t="str">
            <v>-</v>
          </cell>
          <cell r="AF384" t="str">
            <v>-</v>
          </cell>
          <cell r="AG384" t="str">
            <v>-</v>
          </cell>
          <cell r="AH384" t="str">
            <v>-</v>
          </cell>
          <cell r="AI384" t="str">
            <v>-</v>
          </cell>
          <cell r="AJ384" t="str">
            <v>-</v>
          </cell>
          <cell r="AK384" t="str">
            <v>-</v>
          </cell>
          <cell r="AL384" t="str">
            <v>-</v>
          </cell>
          <cell r="AM384" t="str">
            <v>-</v>
          </cell>
          <cell r="AN384" t="str">
            <v>-</v>
          </cell>
          <cell r="AO384" t="str">
            <v>-</v>
          </cell>
          <cell r="AP384" t="str">
            <v>-</v>
          </cell>
          <cell r="AQ384" t="str">
            <v>-</v>
          </cell>
          <cell r="AR384" t="str">
            <v>-</v>
          </cell>
          <cell r="AS384" t="str">
            <v>-</v>
          </cell>
          <cell r="AT384" t="str">
            <v>-</v>
          </cell>
          <cell r="AU384" t="str">
            <v>-</v>
          </cell>
          <cell r="AV384" t="str">
            <v>-</v>
          </cell>
          <cell r="AW384" t="str">
            <v>-</v>
          </cell>
          <cell r="AX384" t="str">
            <v>-</v>
          </cell>
          <cell r="AY384" t="str">
            <v>-</v>
          </cell>
          <cell r="AZ384" t="str">
            <v>-</v>
          </cell>
          <cell r="BA384" t="str">
            <v>-</v>
          </cell>
          <cell r="BB384" t="str">
            <v>-</v>
          </cell>
          <cell r="BC384" t="str">
            <v>-</v>
          </cell>
          <cell r="BD384" t="str">
            <v>-</v>
          </cell>
          <cell r="BE384" t="str">
            <v>-</v>
          </cell>
          <cell r="BF384" t="str">
            <v>-</v>
          </cell>
          <cell r="BG384" t="str">
            <v>-</v>
          </cell>
          <cell r="BH384" t="str">
            <v>-</v>
          </cell>
          <cell r="BI384" t="str">
            <v>-</v>
          </cell>
          <cell r="BJ384" t="str">
            <v>-</v>
          </cell>
          <cell r="BK384" t="str">
            <v>-</v>
          </cell>
          <cell r="BL384" t="str">
            <v>-</v>
          </cell>
          <cell r="BM384">
            <v>0</v>
          </cell>
          <cell r="BN384">
            <v>0</v>
          </cell>
          <cell r="BO384" t="str">
            <v>-</v>
          </cell>
          <cell r="BP384" t="str">
            <v>-</v>
          </cell>
          <cell r="BQ384">
            <v>0</v>
          </cell>
          <cell r="BR384">
            <v>0</v>
          </cell>
          <cell r="BS384">
            <v>0</v>
          </cell>
          <cell r="BT384">
            <v>0</v>
          </cell>
        </row>
        <row r="385">
          <cell r="A385" t="str">
            <v>Slovenia2019100 / 100</v>
          </cell>
          <cell r="B385" t="str">
            <v>Slovenia</v>
          </cell>
          <cell r="C385">
            <v>2019</v>
          </cell>
          <cell r="D385" t="str">
            <v>100 / 100</v>
          </cell>
          <cell r="E385">
            <v>20265</v>
          </cell>
          <cell r="F385">
            <v>1688.75</v>
          </cell>
          <cell r="G385">
            <v>389.71453626566353</v>
          </cell>
          <cell r="H385">
            <v>77.942907253132702</v>
          </cell>
          <cell r="I385">
            <v>20265</v>
          </cell>
          <cell r="J385">
            <v>1688.75</v>
          </cell>
          <cell r="K385">
            <v>389.71453626566353</v>
          </cell>
          <cell r="L385">
            <v>77.942907253132702</v>
          </cell>
          <cell r="M385" t="str">
            <v>..</v>
          </cell>
          <cell r="N385" t="str">
            <v>..</v>
          </cell>
          <cell r="O385" t="str">
            <v>..</v>
          </cell>
          <cell r="P385" t="str">
            <v>..</v>
          </cell>
          <cell r="Q385" t="str">
            <v>..</v>
          </cell>
          <cell r="R385" t="str">
            <v>..</v>
          </cell>
          <cell r="S385" t="str">
            <v>..</v>
          </cell>
          <cell r="T385" t="str">
            <v>..</v>
          </cell>
          <cell r="U385" t="str">
            <v>..</v>
          </cell>
          <cell r="V385">
            <v>0</v>
          </cell>
          <cell r="W385">
            <v>0</v>
          </cell>
          <cell r="X385">
            <v>0</v>
          </cell>
          <cell r="Y385" t="str">
            <v>-</v>
          </cell>
          <cell r="Z385"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5" t="str">
            <v>-</v>
          </cell>
          <cell r="AB385" t="str">
            <v>-</v>
          </cell>
          <cell r="AC385" t="str">
            <v>-</v>
          </cell>
          <cell r="AD385" t="str">
            <v>-</v>
          </cell>
          <cell r="AE385" t="str">
            <v>-</v>
          </cell>
          <cell r="AF385" t="str">
            <v>-</v>
          </cell>
          <cell r="AG385" t="str">
            <v>-</v>
          </cell>
          <cell r="AH385" t="str">
            <v>-</v>
          </cell>
          <cell r="AI385" t="str">
            <v>-</v>
          </cell>
          <cell r="AJ385" t="str">
            <v>-</v>
          </cell>
          <cell r="AK385" t="str">
            <v>-</v>
          </cell>
          <cell r="AL385" t="str">
            <v>-</v>
          </cell>
          <cell r="AM385" t="str">
            <v>-</v>
          </cell>
          <cell r="AN385" t="str">
            <v>-</v>
          </cell>
          <cell r="AO385" t="str">
            <v>-</v>
          </cell>
          <cell r="AP385" t="str">
            <v>-</v>
          </cell>
          <cell r="AQ385" t="str">
            <v>-</v>
          </cell>
          <cell r="AR385" t="str">
            <v>-</v>
          </cell>
          <cell r="AS385" t="str">
            <v>-</v>
          </cell>
          <cell r="AT385" t="str">
            <v>-</v>
          </cell>
          <cell r="AU385" t="str">
            <v>-</v>
          </cell>
          <cell r="AV385" t="str">
            <v>-</v>
          </cell>
          <cell r="AW385" t="str">
            <v>-</v>
          </cell>
          <cell r="AX385" t="str">
            <v>-</v>
          </cell>
          <cell r="AY385" t="str">
            <v>-</v>
          </cell>
          <cell r="AZ385" t="str">
            <v>-</v>
          </cell>
          <cell r="BA385" t="str">
            <v>-</v>
          </cell>
          <cell r="BB385" t="str">
            <v>-</v>
          </cell>
          <cell r="BC385" t="str">
            <v>-</v>
          </cell>
          <cell r="BD385" t="str">
            <v>-</v>
          </cell>
          <cell r="BE385" t="str">
            <v>-</v>
          </cell>
          <cell r="BF385" t="str">
            <v>-</v>
          </cell>
          <cell r="BG385" t="str">
            <v>-</v>
          </cell>
          <cell r="BH385" t="str">
            <v>-</v>
          </cell>
          <cell r="BI385" t="str">
            <v>-</v>
          </cell>
          <cell r="BJ385" t="str">
            <v>-</v>
          </cell>
          <cell r="BK385" t="str">
            <v>-</v>
          </cell>
          <cell r="BL385" t="str">
            <v>-</v>
          </cell>
          <cell r="BM385">
            <v>0</v>
          </cell>
          <cell r="BN385">
            <v>0</v>
          </cell>
          <cell r="BO385" t="str">
            <v>-</v>
          </cell>
          <cell r="BP385" t="str">
            <v>-</v>
          </cell>
          <cell r="BQ385">
            <v>0</v>
          </cell>
          <cell r="BR385">
            <v>0</v>
          </cell>
          <cell r="BS385">
            <v>0</v>
          </cell>
          <cell r="BT385">
            <v>0</v>
          </cell>
        </row>
        <row r="386">
          <cell r="A386" t="str">
            <v>Slovenia2020100 / 100</v>
          </cell>
          <cell r="B386" t="str">
            <v>Slovenia</v>
          </cell>
          <cell r="C386">
            <v>2020</v>
          </cell>
          <cell r="D386" t="str">
            <v>100 / 100</v>
          </cell>
          <cell r="E386">
            <v>21054</v>
          </cell>
          <cell r="F386">
            <v>1754.5</v>
          </cell>
          <cell r="G386">
            <v>404.88772990561461</v>
          </cell>
          <cell r="H386">
            <v>80.977545981122915</v>
          </cell>
          <cell r="I386">
            <v>21054</v>
          </cell>
          <cell r="J386">
            <v>1754.5</v>
          </cell>
          <cell r="K386">
            <v>404.88772990561461</v>
          </cell>
          <cell r="L386">
            <v>80.977545981122915</v>
          </cell>
          <cell r="M386" t="str">
            <v>..</v>
          </cell>
          <cell r="N386" t="str">
            <v>..</v>
          </cell>
          <cell r="O386" t="str">
            <v>..</v>
          </cell>
          <cell r="P386" t="str">
            <v>..</v>
          </cell>
          <cell r="Q386" t="str">
            <v>..</v>
          </cell>
          <cell r="R386" t="str">
            <v>..</v>
          </cell>
          <cell r="S386" t="str">
            <v>..</v>
          </cell>
          <cell r="T386" t="str">
            <v>..</v>
          </cell>
          <cell r="U386" t="str">
            <v>..</v>
          </cell>
          <cell r="V386">
            <v>0</v>
          </cell>
          <cell r="W386">
            <v>0</v>
          </cell>
          <cell r="X386">
            <v>0</v>
          </cell>
          <cell r="Y386" t="str">
            <v>-</v>
          </cell>
          <cell r="Z386"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6" t="str">
            <v>-</v>
          </cell>
          <cell r="AB386" t="str">
            <v>-</v>
          </cell>
          <cell r="AC386" t="str">
            <v>-</v>
          </cell>
          <cell r="AD386" t="str">
            <v>-</v>
          </cell>
          <cell r="AE386" t="str">
            <v>-</v>
          </cell>
          <cell r="AF386" t="str">
            <v>-</v>
          </cell>
          <cell r="AG386" t="str">
            <v>-</v>
          </cell>
          <cell r="AH386" t="str">
            <v>-</v>
          </cell>
          <cell r="AI386" t="str">
            <v>-</v>
          </cell>
          <cell r="AJ386" t="str">
            <v>-</v>
          </cell>
          <cell r="AK386" t="str">
            <v>-</v>
          </cell>
          <cell r="AL386" t="str">
            <v>-</v>
          </cell>
          <cell r="AM386" t="str">
            <v>-</v>
          </cell>
          <cell r="AN386" t="str">
            <v>-</v>
          </cell>
          <cell r="AO386" t="str">
            <v>-</v>
          </cell>
          <cell r="AP386" t="str">
            <v>-</v>
          </cell>
          <cell r="AQ386" t="str">
            <v>-</v>
          </cell>
          <cell r="AR386" t="str">
            <v>-</v>
          </cell>
          <cell r="AS386" t="str">
            <v>-</v>
          </cell>
          <cell r="AT386" t="str">
            <v>-</v>
          </cell>
          <cell r="AU386" t="str">
            <v>-</v>
          </cell>
          <cell r="AV386" t="str">
            <v>-</v>
          </cell>
          <cell r="AW386" t="str">
            <v>-</v>
          </cell>
          <cell r="AX386" t="str">
            <v>-</v>
          </cell>
          <cell r="AY386" t="str">
            <v>-</v>
          </cell>
          <cell r="AZ386" t="str">
            <v>-</v>
          </cell>
          <cell r="BA386" t="str">
            <v>-</v>
          </cell>
          <cell r="BB386" t="str">
            <v>-</v>
          </cell>
          <cell r="BC386" t="str">
            <v>-</v>
          </cell>
          <cell r="BD386" t="str">
            <v>-</v>
          </cell>
          <cell r="BE386" t="str">
            <v>-</v>
          </cell>
          <cell r="BF386" t="str">
            <v>-</v>
          </cell>
          <cell r="BG386" t="str">
            <v>-</v>
          </cell>
          <cell r="BH386" t="str">
            <v>-</v>
          </cell>
          <cell r="BI386" t="str">
            <v>-</v>
          </cell>
          <cell r="BJ386" t="str">
            <v>-</v>
          </cell>
          <cell r="BK386" t="str">
            <v>-</v>
          </cell>
          <cell r="BL386" t="str">
            <v>-</v>
          </cell>
          <cell r="BM386">
            <v>0</v>
          </cell>
          <cell r="BN386">
            <v>0</v>
          </cell>
          <cell r="BO386" t="str">
            <v>-</v>
          </cell>
          <cell r="BP386" t="str">
            <v>-</v>
          </cell>
          <cell r="BQ386">
            <v>0</v>
          </cell>
          <cell r="BR386">
            <v>0</v>
          </cell>
          <cell r="BS386">
            <v>0</v>
          </cell>
          <cell r="BT386">
            <v>0</v>
          </cell>
        </row>
        <row r="387">
          <cell r="A387" t="str">
            <v>Slovenia2021100 / 100</v>
          </cell>
          <cell r="B387" t="str">
            <v>Slovenia</v>
          </cell>
          <cell r="C387">
            <v>2021</v>
          </cell>
          <cell r="D387" t="str">
            <v>100 / 100</v>
          </cell>
          <cell r="E387">
            <v>22276</v>
          </cell>
          <cell r="F387">
            <v>1856.3333333333333</v>
          </cell>
          <cell r="G387">
            <v>428.38791067623589</v>
          </cell>
          <cell r="H387">
            <v>85.677582135247178</v>
          </cell>
          <cell r="I387">
            <v>22276</v>
          </cell>
          <cell r="J387">
            <v>1856.3333333333333</v>
          </cell>
          <cell r="K387">
            <v>428.38791067623589</v>
          </cell>
          <cell r="L387">
            <v>85.677582135247178</v>
          </cell>
          <cell r="M387" t="str">
            <v>..</v>
          </cell>
          <cell r="N387" t="str">
            <v>..</v>
          </cell>
          <cell r="O387" t="str">
            <v>..</v>
          </cell>
          <cell r="P387" t="str">
            <v>..</v>
          </cell>
          <cell r="Q387" t="str">
            <v>..</v>
          </cell>
          <cell r="R387" t="str">
            <v>..</v>
          </cell>
          <cell r="S387" t="str">
            <v>..</v>
          </cell>
          <cell r="T387" t="str">
            <v>..</v>
          </cell>
          <cell r="U387" t="str">
            <v>..</v>
          </cell>
          <cell r="V387">
            <v>0</v>
          </cell>
          <cell r="W387">
            <v>0</v>
          </cell>
          <cell r="X387">
            <v>0</v>
          </cell>
          <cell r="Y387" t="str">
            <v>-</v>
          </cell>
          <cell r="Z387"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7" t="str">
            <v>-</v>
          </cell>
          <cell r="AB387" t="str">
            <v>-</v>
          </cell>
          <cell r="AC387" t="str">
            <v>-</v>
          </cell>
          <cell r="AD387" t="str">
            <v>-</v>
          </cell>
          <cell r="AE387" t="str">
            <v>-</v>
          </cell>
          <cell r="AF387" t="str">
            <v>-</v>
          </cell>
          <cell r="AG387" t="str">
            <v>-</v>
          </cell>
          <cell r="AH387" t="str">
            <v>-</v>
          </cell>
          <cell r="AI387" t="str">
            <v>-</v>
          </cell>
          <cell r="AJ387" t="str">
            <v>-</v>
          </cell>
          <cell r="AK387" t="str">
            <v>-</v>
          </cell>
          <cell r="AL387" t="str">
            <v>-</v>
          </cell>
          <cell r="AM387" t="str">
            <v>-</v>
          </cell>
          <cell r="AN387" t="str">
            <v>-</v>
          </cell>
          <cell r="AO387" t="str">
            <v>-</v>
          </cell>
          <cell r="AP387" t="str">
            <v>-</v>
          </cell>
          <cell r="AQ387" t="str">
            <v>-</v>
          </cell>
          <cell r="AR387" t="str">
            <v>-</v>
          </cell>
          <cell r="AS387" t="str">
            <v>-</v>
          </cell>
          <cell r="AT387" t="str">
            <v>-</v>
          </cell>
          <cell r="AU387" t="str">
            <v>-</v>
          </cell>
          <cell r="AV387" t="str">
            <v>-</v>
          </cell>
          <cell r="AW387" t="str">
            <v>-</v>
          </cell>
          <cell r="AX387" t="str">
            <v>-</v>
          </cell>
          <cell r="AY387" t="str">
            <v>-</v>
          </cell>
          <cell r="AZ387" t="str">
            <v>-</v>
          </cell>
          <cell r="BA387" t="str">
            <v>-</v>
          </cell>
          <cell r="BB387" t="str">
            <v>-</v>
          </cell>
          <cell r="BC387" t="str">
            <v>-</v>
          </cell>
          <cell r="BD387" t="str">
            <v>-</v>
          </cell>
          <cell r="BE387" t="str">
            <v>-</v>
          </cell>
          <cell r="BF387" t="str">
            <v>-</v>
          </cell>
          <cell r="BG387" t="str">
            <v>-</v>
          </cell>
          <cell r="BH387" t="str">
            <v>-</v>
          </cell>
          <cell r="BI387" t="str">
            <v>-</v>
          </cell>
          <cell r="BJ387" t="str">
            <v>-</v>
          </cell>
          <cell r="BK387" t="str">
            <v>-</v>
          </cell>
          <cell r="BL387" t="str">
            <v>-</v>
          </cell>
          <cell r="BM387">
            <v>0</v>
          </cell>
          <cell r="BN387">
            <v>0</v>
          </cell>
          <cell r="BO387" t="str">
            <v>-</v>
          </cell>
          <cell r="BP387" t="str">
            <v>-</v>
          </cell>
          <cell r="BQ387">
            <v>0</v>
          </cell>
          <cell r="BR387">
            <v>0</v>
          </cell>
          <cell r="BS387">
            <v>0</v>
          </cell>
          <cell r="BT387">
            <v>0</v>
          </cell>
        </row>
        <row r="388">
          <cell r="A388" t="str">
            <v>Slovenia2022100 / 100</v>
          </cell>
          <cell r="B388" t="str">
            <v>Slovenia</v>
          </cell>
          <cell r="C388">
            <v>2022</v>
          </cell>
          <cell r="D388" t="str">
            <v>100 / 100</v>
          </cell>
          <cell r="E388">
            <v>23632</v>
          </cell>
          <cell r="F388">
            <v>1969.3333333333333</v>
          </cell>
          <cell r="G388">
            <v>454.46503434641801</v>
          </cell>
          <cell r="H388">
            <v>90.893006869283596</v>
          </cell>
          <cell r="I388">
            <v>23632</v>
          </cell>
          <cell r="J388">
            <v>1969.3333333333333</v>
          </cell>
          <cell r="K388">
            <v>454.46503434641801</v>
          </cell>
          <cell r="L388">
            <v>90.893006869283596</v>
          </cell>
          <cell r="M388" t="str">
            <v>..</v>
          </cell>
          <cell r="N388" t="str">
            <v>..</v>
          </cell>
          <cell r="O388" t="str">
            <v>..</v>
          </cell>
          <cell r="P388" t="str">
            <v>..</v>
          </cell>
          <cell r="Q388" t="str">
            <v>..</v>
          </cell>
          <cell r="R388" t="str">
            <v>..</v>
          </cell>
          <cell r="S388" t="str">
            <v>..</v>
          </cell>
          <cell r="T388" t="str">
            <v>..</v>
          </cell>
          <cell r="U388" t="str">
            <v>..</v>
          </cell>
          <cell r="V388">
            <v>0</v>
          </cell>
          <cell r="W388">
            <v>0</v>
          </cell>
          <cell r="X388">
            <v>0</v>
          </cell>
          <cell r="Y388" t="str">
            <v>-</v>
          </cell>
          <cell r="Z388" t="str">
            <v>Technically, from 2015, parental leave an individual entitlement - 130 calender days for each parent. However, the mother is allowed to transfer 100 days to the father, and the father is allowed to transfer all 130 days to the mother. Thus, effectively the entitlement is a 230 day sharable entitlement with a 30 day period reserved exclusively for the mother. As a result, is classified under 'leave available to mothers'</v>
          </cell>
          <cell r="AA388" t="str">
            <v>-</v>
          </cell>
          <cell r="AB388" t="str">
            <v>-</v>
          </cell>
          <cell r="AC388" t="str">
            <v>-</v>
          </cell>
          <cell r="AD388" t="str">
            <v>-</v>
          </cell>
          <cell r="AE388" t="str">
            <v>-</v>
          </cell>
          <cell r="AF388" t="str">
            <v>-</v>
          </cell>
          <cell r="AG388" t="str">
            <v>-</v>
          </cell>
          <cell r="AH388" t="str">
            <v>-</v>
          </cell>
          <cell r="AI388" t="str">
            <v>-</v>
          </cell>
          <cell r="AJ388" t="str">
            <v>-</v>
          </cell>
          <cell r="AK388" t="str">
            <v>-</v>
          </cell>
          <cell r="AL388" t="str">
            <v>-</v>
          </cell>
          <cell r="AM388" t="str">
            <v>-</v>
          </cell>
          <cell r="AN388" t="str">
            <v>-</v>
          </cell>
          <cell r="AO388" t="str">
            <v>-</v>
          </cell>
          <cell r="AP388" t="str">
            <v>-</v>
          </cell>
          <cell r="AQ388" t="str">
            <v>-</v>
          </cell>
          <cell r="AR388" t="str">
            <v>-</v>
          </cell>
          <cell r="AS388" t="str">
            <v>-</v>
          </cell>
          <cell r="AT388" t="str">
            <v>-</v>
          </cell>
          <cell r="AU388" t="str">
            <v>-</v>
          </cell>
          <cell r="AV388" t="str">
            <v>-</v>
          </cell>
          <cell r="AW388" t="str">
            <v>-</v>
          </cell>
          <cell r="AX388" t="str">
            <v>-</v>
          </cell>
          <cell r="AY388" t="str">
            <v>-</v>
          </cell>
          <cell r="AZ388" t="str">
            <v>-</v>
          </cell>
          <cell r="BA388" t="str">
            <v>-</v>
          </cell>
          <cell r="BB388" t="str">
            <v>-</v>
          </cell>
          <cell r="BC388" t="str">
            <v>-</v>
          </cell>
          <cell r="BD388" t="str">
            <v>-</v>
          </cell>
          <cell r="BE388" t="str">
            <v>-</v>
          </cell>
          <cell r="BF388" t="str">
            <v>-</v>
          </cell>
          <cell r="BG388" t="str">
            <v>-</v>
          </cell>
          <cell r="BH388" t="str">
            <v>-</v>
          </cell>
          <cell r="BI388" t="str">
            <v>-</v>
          </cell>
          <cell r="BJ388" t="str">
            <v>-</v>
          </cell>
          <cell r="BK388" t="str">
            <v>-</v>
          </cell>
          <cell r="BL388" t="str">
            <v>-</v>
          </cell>
          <cell r="BM388">
            <v>0</v>
          </cell>
          <cell r="BN388">
            <v>0</v>
          </cell>
          <cell r="BO388" t="str">
            <v>-</v>
          </cell>
          <cell r="BP388" t="str">
            <v>-</v>
          </cell>
          <cell r="BQ388">
            <v>0</v>
          </cell>
          <cell r="BR388">
            <v>0</v>
          </cell>
          <cell r="BS388">
            <v>0</v>
          </cell>
          <cell r="BT388">
            <v>0</v>
          </cell>
        </row>
        <row r="389">
          <cell r="A389" t="str">
            <v>Slovenia2023100 / 100</v>
          </cell>
          <cell r="B389" t="str">
            <v>Slovenia</v>
          </cell>
          <cell r="C389">
            <v>2023</v>
          </cell>
          <cell r="D389" t="str">
            <v>100 / 100</v>
          </cell>
          <cell r="E389">
            <v>25634.719000000001</v>
          </cell>
          <cell r="F389">
            <v>2136.2265833333336</v>
          </cell>
          <cell r="G389">
            <v>492.979157531981</v>
          </cell>
          <cell r="H389">
            <v>98.595831506396195</v>
          </cell>
          <cell r="I389">
            <v>25634.719000000001</v>
          </cell>
          <cell r="J389">
            <v>2136.2265833333336</v>
          </cell>
          <cell r="K389">
            <v>492.979157531981</v>
          </cell>
          <cell r="L389">
            <v>98.595831506396195</v>
          </cell>
          <cell r="M389" t="str">
            <v>..</v>
          </cell>
          <cell r="N389" t="str">
            <v>..</v>
          </cell>
          <cell r="O389" t="str">
            <v>..</v>
          </cell>
          <cell r="P389" t="str">
            <v>..</v>
          </cell>
          <cell r="Q389" t="str">
            <v>..</v>
          </cell>
          <cell r="R389" t="str">
            <v>..</v>
          </cell>
          <cell r="S389" t="str">
            <v>..</v>
          </cell>
          <cell r="T389" t="str">
            <v>..</v>
          </cell>
          <cell r="U389" t="str">
            <v>..</v>
          </cell>
          <cell r="V389">
            <v>8.5714285714285712</v>
          </cell>
          <cell r="W389">
            <v>8.5714285714285712</v>
          </cell>
          <cell r="X389">
            <v>0</v>
          </cell>
          <cell r="Y389" t="str">
            <v>-</v>
          </cell>
          <cell r="Z389" t="str">
            <v>60 calendar days of non-transferable parental leave</v>
          </cell>
          <cell r="AA389" t="str">
            <v xml:space="preserve">Gross </v>
          </cell>
          <cell r="AB389" t="str">
            <v>N</v>
          </cell>
          <cell r="AC389">
            <v>8.5714285714285712</v>
          </cell>
          <cell r="AD389">
            <v>1</v>
          </cell>
          <cell r="AE389">
            <v>5059.8</v>
          </cell>
          <cell r="AF389" t="str">
            <v>month</v>
          </cell>
          <cell r="AG389" t="str">
            <v>-</v>
          </cell>
          <cell r="AH389" t="str">
            <v>-</v>
          </cell>
          <cell r="AI389" t="str">
            <v>-</v>
          </cell>
          <cell r="AJ389" t="str">
            <v>-</v>
          </cell>
          <cell r="AK389" t="str">
            <v>-</v>
          </cell>
          <cell r="AL389" t="str">
            <v>-</v>
          </cell>
          <cell r="AM389" t="str">
            <v>-</v>
          </cell>
          <cell r="AN389" t="str">
            <v>-</v>
          </cell>
          <cell r="AO389" t="str">
            <v>-</v>
          </cell>
          <cell r="AP389" t="str">
            <v>-</v>
          </cell>
          <cell r="AQ389" t="str">
            <v>-</v>
          </cell>
          <cell r="AR389" t="str">
            <v>-</v>
          </cell>
          <cell r="AS389" t="str">
            <v>-</v>
          </cell>
          <cell r="AT389" t="str">
            <v>-</v>
          </cell>
          <cell r="AU389" t="str">
            <v>-</v>
          </cell>
          <cell r="AV389" t="str">
            <v>-</v>
          </cell>
          <cell r="AW389" t="str">
            <v>-</v>
          </cell>
          <cell r="AX389" t="str">
            <v>-</v>
          </cell>
          <cell r="AY389" t="str">
            <v>-</v>
          </cell>
          <cell r="AZ389" t="str">
            <v>-</v>
          </cell>
          <cell r="BA389" t="str">
            <v>-</v>
          </cell>
          <cell r="BB389" t="str">
            <v>-</v>
          </cell>
          <cell r="BC389" t="str">
            <v>-</v>
          </cell>
          <cell r="BD389" t="str">
            <v>-</v>
          </cell>
          <cell r="BE389" t="str">
            <v>-</v>
          </cell>
          <cell r="BF389" t="str">
            <v>-</v>
          </cell>
          <cell r="BG389" t="str">
            <v>-</v>
          </cell>
          <cell r="BH389" t="str">
            <v>-</v>
          </cell>
          <cell r="BI389" t="str">
            <v>-</v>
          </cell>
          <cell r="BJ389" t="str">
            <v>-</v>
          </cell>
          <cell r="BK389" t="str">
            <v>-</v>
          </cell>
          <cell r="BL389" t="str">
            <v>-</v>
          </cell>
          <cell r="BM389">
            <v>1</v>
          </cell>
          <cell r="BN389">
            <v>1</v>
          </cell>
          <cell r="BO389" t="str">
            <v>-</v>
          </cell>
          <cell r="BP389" t="str">
            <v>-</v>
          </cell>
          <cell r="BQ389">
            <v>25634.719000000001</v>
          </cell>
          <cell r="BR389">
            <v>2136.2265833333336</v>
          </cell>
          <cell r="BS389">
            <v>492.979157531981</v>
          </cell>
          <cell r="BT389">
            <v>98.595831506396195</v>
          </cell>
        </row>
        <row r="390">
          <cell r="A390" t="str">
            <v>Slovenia2024100 / 100</v>
          </cell>
          <cell r="B390" t="str">
            <v>Slovenia</v>
          </cell>
          <cell r="C390">
            <v>2024</v>
          </cell>
          <cell r="D390" t="str">
            <v>100 / 100</v>
          </cell>
          <cell r="E390">
            <v>27755.7</v>
          </cell>
          <cell r="F390">
            <v>2312.9749999999999</v>
          </cell>
          <cell r="G390">
            <v>533.76756744282636</v>
          </cell>
          <cell r="H390">
            <v>106.75351348856528</v>
          </cell>
          <cell r="I390">
            <v>27755.7</v>
          </cell>
          <cell r="J390">
            <v>2312.9749999999999</v>
          </cell>
          <cell r="K390">
            <v>533.76756744282636</v>
          </cell>
          <cell r="L390">
            <v>106.75351348856528</v>
          </cell>
          <cell r="M390" t="str">
            <v>..</v>
          </cell>
          <cell r="N390" t="str">
            <v>..</v>
          </cell>
          <cell r="O390" t="str">
            <v>..</v>
          </cell>
          <cell r="P390" t="str">
            <v>..</v>
          </cell>
          <cell r="Q390" t="str">
            <v>..</v>
          </cell>
          <cell r="R390" t="str">
            <v>..</v>
          </cell>
          <cell r="S390" t="str">
            <v>..</v>
          </cell>
          <cell r="T390" t="str">
            <v>..</v>
          </cell>
          <cell r="U390" t="str">
            <v>..</v>
          </cell>
          <cell r="V390">
            <v>8.5714285714285712</v>
          </cell>
          <cell r="W390">
            <v>8.5714285714285712</v>
          </cell>
          <cell r="X390">
            <v>0</v>
          </cell>
          <cell r="Y390" t="str">
            <v>-</v>
          </cell>
          <cell r="Z390" t="str">
            <v>60 calendar days of non-transferable parental leave</v>
          </cell>
          <cell r="AA390" t="str">
            <v xml:space="preserve">Gross </v>
          </cell>
          <cell r="AB390" t="str">
            <v>N</v>
          </cell>
          <cell r="AC390">
            <v>8.5714285714285712</v>
          </cell>
          <cell r="AD390">
            <v>1</v>
          </cell>
          <cell r="AE390">
            <v>5552.37</v>
          </cell>
          <cell r="AF390" t="str">
            <v>month</v>
          </cell>
          <cell r="AG390" t="str">
            <v>-</v>
          </cell>
          <cell r="AH390" t="str">
            <v>-</v>
          </cell>
          <cell r="AI390" t="str">
            <v>-</v>
          </cell>
          <cell r="AJ390" t="str">
            <v>-</v>
          </cell>
          <cell r="AK390" t="str">
            <v>-</v>
          </cell>
          <cell r="AL390" t="str">
            <v>-</v>
          </cell>
          <cell r="AM390" t="str">
            <v>-</v>
          </cell>
          <cell r="AN390" t="str">
            <v>-</v>
          </cell>
          <cell r="AO390" t="str">
            <v>-</v>
          </cell>
          <cell r="AP390" t="str">
            <v>-</v>
          </cell>
          <cell r="AQ390" t="str">
            <v>-</v>
          </cell>
          <cell r="AR390" t="str">
            <v>-</v>
          </cell>
          <cell r="AS390" t="str">
            <v>-</v>
          </cell>
          <cell r="AT390" t="str">
            <v>-</v>
          </cell>
          <cell r="AU390" t="str">
            <v>-</v>
          </cell>
          <cell r="AV390" t="str">
            <v>-</v>
          </cell>
          <cell r="AW390" t="str">
            <v>-</v>
          </cell>
          <cell r="AX390" t="str">
            <v>-</v>
          </cell>
          <cell r="AY390" t="str">
            <v>-</v>
          </cell>
          <cell r="AZ390" t="str">
            <v>-</v>
          </cell>
          <cell r="BA390" t="str">
            <v>-</v>
          </cell>
          <cell r="BB390" t="str">
            <v>-</v>
          </cell>
          <cell r="BC390" t="str">
            <v>-</v>
          </cell>
          <cell r="BD390" t="str">
            <v>-</v>
          </cell>
          <cell r="BE390" t="str">
            <v>-</v>
          </cell>
          <cell r="BF390" t="str">
            <v>-</v>
          </cell>
          <cell r="BG390" t="str">
            <v>-</v>
          </cell>
          <cell r="BH390" t="str">
            <v>-</v>
          </cell>
          <cell r="BI390" t="str">
            <v>-</v>
          </cell>
          <cell r="BJ390" t="str">
            <v>-</v>
          </cell>
          <cell r="BK390" t="str">
            <v>-</v>
          </cell>
          <cell r="BL390" t="str">
            <v>-</v>
          </cell>
          <cell r="BM390">
            <v>1</v>
          </cell>
          <cell r="BN390">
            <v>1</v>
          </cell>
          <cell r="BO390" t="str">
            <v>-</v>
          </cell>
          <cell r="BP390" t="str">
            <v>-</v>
          </cell>
          <cell r="BQ390">
            <v>27755.7</v>
          </cell>
          <cell r="BR390">
            <v>2312.9749999999999</v>
          </cell>
          <cell r="BS390">
            <v>533.76756744282636</v>
          </cell>
          <cell r="BT390">
            <v>106.75351348856528</v>
          </cell>
        </row>
        <row r="391">
          <cell r="A391" t="str">
            <v>Slovenia2025100 / 100</v>
          </cell>
          <cell r="B391" t="str">
            <v>Slovenia</v>
          </cell>
          <cell r="C391">
            <v>2025</v>
          </cell>
          <cell r="D391" t="str">
            <v>100 / 100</v>
          </cell>
          <cell r="E391">
            <v>27755.7</v>
          </cell>
          <cell r="F391">
            <v>2312.9749999999999</v>
          </cell>
          <cell r="G391">
            <v>533.76756744282636</v>
          </cell>
          <cell r="H391">
            <v>106.75351348856528</v>
          </cell>
          <cell r="I391">
            <v>27755.7</v>
          </cell>
          <cell r="J391">
            <v>2312.9749999999999</v>
          </cell>
          <cell r="K391">
            <v>533.76756744282636</v>
          </cell>
          <cell r="L391">
            <v>106.75351348856528</v>
          </cell>
          <cell r="M391" t="str">
            <v>..</v>
          </cell>
          <cell r="N391" t="str">
            <v>..</v>
          </cell>
          <cell r="O391" t="str">
            <v>..</v>
          </cell>
          <cell r="P391" t="str">
            <v>..</v>
          </cell>
          <cell r="Q391" t="str">
            <v>..</v>
          </cell>
          <cell r="R391" t="str">
            <v>..</v>
          </cell>
          <cell r="S391" t="str">
            <v>..</v>
          </cell>
          <cell r="T391" t="str">
            <v>..</v>
          </cell>
          <cell r="U391" t="str">
            <v>..</v>
          </cell>
          <cell r="V391">
            <v>8.5714285714285712</v>
          </cell>
          <cell r="W391">
            <v>8.5714285714285712</v>
          </cell>
          <cell r="X391">
            <v>0</v>
          </cell>
          <cell r="Y391" t="str">
            <v>-</v>
          </cell>
          <cell r="Z391" t="str">
            <v>60 calendar days of non-transferable parental leave</v>
          </cell>
          <cell r="AA391" t="str">
            <v xml:space="preserve">Gross </v>
          </cell>
          <cell r="AB391" t="str">
            <v>N</v>
          </cell>
          <cell r="AC391">
            <v>8.5714285714285712</v>
          </cell>
          <cell r="AD391">
            <v>1</v>
          </cell>
          <cell r="AE391">
            <v>5987.3</v>
          </cell>
          <cell r="AF391" t="str">
            <v>month</v>
          </cell>
          <cell r="AG391" t="str">
            <v>-</v>
          </cell>
          <cell r="AH391" t="str">
            <v>-</v>
          </cell>
          <cell r="AI391" t="str">
            <v>-</v>
          </cell>
          <cell r="AJ391" t="str">
            <v>-</v>
          </cell>
          <cell r="AK391" t="str">
            <v>-</v>
          </cell>
          <cell r="AL391" t="str">
            <v>-</v>
          </cell>
          <cell r="AM391" t="str">
            <v>-</v>
          </cell>
          <cell r="AN391" t="str">
            <v>-</v>
          </cell>
          <cell r="AO391" t="str">
            <v>-</v>
          </cell>
          <cell r="AP391" t="str">
            <v>-</v>
          </cell>
          <cell r="AQ391" t="str">
            <v>-</v>
          </cell>
          <cell r="AR391" t="str">
            <v>-</v>
          </cell>
          <cell r="AS391" t="str">
            <v>-</v>
          </cell>
          <cell r="AT391" t="str">
            <v>-</v>
          </cell>
          <cell r="AU391" t="str">
            <v>-</v>
          </cell>
          <cell r="AV391" t="str">
            <v>-</v>
          </cell>
          <cell r="AW391" t="str">
            <v>-</v>
          </cell>
          <cell r="AX391" t="str">
            <v>-</v>
          </cell>
          <cell r="AY391" t="str">
            <v>-</v>
          </cell>
          <cell r="AZ391" t="str">
            <v>-</v>
          </cell>
          <cell r="BA391" t="str">
            <v>-</v>
          </cell>
          <cell r="BB391" t="str">
            <v>-</v>
          </cell>
          <cell r="BC391" t="str">
            <v>-</v>
          </cell>
          <cell r="BD391" t="str">
            <v>-</v>
          </cell>
          <cell r="BE391" t="str">
            <v>-</v>
          </cell>
          <cell r="BF391" t="str">
            <v>-</v>
          </cell>
          <cell r="BG391" t="str">
            <v>-</v>
          </cell>
          <cell r="BH391" t="str">
            <v>-</v>
          </cell>
          <cell r="BI391" t="str">
            <v>-</v>
          </cell>
          <cell r="BJ391" t="str">
            <v>-</v>
          </cell>
          <cell r="BK391" t="str">
            <v>-</v>
          </cell>
          <cell r="BL391" t="str">
            <v>-</v>
          </cell>
          <cell r="BM391">
            <v>1</v>
          </cell>
          <cell r="BN391">
            <v>1</v>
          </cell>
          <cell r="BO391" t="str">
            <v>-</v>
          </cell>
          <cell r="BP391" t="str">
            <v>-</v>
          </cell>
          <cell r="BQ391">
            <v>27755.7</v>
          </cell>
          <cell r="BR391">
            <v>2312.9749999999999</v>
          </cell>
          <cell r="BS391">
            <v>533.76756744282636</v>
          </cell>
          <cell r="BT391">
            <v>106.75351348856528</v>
          </cell>
        </row>
        <row r="392">
          <cell r="A392" t="str">
            <v>Spain2014100 / 100</v>
          </cell>
          <cell r="B392" t="str">
            <v>Spain</v>
          </cell>
          <cell r="C392">
            <v>2014</v>
          </cell>
          <cell r="D392" t="str">
            <v>100 / 100</v>
          </cell>
          <cell r="E392">
            <v>26190.78</v>
          </cell>
          <cell r="F392">
            <v>2182.5650000000001</v>
          </cell>
          <cell r="G392">
            <v>503.67272055938889</v>
          </cell>
          <cell r="H392">
            <v>100.73454411187778</v>
          </cell>
          <cell r="I392">
            <v>26190.78</v>
          </cell>
          <cell r="J392">
            <v>2182.5650000000001</v>
          </cell>
          <cell r="K392">
            <v>503.67272055938889</v>
          </cell>
          <cell r="L392">
            <v>100.73454411187778</v>
          </cell>
          <cell r="M392" t="str">
            <v>..</v>
          </cell>
          <cell r="N392" t="str">
            <v>..</v>
          </cell>
          <cell r="O392" t="str">
            <v>..</v>
          </cell>
          <cell r="P392" t="str">
            <v>..</v>
          </cell>
          <cell r="Q392" t="str">
            <v>..</v>
          </cell>
          <cell r="R392" t="str">
            <v>..</v>
          </cell>
          <cell r="S392" t="str">
            <v>..</v>
          </cell>
          <cell r="T392" t="str">
            <v>..</v>
          </cell>
          <cell r="U392" t="str">
            <v>..</v>
          </cell>
          <cell r="V392">
            <v>156</v>
          </cell>
          <cell r="W392">
            <v>0</v>
          </cell>
          <cell r="X392">
            <v>156</v>
          </cell>
          <cell r="Y392" t="str">
            <v>-</v>
          </cell>
          <cell r="Z392" t="str">
            <v>Parental leave is unpaid</v>
          </cell>
          <cell r="AA392" t="str">
            <v>-</v>
          </cell>
          <cell r="AB392" t="str">
            <v>-</v>
          </cell>
          <cell r="AC392" t="str">
            <v>-</v>
          </cell>
          <cell r="AD392" t="str">
            <v>-</v>
          </cell>
          <cell r="AE392" t="str">
            <v>-</v>
          </cell>
          <cell r="AF392" t="str">
            <v>-</v>
          </cell>
          <cell r="AG392" t="str">
            <v>-</v>
          </cell>
          <cell r="AH392" t="str">
            <v>-</v>
          </cell>
          <cell r="AI392" t="str">
            <v>-</v>
          </cell>
          <cell r="AJ392" t="str">
            <v>-</v>
          </cell>
          <cell r="AK392" t="str">
            <v>-</v>
          </cell>
          <cell r="AL392" t="str">
            <v>-</v>
          </cell>
          <cell r="AM392" t="str">
            <v>-</v>
          </cell>
          <cell r="AN392" t="str">
            <v>-</v>
          </cell>
          <cell r="AO392" t="str">
            <v>-</v>
          </cell>
          <cell r="AP392" t="str">
            <v>-</v>
          </cell>
          <cell r="AQ392" t="str">
            <v>-</v>
          </cell>
          <cell r="AR392" t="str">
            <v>-</v>
          </cell>
          <cell r="AS392" t="str">
            <v>-</v>
          </cell>
          <cell r="AT392" t="str">
            <v>-</v>
          </cell>
          <cell r="AU392" t="str">
            <v>-</v>
          </cell>
          <cell r="AV392" t="str">
            <v>-</v>
          </cell>
          <cell r="AW392" t="str">
            <v>-</v>
          </cell>
          <cell r="AX392" t="str">
            <v>-</v>
          </cell>
          <cell r="AY392" t="str">
            <v>-</v>
          </cell>
          <cell r="AZ392" t="str">
            <v>-</v>
          </cell>
          <cell r="BA392" t="str">
            <v>-</v>
          </cell>
          <cell r="BB392" t="str">
            <v>-</v>
          </cell>
          <cell r="BC392" t="str">
            <v>-</v>
          </cell>
          <cell r="BD392" t="str">
            <v>-</v>
          </cell>
          <cell r="BE392" t="str">
            <v>-</v>
          </cell>
          <cell r="BF392" t="str">
            <v>-</v>
          </cell>
          <cell r="BG392" t="str">
            <v>-</v>
          </cell>
          <cell r="BH392" t="str">
            <v>-</v>
          </cell>
          <cell r="BI392" t="str">
            <v>-</v>
          </cell>
          <cell r="BJ392" t="str">
            <v>-</v>
          </cell>
          <cell r="BK392" t="str">
            <v>-</v>
          </cell>
          <cell r="BL392" t="str">
            <v>-</v>
          </cell>
          <cell r="BM392">
            <v>0</v>
          </cell>
          <cell r="BN392">
            <v>0</v>
          </cell>
          <cell r="BO392" t="str">
            <v>-</v>
          </cell>
          <cell r="BP392" t="str">
            <v>-</v>
          </cell>
          <cell r="BQ392">
            <v>0</v>
          </cell>
          <cell r="BR392">
            <v>0</v>
          </cell>
          <cell r="BS392">
            <v>0</v>
          </cell>
          <cell r="BT392">
            <v>0</v>
          </cell>
        </row>
        <row r="393">
          <cell r="A393" t="str">
            <v>Spain2015100 / 100</v>
          </cell>
          <cell r="B393" t="str">
            <v>Spain</v>
          </cell>
          <cell r="C393">
            <v>2015</v>
          </cell>
          <cell r="D393" t="str">
            <v>100 / 100</v>
          </cell>
          <cell r="E393">
            <v>26475.3</v>
          </cell>
          <cell r="F393">
            <v>2206.2750000000001</v>
          </cell>
          <cell r="G393">
            <v>509.14430111000854</v>
          </cell>
          <cell r="H393">
            <v>101.82886022200171</v>
          </cell>
          <cell r="I393">
            <v>26475.3</v>
          </cell>
          <cell r="J393">
            <v>2206.2750000000001</v>
          </cell>
          <cell r="K393">
            <v>509.14430111000854</v>
          </cell>
          <cell r="L393">
            <v>101.82886022200171</v>
          </cell>
          <cell r="M393" t="str">
            <v>..</v>
          </cell>
          <cell r="N393" t="str">
            <v>..</v>
          </cell>
          <cell r="O393" t="str">
            <v>..</v>
          </cell>
          <cell r="P393" t="str">
            <v>..</v>
          </cell>
          <cell r="Q393" t="str">
            <v>..</v>
          </cell>
          <cell r="R393" t="str">
            <v>..</v>
          </cell>
          <cell r="S393" t="str">
            <v>..</v>
          </cell>
          <cell r="T393" t="str">
            <v>..</v>
          </cell>
          <cell r="U393" t="str">
            <v>..</v>
          </cell>
          <cell r="V393">
            <v>156</v>
          </cell>
          <cell r="W393">
            <v>0</v>
          </cell>
          <cell r="X393">
            <v>156</v>
          </cell>
          <cell r="Y393" t="str">
            <v>-</v>
          </cell>
          <cell r="Z393" t="str">
            <v>Parental leave is unpaid</v>
          </cell>
          <cell r="AA393" t="str">
            <v>-</v>
          </cell>
          <cell r="AB393" t="str">
            <v>-</v>
          </cell>
          <cell r="AC393" t="str">
            <v>-</v>
          </cell>
          <cell r="AD393" t="str">
            <v>-</v>
          </cell>
          <cell r="AE393" t="str">
            <v>-</v>
          </cell>
          <cell r="AF393" t="str">
            <v>-</v>
          </cell>
          <cell r="AG393" t="str">
            <v>-</v>
          </cell>
          <cell r="AH393" t="str">
            <v>-</v>
          </cell>
          <cell r="AI393" t="str">
            <v>-</v>
          </cell>
          <cell r="AJ393" t="str">
            <v>-</v>
          </cell>
          <cell r="AK393" t="str">
            <v>-</v>
          </cell>
          <cell r="AL393" t="str">
            <v>-</v>
          </cell>
          <cell r="AM393" t="str">
            <v>-</v>
          </cell>
          <cell r="AN393" t="str">
            <v>-</v>
          </cell>
          <cell r="AO393" t="str">
            <v>-</v>
          </cell>
          <cell r="AP393" t="str">
            <v>-</v>
          </cell>
          <cell r="AQ393" t="str">
            <v>-</v>
          </cell>
          <cell r="AR393" t="str">
            <v>-</v>
          </cell>
          <cell r="AS393" t="str">
            <v>-</v>
          </cell>
          <cell r="AT393" t="str">
            <v>-</v>
          </cell>
          <cell r="AU393" t="str">
            <v>-</v>
          </cell>
          <cell r="AV393" t="str">
            <v>-</v>
          </cell>
          <cell r="AW393" t="str">
            <v>-</v>
          </cell>
          <cell r="AX393" t="str">
            <v>-</v>
          </cell>
          <cell r="AY393" t="str">
            <v>-</v>
          </cell>
          <cell r="AZ393" t="str">
            <v>-</v>
          </cell>
          <cell r="BA393" t="str">
            <v>-</v>
          </cell>
          <cell r="BB393" t="str">
            <v>-</v>
          </cell>
          <cell r="BC393" t="str">
            <v>-</v>
          </cell>
          <cell r="BD393" t="str">
            <v>-</v>
          </cell>
          <cell r="BE393" t="str">
            <v>-</v>
          </cell>
          <cell r="BF393" t="str">
            <v>-</v>
          </cell>
          <cell r="BG393" t="str">
            <v>-</v>
          </cell>
          <cell r="BH393" t="str">
            <v>-</v>
          </cell>
          <cell r="BI393" t="str">
            <v>-</v>
          </cell>
          <cell r="BJ393" t="str">
            <v>-</v>
          </cell>
          <cell r="BK393" t="str">
            <v>-</v>
          </cell>
          <cell r="BL393" t="str">
            <v>-</v>
          </cell>
          <cell r="BM393">
            <v>0</v>
          </cell>
          <cell r="BN393">
            <v>0</v>
          </cell>
          <cell r="BO393" t="str">
            <v>-</v>
          </cell>
          <cell r="BP393" t="str">
            <v>-</v>
          </cell>
          <cell r="BQ393">
            <v>0</v>
          </cell>
          <cell r="BR393">
            <v>0</v>
          </cell>
          <cell r="BS393">
            <v>0</v>
          </cell>
          <cell r="BT393">
            <v>0</v>
          </cell>
        </row>
        <row r="394">
          <cell r="A394" t="str">
            <v>Spain2016100 / 100</v>
          </cell>
          <cell r="B394" t="str">
            <v>Spain</v>
          </cell>
          <cell r="C394">
            <v>2016</v>
          </cell>
          <cell r="D394" t="str">
            <v>100 / 100</v>
          </cell>
          <cell r="E394">
            <v>26448.81</v>
          </cell>
          <cell r="F394">
            <v>2204.0675000000001</v>
          </cell>
          <cell r="G394">
            <v>508.63487411441622</v>
          </cell>
          <cell r="H394">
            <v>101.72697482288325</v>
          </cell>
          <cell r="I394">
            <v>26448.81</v>
          </cell>
          <cell r="J394">
            <v>2204.0675000000001</v>
          </cell>
          <cell r="K394">
            <v>508.63487411441622</v>
          </cell>
          <cell r="L394">
            <v>101.72697482288325</v>
          </cell>
          <cell r="M394" t="str">
            <v>..</v>
          </cell>
          <cell r="N394" t="str">
            <v>..</v>
          </cell>
          <cell r="O394" t="str">
            <v>..</v>
          </cell>
          <cell r="P394" t="str">
            <v>..</v>
          </cell>
          <cell r="Q394" t="str">
            <v>..</v>
          </cell>
          <cell r="R394" t="str">
            <v>..</v>
          </cell>
          <cell r="S394" t="str">
            <v>..</v>
          </cell>
          <cell r="T394" t="str">
            <v>..</v>
          </cell>
          <cell r="U394" t="str">
            <v>..</v>
          </cell>
          <cell r="V394">
            <v>156</v>
          </cell>
          <cell r="W394">
            <v>0</v>
          </cell>
          <cell r="X394">
            <v>156</v>
          </cell>
          <cell r="Y394" t="str">
            <v>-</v>
          </cell>
          <cell r="Z394" t="str">
            <v>Parental leave is unpaid</v>
          </cell>
          <cell r="AA394" t="str">
            <v>-</v>
          </cell>
          <cell r="AB394" t="str">
            <v>-</v>
          </cell>
          <cell r="AC394" t="str">
            <v>-</v>
          </cell>
          <cell r="AD394" t="str">
            <v>-</v>
          </cell>
          <cell r="AE394" t="str">
            <v>-</v>
          </cell>
          <cell r="AF394" t="str">
            <v>-</v>
          </cell>
          <cell r="AG394" t="str">
            <v>-</v>
          </cell>
          <cell r="AH394" t="str">
            <v>-</v>
          </cell>
          <cell r="AI394" t="str">
            <v>-</v>
          </cell>
          <cell r="AJ394" t="str">
            <v>-</v>
          </cell>
          <cell r="AK394" t="str">
            <v>-</v>
          </cell>
          <cell r="AL394" t="str">
            <v>-</v>
          </cell>
          <cell r="AM394" t="str">
            <v>-</v>
          </cell>
          <cell r="AN394" t="str">
            <v>-</v>
          </cell>
          <cell r="AO394" t="str">
            <v>-</v>
          </cell>
          <cell r="AP394" t="str">
            <v>-</v>
          </cell>
          <cell r="AQ394" t="str">
            <v>-</v>
          </cell>
          <cell r="AR394" t="str">
            <v>-</v>
          </cell>
          <cell r="AS394" t="str">
            <v>-</v>
          </cell>
          <cell r="AT394" t="str">
            <v>-</v>
          </cell>
          <cell r="AU394" t="str">
            <v>-</v>
          </cell>
          <cell r="AV394" t="str">
            <v>-</v>
          </cell>
          <cell r="AW394" t="str">
            <v>-</v>
          </cell>
          <cell r="AX394" t="str">
            <v>-</v>
          </cell>
          <cell r="AY394" t="str">
            <v>-</v>
          </cell>
          <cell r="AZ394" t="str">
            <v>-</v>
          </cell>
          <cell r="BA394" t="str">
            <v>-</v>
          </cell>
          <cell r="BB394" t="str">
            <v>-</v>
          </cell>
          <cell r="BC394" t="str">
            <v>-</v>
          </cell>
          <cell r="BD394" t="str">
            <v>-</v>
          </cell>
          <cell r="BE394" t="str">
            <v>-</v>
          </cell>
          <cell r="BF394" t="str">
            <v>-</v>
          </cell>
          <cell r="BG394" t="str">
            <v>-</v>
          </cell>
          <cell r="BH394" t="str">
            <v>-</v>
          </cell>
          <cell r="BI394" t="str">
            <v>-</v>
          </cell>
          <cell r="BJ394" t="str">
            <v>-</v>
          </cell>
          <cell r="BK394" t="str">
            <v>-</v>
          </cell>
          <cell r="BL394" t="str">
            <v>-</v>
          </cell>
          <cell r="BM394">
            <v>0</v>
          </cell>
          <cell r="BN394">
            <v>0</v>
          </cell>
          <cell r="BO394" t="str">
            <v>-</v>
          </cell>
          <cell r="BP394" t="str">
            <v>-</v>
          </cell>
          <cell r="BQ394">
            <v>0</v>
          </cell>
          <cell r="BR394">
            <v>0</v>
          </cell>
          <cell r="BS394">
            <v>0</v>
          </cell>
          <cell r="BT394">
            <v>0</v>
          </cell>
        </row>
        <row r="395">
          <cell r="A395" t="str">
            <v>Spain2017100 / 100</v>
          </cell>
          <cell r="B395" t="str">
            <v>Spain</v>
          </cell>
          <cell r="C395">
            <v>2017</v>
          </cell>
          <cell r="D395" t="str">
            <v>100 / 100</v>
          </cell>
          <cell r="E395">
            <v>26549.79</v>
          </cell>
          <cell r="F395">
            <v>2212.4825000000001</v>
          </cell>
          <cell r="G395">
            <v>510.57681212932403</v>
          </cell>
          <cell r="H395">
            <v>102.1153624258648</v>
          </cell>
          <cell r="I395">
            <v>26549.79</v>
          </cell>
          <cell r="J395">
            <v>2212.4825000000001</v>
          </cell>
          <cell r="K395">
            <v>510.57681212932403</v>
          </cell>
          <cell r="L395">
            <v>102.1153624258648</v>
          </cell>
          <cell r="M395" t="str">
            <v>..</v>
          </cell>
          <cell r="N395" t="str">
            <v>..</v>
          </cell>
          <cell r="O395" t="str">
            <v>..</v>
          </cell>
          <cell r="P395" t="str">
            <v>..</v>
          </cell>
          <cell r="Q395" t="str">
            <v>..</v>
          </cell>
          <cell r="R395" t="str">
            <v>..</v>
          </cell>
          <cell r="S395" t="str">
            <v>..</v>
          </cell>
          <cell r="T395" t="str">
            <v>..</v>
          </cell>
          <cell r="U395" t="str">
            <v>..</v>
          </cell>
          <cell r="V395">
            <v>156</v>
          </cell>
          <cell r="W395">
            <v>0</v>
          </cell>
          <cell r="X395">
            <v>156</v>
          </cell>
          <cell r="Y395" t="str">
            <v>-</v>
          </cell>
          <cell r="Z395" t="str">
            <v>Parental leave is unpaid</v>
          </cell>
          <cell r="AA395" t="str">
            <v>-</v>
          </cell>
          <cell r="AB395" t="str">
            <v>-</v>
          </cell>
          <cell r="AC395" t="str">
            <v>-</v>
          </cell>
          <cell r="AD395" t="str">
            <v>-</v>
          </cell>
          <cell r="AE395" t="str">
            <v>-</v>
          </cell>
          <cell r="AF395" t="str">
            <v>-</v>
          </cell>
          <cell r="AG395" t="str">
            <v>-</v>
          </cell>
          <cell r="AH395" t="str">
            <v>-</v>
          </cell>
          <cell r="AI395" t="str">
            <v>-</v>
          </cell>
          <cell r="AJ395" t="str">
            <v>-</v>
          </cell>
          <cell r="AK395" t="str">
            <v>-</v>
          </cell>
          <cell r="AL395" t="str">
            <v>-</v>
          </cell>
          <cell r="AM395" t="str">
            <v>-</v>
          </cell>
          <cell r="AN395" t="str">
            <v>-</v>
          </cell>
          <cell r="AO395" t="str">
            <v>-</v>
          </cell>
          <cell r="AP395" t="str">
            <v>-</v>
          </cell>
          <cell r="AQ395" t="str">
            <v>-</v>
          </cell>
          <cell r="AR395" t="str">
            <v>-</v>
          </cell>
          <cell r="AS395" t="str">
            <v>-</v>
          </cell>
          <cell r="AT395" t="str">
            <v>-</v>
          </cell>
          <cell r="AU395" t="str">
            <v>-</v>
          </cell>
          <cell r="AV395" t="str">
            <v>-</v>
          </cell>
          <cell r="AW395" t="str">
            <v>-</v>
          </cell>
          <cell r="AX395" t="str">
            <v>-</v>
          </cell>
          <cell r="AY395" t="str">
            <v>-</v>
          </cell>
          <cell r="AZ395" t="str">
            <v>-</v>
          </cell>
          <cell r="BA395" t="str">
            <v>-</v>
          </cell>
          <cell r="BB395" t="str">
            <v>-</v>
          </cell>
          <cell r="BC395" t="str">
            <v>-</v>
          </cell>
          <cell r="BD395" t="str">
            <v>-</v>
          </cell>
          <cell r="BE395" t="str">
            <v>-</v>
          </cell>
          <cell r="BF395" t="str">
            <v>-</v>
          </cell>
          <cell r="BG395" t="str">
            <v>-</v>
          </cell>
          <cell r="BH395" t="str">
            <v>-</v>
          </cell>
          <cell r="BI395" t="str">
            <v>-</v>
          </cell>
          <cell r="BJ395" t="str">
            <v>-</v>
          </cell>
          <cell r="BK395" t="str">
            <v>-</v>
          </cell>
          <cell r="BL395" t="str">
            <v>-</v>
          </cell>
          <cell r="BM395">
            <v>0</v>
          </cell>
          <cell r="BN395">
            <v>0</v>
          </cell>
          <cell r="BO395" t="str">
            <v>-</v>
          </cell>
          <cell r="BP395" t="str">
            <v>-</v>
          </cell>
          <cell r="BQ395">
            <v>0</v>
          </cell>
          <cell r="BR395">
            <v>0</v>
          </cell>
          <cell r="BS395">
            <v>0</v>
          </cell>
          <cell r="BT395">
            <v>0</v>
          </cell>
        </row>
        <row r="396">
          <cell r="A396" t="str">
            <v>Spain2018100 / 100</v>
          </cell>
          <cell r="B396" t="str">
            <v>Spain</v>
          </cell>
          <cell r="C396">
            <v>2018</v>
          </cell>
          <cell r="D396" t="str">
            <v>100 / 100</v>
          </cell>
          <cell r="E396">
            <v>26921.759999999998</v>
          </cell>
          <cell r="F396">
            <v>2243.48</v>
          </cell>
          <cell r="G396">
            <v>517.73013638566442</v>
          </cell>
          <cell r="H396">
            <v>103.54602727713288</v>
          </cell>
          <cell r="I396">
            <v>26921.759999999998</v>
          </cell>
          <cell r="J396">
            <v>2243.48</v>
          </cell>
          <cell r="K396">
            <v>517.73013638566442</v>
          </cell>
          <cell r="L396">
            <v>103.54602727713288</v>
          </cell>
          <cell r="M396" t="str">
            <v>..</v>
          </cell>
          <cell r="N396" t="str">
            <v>..</v>
          </cell>
          <cell r="O396" t="str">
            <v>..</v>
          </cell>
          <cell r="P396" t="str">
            <v>..</v>
          </cell>
          <cell r="Q396" t="str">
            <v>..</v>
          </cell>
          <cell r="R396" t="str">
            <v>..</v>
          </cell>
          <cell r="S396" t="str">
            <v>..</v>
          </cell>
          <cell r="T396" t="str">
            <v>..</v>
          </cell>
          <cell r="U396" t="str">
            <v>..</v>
          </cell>
          <cell r="V396">
            <v>156</v>
          </cell>
          <cell r="W396">
            <v>0</v>
          </cell>
          <cell r="X396">
            <v>156</v>
          </cell>
          <cell r="Y396" t="str">
            <v>-</v>
          </cell>
          <cell r="Z396" t="str">
            <v>Parental leave is unpaid</v>
          </cell>
          <cell r="AA396" t="str">
            <v>-</v>
          </cell>
          <cell r="AB396" t="str">
            <v>-</v>
          </cell>
          <cell r="AC396" t="str">
            <v>-</v>
          </cell>
          <cell r="AD396" t="str">
            <v>-</v>
          </cell>
          <cell r="AE396" t="str">
            <v>-</v>
          </cell>
          <cell r="AF396" t="str">
            <v>-</v>
          </cell>
          <cell r="AG396" t="str">
            <v>-</v>
          </cell>
          <cell r="AH396" t="str">
            <v>-</v>
          </cell>
          <cell r="AI396" t="str">
            <v>-</v>
          </cell>
          <cell r="AJ396" t="str">
            <v>-</v>
          </cell>
          <cell r="AK396" t="str">
            <v>-</v>
          </cell>
          <cell r="AL396" t="str">
            <v>-</v>
          </cell>
          <cell r="AM396" t="str">
            <v>-</v>
          </cell>
          <cell r="AN396" t="str">
            <v>-</v>
          </cell>
          <cell r="AO396" t="str">
            <v>-</v>
          </cell>
          <cell r="AP396" t="str">
            <v>-</v>
          </cell>
          <cell r="AQ396" t="str">
            <v>-</v>
          </cell>
          <cell r="AR396" t="str">
            <v>-</v>
          </cell>
          <cell r="AS396" t="str">
            <v>-</v>
          </cell>
          <cell r="AT396" t="str">
            <v>-</v>
          </cell>
          <cell r="AU396" t="str">
            <v>-</v>
          </cell>
          <cell r="AV396" t="str">
            <v>-</v>
          </cell>
          <cell r="AW396" t="str">
            <v>-</v>
          </cell>
          <cell r="AX396" t="str">
            <v>-</v>
          </cell>
          <cell r="AY396" t="str">
            <v>-</v>
          </cell>
          <cell r="AZ396" t="str">
            <v>-</v>
          </cell>
          <cell r="BA396" t="str">
            <v>-</v>
          </cell>
          <cell r="BB396" t="str">
            <v>-</v>
          </cell>
          <cell r="BC396" t="str">
            <v>-</v>
          </cell>
          <cell r="BD396" t="str">
            <v>-</v>
          </cell>
          <cell r="BE396" t="str">
            <v>-</v>
          </cell>
          <cell r="BF396" t="str">
            <v>-</v>
          </cell>
          <cell r="BG396" t="str">
            <v>-</v>
          </cell>
          <cell r="BH396" t="str">
            <v>-</v>
          </cell>
          <cell r="BI396" t="str">
            <v>-</v>
          </cell>
          <cell r="BJ396" t="str">
            <v>-</v>
          </cell>
          <cell r="BK396" t="str">
            <v>-</v>
          </cell>
          <cell r="BL396" t="str">
            <v>-</v>
          </cell>
          <cell r="BM396">
            <v>0</v>
          </cell>
          <cell r="BN396">
            <v>0</v>
          </cell>
          <cell r="BO396" t="str">
            <v>-</v>
          </cell>
          <cell r="BP396" t="str">
            <v>-</v>
          </cell>
          <cell r="BQ396">
            <v>0</v>
          </cell>
          <cell r="BR396">
            <v>0</v>
          </cell>
          <cell r="BS396">
            <v>0</v>
          </cell>
          <cell r="BT396">
            <v>0</v>
          </cell>
        </row>
        <row r="397">
          <cell r="A397" t="str">
            <v>Spain2019100 / 100</v>
          </cell>
          <cell r="B397" t="str">
            <v>Spain</v>
          </cell>
          <cell r="C397">
            <v>2019</v>
          </cell>
          <cell r="D397" t="str">
            <v>100 / 100</v>
          </cell>
          <cell r="E397">
            <v>27292.47</v>
          </cell>
          <cell r="F397">
            <v>2274.3724999999999</v>
          </cell>
          <cell r="G397">
            <v>524.85922968638215</v>
          </cell>
          <cell r="H397">
            <v>104.97184593727643</v>
          </cell>
          <cell r="I397">
            <v>27292.47</v>
          </cell>
          <cell r="J397">
            <v>2274.3724999999999</v>
          </cell>
          <cell r="K397">
            <v>524.85922968638215</v>
          </cell>
          <cell r="L397">
            <v>104.97184593727643</v>
          </cell>
          <cell r="M397" t="str">
            <v>..</v>
          </cell>
          <cell r="N397" t="str">
            <v>..</v>
          </cell>
          <cell r="O397" t="str">
            <v>..</v>
          </cell>
          <cell r="P397" t="str">
            <v>..</v>
          </cell>
          <cell r="Q397" t="str">
            <v>..</v>
          </cell>
          <cell r="R397" t="str">
            <v>..</v>
          </cell>
          <cell r="S397" t="str">
            <v>..</v>
          </cell>
          <cell r="T397" t="str">
            <v>..</v>
          </cell>
          <cell r="U397" t="str">
            <v>..</v>
          </cell>
          <cell r="V397">
            <v>156</v>
          </cell>
          <cell r="W397">
            <v>0</v>
          </cell>
          <cell r="X397">
            <v>156</v>
          </cell>
          <cell r="Y397" t="str">
            <v>-</v>
          </cell>
          <cell r="Z397" t="str">
            <v>Parental leave is unpaid</v>
          </cell>
          <cell r="AA397" t="str">
            <v>-</v>
          </cell>
          <cell r="AB397" t="str">
            <v>-</v>
          </cell>
          <cell r="AC397" t="str">
            <v>-</v>
          </cell>
          <cell r="AD397" t="str">
            <v>-</v>
          </cell>
          <cell r="AE397" t="str">
            <v>-</v>
          </cell>
          <cell r="AF397" t="str">
            <v>-</v>
          </cell>
          <cell r="AG397" t="str">
            <v>-</v>
          </cell>
          <cell r="AH397" t="str">
            <v>-</v>
          </cell>
          <cell r="AI397" t="str">
            <v>-</v>
          </cell>
          <cell r="AJ397" t="str">
            <v>-</v>
          </cell>
          <cell r="AK397" t="str">
            <v>-</v>
          </cell>
          <cell r="AL397" t="str">
            <v>-</v>
          </cell>
          <cell r="AM397" t="str">
            <v>-</v>
          </cell>
          <cell r="AN397" t="str">
            <v>-</v>
          </cell>
          <cell r="AO397" t="str">
            <v>-</v>
          </cell>
          <cell r="AP397" t="str">
            <v>-</v>
          </cell>
          <cell r="AQ397" t="str">
            <v>-</v>
          </cell>
          <cell r="AR397" t="str">
            <v>-</v>
          </cell>
          <cell r="AS397" t="str">
            <v>-</v>
          </cell>
          <cell r="AT397" t="str">
            <v>-</v>
          </cell>
          <cell r="AU397" t="str">
            <v>-</v>
          </cell>
          <cell r="AV397" t="str">
            <v>-</v>
          </cell>
          <cell r="AW397" t="str">
            <v>-</v>
          </cell>
          <cell r="AX397" t="str">
            <v>-</v>
          </cell>
          <cell r="AY397" t="str">
            <v>-</v>
          </cell>
          <cell r="AZ397" t="str">
            <v>-</v>
          </cell>
          <cell r="BA397" t="str">
            <v>-</v>
          </cell>
          <cell r="BB397" t="str">
            <v>-</v>
          </cell>
          <cell r="BC397" t="str">
            <v>-</v>
          </cell>
          <cell r="BD397" t="str">
            <v>-</v>
          </cell>
          <cell r="BE397" t="str">
            <v>-</v>
          </cell>
          <cell r="BF397" t="str">
            <v>-</v>
          </cell>
          <cell r="BG397" t="str">
            <v>-</v>
          </cell>
          <cell r="BH397" t="str">
            <v>-</v>
          </cell>
          <cell r="BI397" t="str">
            <v>-</v>
          </cell>
          <cell r="BJ397" t="str">
            <v>-</v>
          </cell>
          <cell r="BK397" t="str">
            <v>-</v>
          </cell>
          <cell r="BL397" t="str">
            <v>-</v>
          </cell>
          <cell r="BM397">
            <v>0</v>
          </cell>
          <cell r="BN397">
            <v>0</v>
          </cell>
          <cell r="BO397" t="str">
            <v>-</v>
          </cell>
          <cell r="BP397" t="str">
            <v>-</v>
          </cell>
          <cell r="BQ397">
            <v>0</v>
          </cell>
          <cell r="BR397">
            <v>0</v>
          </cell>
          <cell r="BS397">
            <v>0</v>
          </cell>
          <cell r="BT397">
            <v>0</v>
          </cell>
        </row>
        <row r="398">
          <cell r="A398" t="str">
            <v>Spain2020100 / 100</v>
          </cell>
          <cell r="B398" t="str">
            <v>Spain</v>
          </cell>
          <cell r="C398">
            <v>2020</v>
          </cell>
          <cell r="D398" t="str">
            <v>100 / 100</v>
          </cell>
          <cell r="E398">
            <v>26028.06</v>
          </cell>
          <cell r="F398">
            <v>2169.0050000000001</v>
          </cell>
          <cell r="G398">
            <v>500.54346571896707</v>
          </cell>
          <cell r="H398">
            <v>100.10869314379342</v>
          </cell>
          <cell r="I398">
            <v>26028.06</v>
          </cell>
          <cell r="J398">
            <v>2169.0050000000001</v>
          </cell>
          <cell r="K398">
            <v>500.54346571896707</v>
          </cell>
          <cell r="L398">
            <v>100.10869314379342</v>
          </cell>
          <cell r="M398" t="str">
            <v>..</v>
          </cell>
          <cell r="N398" t="str">
            <v>..</v>
          </cell>
          <cell r="O398" t="str">
            <v>..</v>
          </cell>
          <cell r="P398" t="str">
            <v>..</v>
          </cell>
          <cell r="Q398" t="str">
            <v>..</v>
          </cell>
          <cell r="R398" t="str">
            <v>..</v>
          </cell>
          <cell r="S398" t="str">
            <v>..</v>
          </cell>
          <cell r="T398" t="str">
            <v>..</v>
          </cell>
          <cell r="U398" t="str">
            <v>..</v>
          </cell>
          <cell r="V398">
            <v>156</v>
          </cell>
          <cell r="W398">
            <v>0</v>
          </cell>
          <cell r="X398">
            <v>156</v>
          </cell>
          <cell r="Y398" t="str">
            <v>-</v>
          </cell>
          <cell r="Z398" t="str">
            <v>Parental leave is unpaid</v>
          </cell>
          <cell r="AA398" t="str">
            <v>-</v>
          </cell>
          <cell r="AB398" t="str">
            <v>-</v>
          </cell>
          <cell r="AC398" t="str">
            <v>-</v>
          </cell>
          <cell r="AD398" t="str">
            <v>-</v>
          </cell>
          <cell r="AE398" t="str">
            <v>-</v>
          </cell>
          <cell r="AF398" t="str">
            <v>-</v>
          </cell>
          <cell r="AG398" t="str">
            <v>-</v>
          </cell>
          <cell r="AH398" t="str">
            <v>-</v>
          </cell>
          <cell r="AI398" t="str">
            <v>-</v>
          </cell>
          <cell r="AJ398" t="str">
            <v>-</v>
          </cell>
          <cell r="AK398" t="str">
            <v>-</v>
          </cell>
          <cell r="AL398" t="str">
            <v>-</v>
          </cell>
          <cell r="AM398" t="str">
            <v>-</v>
          </cell>
          <cell r="AN398" t="str">
            <v>-</v>
          </cell>
          <cell r="AO398" t="str">
            <v>-</v>
          </cell>
          <cell r="AP398" t="str">
            <v>-</v>
          </cell>
          <cell r="AQ398" t="str">
            <v>-</v>
          </cell>
          <cell r="AR398" t="str">
            <v>-</v>
          </cell>
          <cell r="AS398" t="str">
            <v>-</v>
          </cell>
          <cell r="AT398" t="str">
            <v>-</v>
          </cell>
          <cell r="AU398" t="str">
            <v>-</v>
          </cell>
          <cell r="AV398" t="str">
            <v>-</v>
          </cell>
          <cell r="AW398" t="str">
            <v>-</v>
          </cell>
          <cell r="AX398" t="str">
            <v>-</v>
          </cell>
          <cell r="AY398" t="str">
            <v>-</v>
          </cell>
          <cell r="AZ398" t="str">
            <v>-</v>
          </cell>
          <cell r="BA398" t="str">
            <v>-</v>
          </cell>
          <cell r="BB398" t="str">
            <v>-</v>
          </cell>
          <cell r="BC398" t="str">
            <v>-</v>
          </cell>
          <cell r="BD398" t="str">
            <v>-</v>
          </cell>
          <cell r="BE398" t="str">
            <v>-</v>
          </cell>
          <cell r="BF398" t="str">
            <v>-</v>
          </cell>
          <cell r="BG398" t="str">
            <v>-</v>
          </cell>
          <cell r="BH398" t="str">
            <v>-</v>
          </cell>
          <cell r="BI398" t="str">
            <v>-</v>
          </cell>
          <cell r="BJ398" t="str">
            <v>-</v>
          </cell>
          <cell r="BK398" t="str">
            <v>-</v>
          </cell>
          <cell r="BL398" t="str">
            <v>-</v>
          </cell>
          <cell r="BM398">
            <v>0</v>
          </cell>
          <cell r="BN398">
            <v>0</v>
          </cell>
          <cell r="BO398" t="str">
            <v>-</v>
          </cell>
          <cell r="BP398" t="str">
            <v>-</v>
          </cell>
          <cell r="BQ398">
            <v>0</v>
          </cell>
          <cell r="BR398">
            <v>0</v>
          </cell>
          <cell r="BS398">
            <v>0</v>
          </cell>
          <cell r="BT398">
            <v>0</v>
          </cell>
        </row>
        <row r="399">
          <cell r="A399" t="str">
            <v>Spain2021100 / 100</v>
          </cell>
          <cell r="B399" t="str">
            <v>Spain</v>
          </cell>
          <cell r="C399">
            <v>2021</v>
          </cell>
          <cell r="D399" t="str">
            <v>100 / 100</v>
          </cell>
          <cell r="E399">
            <v>27570.48</v>
          </cell>
          <cell r="F399">
            <v>2297.54</v>
          </cell>
          <cell r="G399">
            <v>530.20561696628431</v>
          </cell>
          <cell r="H399">
            <v>106.04112339325687</v>
          </cell>
          <cell r="I399">
            <v>27570.48</v>
          </cell>
          <cell r="J399">
            <v>2297.54</v>
          </cell>
          <cell r="K399">
            <v>530.20561696628431</v>
          </cell>
          <cell r="L399">
            <v>106.04112339325687</v>
          </cell>
          <cell r="M399" t="str">
            <v>..</v>
          </cell>
          <cell r="N399" t="str">
            <v>..</v>
          </cell>
          <cell r="O399" t="str">
            <v>..</v>
          </cell>
          <cell r="P399" t="str">
            <v>..</v>
          </cell>
          <cell r="Q399" t="str">
            <v>..</v>
          </cell>
          <cell r="R399" t="str">
            <v>..</v>
          </cell>
          <cell r="S399" t="str">
            <v>..</v>
          </cell>
          <cell r="T399" t="str">
            <v>..</v>
          </cell>
          <cell r="U399" t="str">
            <v>..</v>
          </cell>
          <cell r="V399">
            <v>140</v>
          </cell>
          <cell r="W399">
            <v>0</v>
          </cell>
          <cell r="X399">
            <v>140</v>
          </cell>
          <cell r="Y399" t="str">
            <v>-</v>
          </cell>
          <cell r="Z399" t="str">
            <v>Parental leave is unpaid</v>
          </cell>
          <cell r="AA399" t="str">
            <v>-</v>
          </cell>
          <cell r="AB399" t="str">
            <v>-</v>
          </cell>
          <cell r="AC399" t="str">
            <v>-</v>
          </cell>
          <cell r="AD399" t="str">
            <v>-</v>
          </cell>
          <cell r="AE399" t="str">
            <v>-</v>
          </cell>
          <cell r="AF399" t="str">
            <v>-</v>
          </cell>
          <cell r="AG399" t="str">
            <v>-</v>
          </cell>
          <cell r="AH399" t="str">
            <v>-</v>
          </cell>
          <cell r="AI399" t="str">
            <v>-</v>
          </cell>
          <cell r="AJ399" t="str">
            <v>-</v>
          </cell>
          <cell r="AK399" t="str">
            <v>-</v>
          </cell>
          <cell r="AL399" t="str">
            <v>-</v>
          </cell>
          <cell r="AM399" t="str">
            <v>-</v>
          </cell>
          <cell r="AN399" t="str">
            <v>-</v>
          </cell>
          <cell r="AO399" t="str">
            <v>-</v>
          </cell>
          <cell r="AP399" t="str">
            <v>-</v>
          </cell>
          <cell r="AQ399" t="str">
            <v>-</v>
          </cell>
          <cell r="AR399" t="str">
            <v>-</v>
          </cell>
          <cell r="AS399" t="str">
            <v>-</v>
          </cell>
          <cell r="AT399" t="str">
            <v>-</v>
          </cell>
          <cell r="AU399" t="str">
            <v>-</v>
          </cell>
          <cell r="AV399" t="str">
            <v>-</v>
          </cell>
          <cell r="AW399" t="str">
            <v>-</v>
          </cell>
          <cell r="AX399" t="str">
            <v>-</v>
          </cell>
          <cell r="AY399" t="str">
            <v>-</v>
          </cell>
          <cell r="AZ399" t="str">
            <v>-</v>
          </cell>
          <cell r="BA399" t="str">
            <v>-</v>
          </cell>
          <cell r="BB399" t="str">
            <v>-</v>
          </cell>
          <cell r="BC399" t="str">
            <v>-</v>
          </cell>
          <cell r="BD399" t="str">
            <v>-</v>
          </cell>
          <cell r="BE399" t="str">
            <v>-</v>
          </cell>
          <cell r="BF399" t="str">
            <v>-</v>
          </cell>
          <cell r="BG399" t="str">
            <v>-</v>
          </cell>
          <cell r="BH399" t="str">
            <v>-</v>
          </cell>
          <cell r="BI399" t="str">
            <v>-</v>
          </cell>
          <cell r="BJ399" t="str">
            <v>-</v>
          </cell>
          <cell r="BK399" t="str">
            <v>-</v>
          </cell>
          <cell r="BL399" t="str">
            <v>-</v>
          </cell>
          <cell r="BM399">
            <v>0</v>
          </cell>
          <cell r="BN399">
            <v>0</v>
          </cell>
          <cell r="BO399" t="str">
            <v>-</v>
          </cell>
          <cell r="BP399" t="str">
            <v>-</v>
          </cell>
          <cell r="BQ399">
            <v>0</v>
          </cell>
          <cell r="BR399">
            <v>0</v>
          </cell>
          <cell r="BS399">
            <v>0</v>
          </cell>
          <cell r="BT399">
            <v>0</v>
          </cell>
        </row>
        <row r="400">
          <cell r="A400" t="str">
            <v>Spain2022100 / 100</v>
          </cell>
          <cell r="B400" t="str">
            <v>Spain</v>
          </cell>
          <cell r="C400">
            <v>2022</v>
          </cell>
          <cell r="D400" t="str">
            <v>100 / 100</v>
          </cell>
          <cell r="E400">
            <v>28779.87</v>
          </cell>
          <cell r="F400">
            <v>2398.3224999999998</v>
          </cell>
          <cell r="G400">
            <v>553.4632958715066</v>
          </cell>
          <cell r="H400">
            <v>110.69265917430133</v>
          </cell>
          <cell r="I400">
            <v>28779.87</v>
          </cell>
          <cell r="J400">
            <v>2398.3224999999998</v>
          </cell>
          <cell r="K400">
            <v>553.4632958715066</v>
          </cell>
          <cell r="L400">
            <v>110.69265917430133</v>
          </cell>
          <cell r="M400" t="str">
            <v>..</v>
          </cell>
          <cell r="N400" t="str">
            <v>..</v>
          </cell>
          <cell r="O400" t="str">
            <v>..</v>
          </cell>
          <cell r="P400" t="str">
            <v>..</v>
          </cell>
          <cell r="Q400" t="str">
            <v>..</v>
          </cell>
          <cell r="R400" t="str">
            <v>..</v>
          </cell>
          <cell r="S400" t="str">
            <v>..</v>
          </cell>
          <cell r="T400" t="str">
            <v>..</v>
          </cell>
          <cell r="U400" t="str">
            <v>..</v>
          </cell>
          <cell r="V400">
            <v>140</v>
          </cell>
          <cell r="W400">
            <v>0</v>
          </cell>
          <cell r="X400">
            <v>140</v>
          </cell>
          <cell r="Y400" t="str">
            <v>-</v>
          </cell>
          <cell r="Z400" t="str">
            <v>Parental leave is unpaid</v>
          </cell>
          <cell r="AA400" t="str">
            <v>-</v>
          </cell>
          <cell r="AB400" t="str">
            <v>-</v>
          </cell>
          <cell r="AC400" t="str">
            <v>-</v>
          </cell>
          <cell r="AD400" t="str">
            <v>-</v>
          </cell>
          <cell r="AE400" t="str">
            <v>-</v>
          </cell>
          <cell r="AF400" t="str">
            <v>-</v>
          </cell>
          <cell r="AG400" t="str">
            <v>-</v>
          </cell>
          <cell r="AH400" t="str">
            <v>-</v>
          </cell>
          <cell r="AI400" t="str">
            <v>-</v>
          </cell>
          <cell r="AJ400" t="str">
            <v>-</v>
          </cell>
          <cell r="AK400" t="str">
            <v>-</v>
          </cell>
          <cell r="AL400" t="str">
            <v>-</v>
          </cell>
          <cell r="AM400" t="str">
            <v>-</v>
          </cell>
          <cell r="AN400" t="str">
            <v>-</v>
          </cell>
          <cell r="AO400" t="str">
            <v>-</v>
          </cell>
          <cell r="AP400" t="str">
            <v>-</v>
          </cell>
          <cell r="AQ400" t="str">
            <v>-</v>
          </cell>
          <cell r="AR400" t="str">
            <v>-</v>
          </cell>
          <cell r="AS400" t="str">
            <v>-</v>
          </cell>
          <cell r="AT400" t="str">
            <v>-</v>
          </cell>
          <cell r="AU400" t="str">
            <v>-</v>
          </cell>
          <cell r="AV400" t="str">
            <v>-</v>
          </cell>
          <cell r="AW400" t="str">
            <v>-</v>
          </cell>
          <cell r="AX400" t="str">
            <v>-</v>
          </cell>
          <cell r="AY400" t="str">
            <v>-</v>
          </cell>
          <cell r="AZ400" t="str">
            <v>-</v>
          </cell>
          <cell r="BA400" t="str">
            <v>-</v>
          </cell>
          <cell r="BB400" t="str">
            <v>-</v>
          </cell>
          <cell r="BC400" t="str">
            <v>-</v>
          </cell>
          <cell r="BD400" t="str">
            <v>-</v>
          </cell>
          <cell r="BE400" t="str">
            <v>-</v>
          </cell>
          <cell r="BF400" t="str">
            <v>-</v>
          </cell>
          <cell r="BG400" t="str">
            <v>-</v>
          </cell>
          <cell r="BH400" t="str">
            <v>-</v>
          </cell>
          <cell r="BI400" t="str">
            <v>-</v>
          </cell>
          <cell r="BJ400" t="str">
            <v>-</v>
          </cell>
          <cell r="BK400" t="str">
            <v>-</v>
          </cell>
          <cell r="BL400" t="str">
            <v>-</v>
          </cell>
          <cell r="BM400">
            <v>0</v>
          </cell>
          <cell r="BN400">
            <v>0</v>
          </cell>
          <cell r="BO400" t="str">
            <v>-</v>
          </cell>
          <cell r="BP400" t="str">
            <v>-</v>
          </cell>
          <cell r="BQ400">
            <v>0</v>
          </cell>
          <cell r="BR400">
            <v>0</v>
          </cell>
          <cell r="BS400">
            <v>0</v>
          </cell>
          <cell r="BT400">
            <v>0</v>
          </cell>
        </row>
        <row r="401">
          <cell r="A401" t="str">
            <v>Spain2023100 / 100</v>
          </cell>
          <cell r="B401" t="str">
            <v>Spain</v>
          </cell>
          <cell r="C401">
            <v>2023</v>
          </cell>
          <cell r="D401" t="str">
            <v>100 / 100</v>
          </cell>
          <cell r="E401">
            <v>29939.067999999999</v>
          </cell>
          <cell r="F401">
            <v>2494.9223333333334</v>
          </cell>
          <cell r="G401">
            <v>575.75573658258907</v>
          </cell>
          <cell r="H401">
            <v>115.15114731651781</v>
          </cell>
          <cell r="I401">
            <v>29939.067999999999</v>
          </cell>
          <cell r="J401">
            <v>2494.9223333333334</v>
          </cell>
          <cell r="K401">
            <v>575.75573658258907</v>
          </cell>
          <cell r="L401">
            <v>115.15114731651781</v>
          </cell>
          <cell r="M401" t="str">
            <v>..</v>
          </cell>
          <cell r="N401" t="str">
            <v>..</v>
          </cell>
          <cell r="O401" t="str">
            <v>..</v>
          </cell>
          <cell r="P401" t="str">
            <v>..</v>
          </cell>
          <cell r="Q401" t="str">
            <v>..</v>
          </cell>
          <cell r="R401" t="str">
            <v>..</v>
          </cell>
          <cell r="S401" t="str">
            <v>..</v>
          </cell>
          <cell r="T401" t="str">
            <v>..</v>
          </cell>
          <cell r="U401" t="str">
            <v>..</v>
          </cell>
          <cell r="V401">
            <v>140</v>
          </cell>
          <cell r="W401">
            <v>0</v>
          </cell>
          <cell r="X401">
            <v>140</v>
          </cell>
          <cell r="Y401" t="str">
            <v>-</v>
          </cell>
          <cell r="Z401" t="str">
            <v>Parental leave is unpaid</v>
          </cell>
          <cell r="AA401" t="str">
            <v>-</v>
          </cell>
          <cell r="AB401" t="str">
            <v>-</v>
          </cell>
          <cell r="AC401" t="str">
            <v>-</v>
          </cell>
          <cell r="AD401" t="str">
            <v>-</v>
          </cell>
          <cell r="AE401" t="str">
            <v>-</v>
          </cell>
          <cell r="AF401" t="str">
            <v>-</v>
          </cell>
          <cell r="AG401" t="str">
            <v>-</v>
          </cell>
          <cell r="AH401" t="str">
            <v>-</v>
          </cell>
          <cell r="AI401" t="str">
            <v>-</v>
          </cell>
          <cell r="AJ401" t="str">
            <v>-</v>
          </cell>
          <cell r="AK401" t="str">
            <v>-</v>
          </cell>
          <cell r="AL401" t="str">
            <v>-</v>
          </cell>
          <cell r="AM401" t="str">
            <v>-</v>
          </cell>
          <cell r="AN401" t="str">
            <v>-</v>
          </cell>
          <cell r="AO401" t="str">
            <v>-</v>
          </cell>
          <cell r="AP401" t="str">
            <v>-</v>
          </cell>
          <cell r="AQ401" t="str">
            <v>-</v>
          </cell>
          <cell r="AR401" t="str">
            <v>-</v>
          </cell>
          <cell r="AS401" t="str">
            <v>-</v>
          </cell>
          <cell r="AT401" t="str">
            <v>-</v>
          </cell>
          <cell r="AU401" t="str">
            <v>-</v>
          </cell>
          <cell r="AV401" t="str">
            <v>-</v>
          </cell>
          <cell r="AW401" t="str">
            <v>-</v>
          </cell>
          <cell r="AX401" t="str">
            <v>-</v>
          </cell>
          <cell r="AY401" t="str">
            <v>-</v>
          </cell>
          <cell r="AZ401" t="str">
            <v>-</v>
          </cell>
          <cell r="BA401" t="str">
            <v>-</v>
          </cell>
          <cell r="BB401" t="str">
            <v>-</v>
          </cell>
          <cell r="BC401" t="str">
            <v>-</v>
          </cell>
          <cell r="BD401" t="str">
            <v>-</v>
          </cell>
          <cell r="BE401" t="str">
            <v>-</v>
          </cell>
          <cell r="BF401" t="str">
            <v>-</v>
          </cell>
          <cell r="BG401" t="str">
            <v>-</v>
          </cell>
          <cell r="BH401" t="str">
            <v>-</v>
          </cell>
          <cell r="BI401" t="str">
            <v>-</v>
          </cell>
          <cell r="BJ401" t="str">
            <v>-</v>
          </cell>
          <cell r="BK401" t="str">
            <v>-</v>
          </cell>
          <cell r="BL401" t="str">
            <v>-</v>
          </cell>
          <cell r="BM401">
            <v>0</v>
          </cell>
          <cell r="BN401">
            <v>0</v>
          </cell>
          <cell r="BO401" t="str">
            <v>-</v>
          </cell>
          <cell r="BP401" t="str">
            <v>-</v>
          </cell>
          <cell r="BQ401">
            <v>0</v>
          </cell>
          <cell r="BR401">
            <v>0</v>
          </cell>
          <cell r="BS401">
            <v>0</v>
          </cell>
          <cell r="BT401">
            <v>0</v>
          </cell>
        </row>
        <row r="402">
          <cell r="A402" t="str">
            <v>Spain2024100 / 100</v>
          </cell>
          <cell r="B402" t="str">
            <v>Spain</v>
          </cell>
          <cell r="C402">
            <v>2024</v>
          </cell>
          <cell r="D402" t="str">
            <v>100 / 100</v>
          </cell>
          <cell r="E402">
            <v>31698.48</v>
          </cell>
          <cell r="F402">
            <v>2641.54</v>
          </cell>
          <cell r="G402">
            <v>609.59084300648465</v>
          </cell>
          <cell r="H402">
            <v>121.91816860129693</v>
          </cell>
          <cell r="I402">
            <v>31698.48</v>
          </cell>
          <cell r="J402">
            <v>2641.54</v>
          </cell>
          <cell r="K402">
            <v>609.59084300648465</v>
          </cell>
          <cell r="L402">
            <v>121.91816860129693</v>
          </cell>
          <cell r="M402" t="str">
            <v>..</v>
          </cell>
          <cell r="N402" t="str">
            <v>..</v>
          </cell>
          <cell r="O402" t="str">
            <v>..</v>
          </cell>
          <cell r="P402" t="str">
            <v>..</v>
          </cell>
          <cell r="Q402" t="str">
            <v>..</v>
          </cell>
          <cell r="R402" t="str">
            <v>..</v>
          </cell>
          <cell r="S402" t="str">
            <v>..</v>
          </cell>
          <cell r="T402" t="str">
            <v>..</v>
          </cell>
          <cell r="U402" t="str">
            <v>..</v>
          </cell>
          <cell r="V402">
            <v>148</v>
          </cell>
          <cell r="W402">
            <v>0</v>
          </cell>
          <cell r="X402">
            <v>148</v>
          </cell>
          <cell r="Y402" t="str">
            <v>-</v>
          </cell>
          <cell r="Z402" t="str">
            <v>Parental leave is unpaid. Childcare leave: Unpaid leave until the child is three years old. Parental leave: 8 weeks of unpaid leave</v>
          </cell>
          <cell r="AA402" t="str">
            <v>-</v>
          </cell>
          <cell r="AB402" t="str">
            <v>-</v>
          </cell>
          <cell r="AC402" t="str">
            <v>-</v>
          </cell>
          <cell r="AD402" t="str">
            <v>-</v>
          </cell>
          <cell r="AE402" t="str">
            <v>-</v>
          </cell>
          <cell r="AF402" t="str">
            <v>-</v>
          </cell>
          <cell r="AG402" t="str">
            <v>-</v>
          </cell>
          <cell r="AH402" t="str">
            <v>-</v>
          </cell>
          <cell r="AI402" t="str">
            <v>-</v>
          </cell>
          <cell r="AJ402" t="str">
            <v>-</v>
          </cell>
          <cell r="AK402" t="str">
            <v>-</v>
          </cell>
          <cell r="AL402" t="str">
            <v>-</v>
          </cell>
          <cell r="AM402" t="str">
            <v>-</v>
          </cell>
          <cell r="AN402" t="str">
            <v>-</v>
          </cell>
          <cell r="AO402" t="str">
            <v>-</v>
          </cell>
          <cell r="AP402" t="str">
            <v>-</v>
          </cell>
          <cell r="AQ402" t="str">
            <v>-</v>
          </cell>
          <cell r="AR402" t="str">
            <v>-</v>
          </cell>
          <cell r="AS402" t="str">
            <v>-</v>
          </cell>
          <cell r="AT402" t="str">
            <v>-</v>
          </cell>
          <cell r="AU402" t="str">
            <v>-</v>
          </cell>
          <cell r="AV402" t="str">
            <v>-</v>
          </cell>
          <cell r="AW402" t="str">
            <v>-</v>
          </cell>
          <cell r="AX402" t="str">
            <v>-</v>
          </cell>
          <cell r="AY402" t="str">
            <v>-</v>
          </cell>
          <cell r="AZ402" t="str">
            <v>-</v>
          </cell>
          <cell r="BA402" t="str">
            <v>-</v>
          </cell>
          <cell r="BB402" t="str">
            <v>-</v>
          </cell>
          <cell r="BC402" t="str">
            <v>-</v>
          </cell>
          <cell r="BD402" t="str">
            <v>-</v>
          </cell>
          <cell r="BE402" t="str">
            <v>-</v>
          </cell>
          <cell r="BF402" t="str">
            <v>-</v>
          </cell>
          <cell r="BG402" t="str">
            <v>-</v>
          </cell>
          <cell r="BH402" t="str">
            <v>-</v>
          </cell>
          <cell r="BI402" t="str">
            <v>-</v>
          </cell>
          <cell r="BJ402" t="str">
            <v>-</v>
          </cell>
          <cell r="BK402" t="str">
            <v>-</v>
          </cell>
          <cell r="BL402" t="str">
            <v>-</v>
          </cell>
          <cell r="BM402">
            <v>0</v>
          </cell>
          <cell r="BN402">
            <v>0</v>
          </cell>
          <cell r="BO402" t="str">
            <v>-</v>
          </cell>
          <cell r="BP402" t="str">
            <v>-</v>
          </cell>
          <cell r="BQ402">
            <v>0</v>
          </cell>
          <cell r="BR402">
            <v>0</v>
          </cell>
          <cell r="BS402">
            <v>0</v>
          </cell>
          <cell r="BT402">
            <v>0</v>
          </cell>
        </row>
        <row r="403">
          <cell r="A403" t="str">
            <v>Spain2025100 / 100</v>
          </cell>
          <cell r="B403" t="str">
            <v>Spain</v>
          </cell>
          <cell r="C403">
            <v>2025</v>
          </cell>
          <cell r="D403" t="str">
            <v>100 / 100</v>
          </cell>
          <cell r="E403">
            <v>31698.48</v>
          </cell>
          <cell r="F403">
            <v>2641.54</v>
          </cell>
          <cell r="G403">
            <v>609.59084300648465</v>
          </cell>
          <cell r="H403">
            <v>121.91816860129693</v>
          </cell>
          <cell r="I403">
            <v>31698.48</v>
          </cell>
          <cell r="J403">
            <v>2641.54</v>
          </cell>
          <cell r="K403">
            <v>609.59084300648465</v>
          </cell>
          <cell r="L403">
            <v>121.91816860129693</v>
          </cell>
          <cell r="M403" t="str">
            <v>..</v>
          </cell>
          <cell r="N403" t="str">
            <v>..</v>
          </cell>
          <cell r="O403" t="str">
            <v>..</v>
          </cell>
          <cell r="P403" t="str">
            <v>..</v>
          </cell>
          <cell r="Q403" t="str">
            <v>..</v>
          </cell>
          <cell r="R403" t="str">
            <v>..</v>
          </cell>
          <cell r="S403" t="str">
            <v>..</v>
          </cell>
          <cell r="T403" t="str">
            <v>..</v>
          </cell>
          <cell r="U403" t="str">
            <v>..</v>
          </cell>
          <cell r="V403">
            <v>148</v>
          </cell>
          <cell r="W403">
            <v>0</v>
          </cell>
          <cell r="X403">
            <v>148</v>
          </cell>
          <cell r="Y403" t="str">
            <v>-</v>
          </cell>
          <cell r="Z403" t="str">
            <v>Parental leave is unpaid. Childcare leave: Unpaid leave until the child is three years old. Parental leave: 8 weeks of unpaid leave</v>
          </cell>
          <cell r="AA403" t="str">
            <v>-</v>
          </cell>
          <cell r="AB403" t="str">
            <v>-</v>
          </cell>
          <cell r="AC403" t="str">
            <v>-</v>
          </cell>
          <cell r="AD403" t="str">
            <v>-</v>
          </cell>
          <cell r="AE403" t="str">
            <v>-</v>
          </cell>
          <cell r="AF403" t="str">
            <v>-</v>
          </cell>
          <cell r="AG403" t="str">
            <v>-</v>
          </cell>
          <cell r="AH403" t="str">
            <v>-</v>
          </cell>
          <cell r="AI403" t="str">
            <v>-</v>
          </cell>
          <cell r="AJ403" t="str">
            <v>-</v>
          </cell>
          <cell r="AK403" t="str">
            <v>-</v>
          </cell>
          <cell r="AL403" t="str">
            <v>-</v>
          </cell>
          <cell r="AM403" t="str">
            <v>-</v>
          </cell>
          <cell r="AN403" t="str">
            <v>-</v>
          </cell>
          <cell r="AO403" t="str">
            <v>-</v>
          </cell>
          <cell r="AP403" t="str">
            <v>-</v>
          </cell>
          <cell r="AQ403" t="str">
            <v>-</v>
          </cell>
          <cell r="AR403" t="str">
            <v>-</v>
          </cell>
          <cell r="AS403" t="str">
            <v>-</v>
          </cell>
          <cell r="AT403" t="str">
            <v>-</v>
          </cell>
          <cell r="AU403" t="str">
            <v>-</v>
          </cell>
          <cell r="AV403" t="str">
            <v>-</v>
          </cell>
          <cell r="AW403" t="str">
            <v>-</v>
          </cell>
          <cell r="AX403" t="str">
            <v>-</v>
          </cell>
          <cell r="AY403" t="str">
            <v>-</v>
          </cell>
          <cell r="AZ403" t="str">
            <v>-</v>
          </cell>
          <cell r="BA403" t="str">
            <v>-</v>
          </cell>
          <cell r="BB403" t="str">
            <v>-</v>
          </cell>
          <cell r="BC403" t="str">
            <v>-</v>
          </cell>
          <cell r="BD403" t="str">
            <v>-</v>
          </cell>
          <cell r="BE403" t="str">
            <v>-</v>
          </cell>
          <cell r="BF403" t="str">
            <v>-</v>
          </cell>
          <cell r="BG403" t="str">
            <v>-</v>
          </cell>
          <cell r="BH403" t="str">
            <v>-</v>
          </cell>
          <cell r="BI403" t="str">
            <v>-</v>
          </cell>
          <cell r="BJ403" t="str">
            <v>-</v>
          </cell>
          <cell r="BK403" t="str">
            <v>-</v>
          </cell>
          <cell r="BL403" t="str">
            <v>-</v>
          </cell>
          <cell r="BM403">
            <v>0</v>
          </cell>
          <cell r="BN403">
            <v>0</v>
          </cell>
          <cell r="BO403" t="str">
            <v>-</v>
          </cell>
          <cell r="BP403" t="str">
            <v>-</v>
          </cell>
          <cell r="BQ403">
            <v>0</v>
          </cell>
          <cell r="BR403">
            <v>0</v>
          </cell>
          <cell r="BS403">
            <v>0</v>
          </cell>
          <cell r="BT403">
            <v>0</v>
          </cell>
        </row>
        <row r="404">
          <cell r="A404" t="str">
            <v>Sweden2014100 / 100</v>
          </cell>
          <cell r="B404" t="str">
            <v>Sweden</v>
          </cell>
          <cell r="C404">
            <v>2014</v>
          </cell>
          <cell r="D404" t="str">
            <v>100 / 100</v>
          </cell>
          <cell r="E404">
            <v>408188</v>
          </cell>
          <cell r="F404">
            <v>34015.666666666664</v>
          </cell>
          <cell r="G404">
            <v>7849.8296140739531</v>
          </cell>
          <cell r="H404">
            <v>1569.9659228147907</v>
          </cell>
          <cell r="I404">
            <v>408188</v>
          </cell>
          <cell r="J404">
            <v>34015.666666666664</v>
          </cell>
          <cell r="K404">
            <v>7849.8296140739531</v>
          </cell>
          <cell r="L404">
            <v>1569.9659228147907</v>
          </cell>
          <cell r="M404" t="str">
            <v>..</v>
          </cell>
          <cell r="N404" t="str">
            <v>..</v>
          </cell>
          <cell r="O404" t="str">
            <v>..</v>
          </cell>
          <cell r="P404" t="str">
            <v>..</v>
          </cell>
          <cell r="Q404" t="str">
            <v>..</v>
          </cell>
          <cell r="R404" t="str">
            <v>..</v>
          </cell>
          <cell r="S404" t="str">
            <v>..</v>
          </cell>
          <cell r="T404" t="str">
            <v>..</v>
          </cell>
          <cell r="U404" t="str">
            <v>..</v>
          </cell>
          <cell r="V404">
            <v>76.571428571428569</v>
          </cell>
          <cell r="W404">
            <v>8.5714285714285712</v>
          </cell>
          <cell r="X404">
            <v>68</v>
          </cell>
          <cell r="Y404" t="str">
            <v>-</v>
          </cell>
          <cell r="Z404" t="str">
            <v>Sixty calender days of parental leave through the 'fathers quota'. Father's quota: paid at 77.6 per cent of earnings up to an earnings ceiling of SEK444,000 [€48,834] for 60 days. Each parent is entitled to take full-time leave from work until their child is 18 months old, regardless of benefit reception.</v>
          </cell>
          <cell r="AA404" t="str">
            <v>Gross</v>
          </cell>
          <cell r="AB404" t="str">
            <v>Y</v>
          </cell>
          <cell r="AC404">
            <v>8.5714285714285712</v>
          </cell>
          <cell r="AD404">
            <v>0.77600000000000002</v>
          </cell>
          <cell r="AE404">
            <v>444000</v>
          </cell>
          <cell r="AF404" t="str">
            <v>Earnings ceiling, per year</v>
          </cell>
          <cell r="AG404" t="str">
            <v>-</v>
          </cell>
          <cell r="AH404" t="str">
            <v>-</v>
          </cell>
          <cell r="AI404" t="str">
            <v>-</v>
          </cell>
          <cell r="AJ404" t="str">
            <v>-</v>
          </cell>
          <cell r="AK404" t="str">
            <v>-</v>
          </cell>
          <cell r="AL404" t="str">
            <v>-</v>
          </cell>
          <cell r="AM404" t="str">
            <v>-</v>
          </cell>
          <cell r="AN404" t="str">
            <v>-</v>
          </cell>
          <cell r="AO404" t="str">
            <v>-</v>
          </cell>
          <cell r="AP404" t="str">
            <v>-</v>
          </cell>
          <cell r="AQ404" t="str">
            <v>-</v>
          </cell>
          <cell r="AR404" t="str">
            <v>-</v>
          </cell>
          <cell r="AS404" t="str">
            <v>-</v>
          </cell>
          <cell r="AT404" t="str">
            <v>-</v>
          </cell>
          <cell r="AU404" t="str">
            <v>-</v>
          </cell>
          <cell r="AV404" t="str">
            <v>-</v>
          </cell>
          <cell r="AW404" t="str">
            <v>-</v>
          </cell>
          <cell r="AX404" t="str">
            <v>-</v>
          </cell>
          <cell r="AY404" t="str">
            <v>-</v>
          </cell>
          <cell r="AZ404" t="str">
            <v>-</v>
          </cell>
          <cell r="BA404" t="str">
            <v>-</v>
          </cell>
          <cell r="BB404" t="str">
            <v>-</v>
          </cell>
          <cell r="BC404" t="str">
            <v>-</v>
          </cell>
          <cell r="BD404" t="str">
            <v>-</v>
          </cell>
          <cell r="BE404" t="str">
            <v>-</v>
          </cell>
          <cell r="BF404" t="str">
            <v>-</v>
          </cell>
          <cell r="BG404" t="str">
            <v>-</v>
          </cell>
          <cell r="BH404" t="str">
            <v>-</v>
          </cell>
          <cell r="BI404" t="str">
            <v>-</v>
          </cell>
          <cell r="BJ404" t="str">
            <v>-</v>
          </cell>
          <cell r="BK404" t="str">
            <v>-</v>
          </cell>
          <cell r="BL404" t="str">
            <v>-</v>
          </cell>
          <cell r="BM404">
            <v>0.77600000000000002</v>
          </cell>
          <cell r="BN404">
            <v>8.6865671641791042E-2</v>
          </cell>
          <cell r="BO404" t="str">
            <v>-</v>
          </cell>
          <cell r="BP404" t="str">
            <v>-</v>
          </cell>
          <cell r="BQ404">
            <v>316753.88800000004</v>
          </cell>
          <cell r="BR404">
            <v>26396.157333333333</v>
          </cell>
          <cell r="BS404">
            <v>6091.4677805213878</v>
          </cell>
          <cell r="BT404">
            <v>1218.2935561042775</v>
          </cell>
        </row>
        <row r="405">
          <cell r="A405" t="str">
            <v>Sweden2015100 / 100</v>
          </cell>
          <cell r="B405" t="str">
            <v>Sweden</v>
          </cell>
          <cell r="C405">
            <v>2015</v>
          </cell>
          <cell r="D405" t="str">
            <v>100 / 100</v>
          </cell>
          <cell r="E405">
            <v>414105</v>
          </cell>
          <cell r="F405">
            <v>34508.75</v>
          </cell>
          <cell r="G405">
            <v>7963.6189509150063</v>
          </cell>
          <cell r="H405">
            <v>1592.7237901830013</v>
          </cell>
          <cell r="I405">
            <v>414105</v>
          </cell>
          <cell r="J405">
            <v>34508.75</v>
          </cell>
          <cell r="K405">
            <v>7963.6189509150063</v>
          </cell>
          <cell r="L405">
            <v>1592.7237901830013</v>
          </cell>
          <cell r="M405" t="str">
            <v>..</v>
          </cell>
          <cell r="N405" t="str">
            <v>..</v>
          </cell>
          <cell r="O405" t="str">
            <v>..</v>
          </cell>
          <cell r="P405" t="str">
            <v>..</v>
          </cell>
          <cell r="Q405" t="str">
            <v>..</v>
          </cell>
          <cell r="R405" t="str">
            <v>..</v>
          </cell>
          <cell r="S405" t="str">
            <v>..</v>
          </cell>
          <cell r="T405" t="str">
            <v>..</v>
          </cell>
          <cell r="U405" t="str">
            <v>..</v>
          </cell>
          <cell r="V405">
            <v>76.571428571428569</v>
          </cell>
          <cell r="W405">
            <v>8.5714285714285712</v>
          </cell>
          <cell r="X405">
            <v>68</v>
          </cell>
          <cell r="Y405" t="str">
            <v>-</v>
          </cell>
          <cell r="Z405" t="str">
            <v>Sixty calender days of parental leave through the 'fathers quota'. Father's quota: paid at 77.6 per cent of earnings up to an earnings ceiling of SEK445,000 [€47,447] per year for 60 days. Each parent is entitled to take full-time leave from work until their child is 18 months old, regardless of benefit reception.</v>
          </cell>
          <cell r="AA405" t="str">
            <v>Gross</v>
          </cell>
          <cell r="AB405" t="str">
            <v>Y</v>
          </cell>
          <cell r="AC405">
            <v>8.5714285714285712</v>
          </cell>
          <cell r="AD405">
            <v>0.77600000000000002</v>
          </cell>
          <cell r="AE405">
            <v>445000</v>
          </cell>
          <cell r="AF405" t="str">
            <v>Earnings ceiling, per year</v>
          </cell>
          <cell r="AG405" t="str">
            <v>-</v>
          </cell>
          <cell r="AH405" t="str">
            <v>-</v>
          </cell>
          <cell r="AI405" t="str">
            <v>-</v>
          </cell>
          <cell r="AJ405" t="str">
            <v>-</v>
          </cell>
          <cell r="AK405" t="str">
            <v>-</v>
          </cell>
          <cell r="AL405" t="str">
            <v>-</v>
          </cell>
          <cell r="AM405" t="str">
            <v>-</v>
          </cell>
          <cell r="AN405" t="str">
            <v>-</v>
          </cell>
          <cell r="AO405" t="str">
            <v>-</v>
          </cell>
          <cell r="AP405" t="str">
            <v>-</v>
          </cell>
          <cell r="AQ405" t="str">
            <v>-</v>
          </cell>
          <cell r="AR405" t="str">
            <v>-</v>
          </cell>
          <cell r="AS405" t="str">
            <v>-</v>
          </cell>
          <cell r="AT405" t="str">
            <v>-</v>
          </cell>
          <cell r="AU405" t="str">
            <v>-</v>
          </cell>
          <cell r="AV405" t="str">
            <v>-</v>
          </cell>
          <cell r="AW405" t="str">
            <v>-</v>
          </cell>
          <cell r="AX405" t="str">
            <v>-</v>
          </cell>
          <cell r="AY405" t="str">
            <v>-</v>
          </cell>
          <cell r="AZ405" t="str">
            <v>-</v>
          </cell>
          <cell r="BA405" t="str">
            <v>-</v>
          </cell>
          <cell r="BB405" t="str">
            <v>-</v>
          </cell>
          <cell r="BC405" t="str">
            <v>-</v>
          </cell>
          <cell r="BD405" t="str">
            <v>-</v>
          </cell>
          <cell r="BE405" t="str">
            <v>-</v>
          </cell>
          <cell r="BF405" t="str">
            <v>-</v>
          </cell>
          <cell r="BG405" t="str">
            <v>-</v>
          </cell>
          <cell r="BH405" t="str">
            <v>-</v>
          </cell>
          <cell r="BI405" t="str">
            <v>-</v>
          </cell>
          <cell r="BJ405" t="str">
            <v>-</v>
          </cell>
          <cell r="BK405" t="str">
            <v>-</v>
          </cell>
          <cell r="BL405" t="str">
            <v>-</v>
          </cell>
          <cell r="BM405">
            <v>0.77600000000000002</v>
          </cell>
          <cell r="BN405">
            <v>8.6865671641791042E-2</v>
          </cell>
          <cell r="BO405" t="str">
            <v>-</v>
          </cell>
          <cell r="BP405" t="str">
            <v>-</v>
          </cell>
          <cell r="BQ405">
            <v>321345.48</v>
          </cell>
          <cell r="BR405">
            <v>26778.79</v>
          </cell>
          <cell r="BS405">
            <v>6179.7683059100455</v>
          </cell>
          <cell r="BT405">
            <v>1235.953661182009</v>
          </cell>
        </row>
        <row r="406">
          <cell r="A406" t="str">
            <v>Sweden2016100 / 100</v>
          </cell>
          <cell r="B406" t="str">
            <v>Sweden</v>
          </cell>
          <cell r="C406">
            <v>2016</v>
          </cell>
          <cell r="D406" t="str">
            <v>100 / 100</v>
          </cell>
          <cell r="E406">
            <v>424963</v>
          </cell>
          <cell r="F406">
            <v>35413.583333333336</v>
          </cell>
          <cell r="G406">
            <v>8172.4282494480722</v>
          </cell>
          <cell r="H406">
            <v>1634.4856498896145</v>
          </cell>
          <cell r="I406">
            <v>424963</v>
          </cell>
          <cell r="J406">
            <v>35413.583333333336</v>
          </cell>
          <cell r="K406">
            <v>8172.4282494480722</v>
          </cell>
          <cell r="L406">
            <v>1634.4856498896145</v>
          </cell>
          <cell r="M406" t="str">
            <v>..</v>
          </cell>
          <cell r="N406" t="str">
            <v>..</v>
          </cell>
          <cell r="O406" t="str">
            <v>..</v>
          </cell>
          <cell r="P406" t="str">
            <v>..</v>
          </cell>
          <cell r="Q406" t="str">
            <v>..</v>
          </cell>
          <cell r="R406" t="str">
            <v>..</v>
          </cell>
          <cell r="S406" t="str">
            <v>..</v>
          </cell>
          <cell r="T406" t="str">
            <v>..</v>
          </cell>
          <cell r="U406" t="str">
            <v>..</v>
          </cell>
          <cell r="V406">
            <v>76.571428571428569</v>
          </cell>
          <cell r="W406">
            <v>12.857142857142858</v>
          </cell>
          <cell r="X406">
            <v>63.714285714285708</v>
          </cell>
          <cell r="Y406" t="str">
            <v>-</v>
          </cell>
          <cell r="Z406" t="str">
            <v>Ninety calender days. 77.6 per cent of earnings up to an earnings ceiling of SEK443000 per year. Each parent is entitled to take full-time leave from work until their child is 18 months old, regardless of benefit reception.</v>
          </cell>
          <cell r="AA406" t="str">
            <v>Gross</v>
          </cell>
          <cell r="AB406" t="str">
            <v>Y</v>
          </cell>
          <cell r="AC406">
            <v>12.857142857142858</v>
          </cell>
          <cell r="AD406">
            <v>0.77600000000000002</v>
          </cell>
          <cell r="AE406">
            <v>443000</v>
          </cell>
          <cell r="AF406" t="str">
            <v>Earnings ceiling, per year</v>
          </cell>
          <cell r="AG406" t="str">
            <v>-</v>
          </cell>
          <cell r="AH406" t="str">
            <v>-</v>
          </cell>
          <cell r="AI406" t="str">
            <v>-</v>
          </cell>
          <cell r="AJ406" t="str">
            <v>-</v>
          </cell>
          <cell r="AK406" t="str">
            <v>-</v>
          </cell>
          <cell r="AL406" t="str">
            <v>-</v>
          </cell>
          <cell r="AM406" t="str">
            <v>-</v>
          </cell>
          <cell r="AN406" t="str">
            <v>-</v>
          </cell>
          <cell r="AO406" t="str">
            <v>-</v>
          </cell>
          <cell r="AP406" t="str">
            <v>-</v>
          </cell>
          <cell r="AQ406" t="str">
            <v>-</v>
          </cell>
          <cell r="AR406" t="str">
            <v>-</v>
          </cell>
          <cell r="AS406" t="str">
            <v>-</v>
          </cell>
          <cell r="AT406" t="str">
            <v>-</v>
          </cell>
          <cell r="AU406" t="str">
            <v>-</v>
          </cell>
          <cell r="AV406" t="str">
            <v>-</v>
          </cell>
          <cell r="AW406" t="str">
            <v>-</v>
          </cell>
          <cell r="AX406" t="str">
            <v>-</v>
          </cell>
          <cell r="AY406" t="str">
            <v>-</v>
          </cell>
          <cell r="AZ406" t="str">
            <v>-</v>
          </cell>
          <cell r="BA406" t="str">
            <v>-</v>
          </cell>
          <cell r="BB406" t="str">
            <v>-</v>
          </cell>
          <cell r="BC406" t="str">
            <v>-</v>
          </cell>
          <cell r="BD406" t="str">
            <v>-</v>
          </cell>
          <cell r="BE406" t="str">
            <v>-</v>
          </cell>
          <cell r="BF406" t="str">
            <v>-</v>
          </cell>
          <cell r="BG406" t="str">
            <v>-</v>
          </cell>
          <cell r="BH406" t="str">
            <v>-</v>
          </cell>
          <cell r="BI406" t="str">
            <v>-</v>
          </cell>
          <cell r="BJ406" t="str">
            <v>-</v>
          </cell>
          <cell r="BK406" t="str">
            <v>-</v>
          </cell>
          <cell r="BL406" t="str">
            <v>-</v>
          </cell>
          <cell r="BM406">
            <v>0.77600000000000013</v>
          </cell>
          <cell r="BN406">
            <v>0.13029850746268659</v>
          </cell>
          <cell r="BO406" t="str">
            <v>-</v>
          </cell>
          <cell r="BP406" t="str">
            <v>-</v>
          </cell>
          <cell r="BQ406">
            <v>329771.28800000006</v>
          </cell>
          <cell r="BR406">
            <v>27480.940666666673</v>
          </cell>
          <cell r="BS406">
            <v>6341.8043215717053</v>
          </cell>
          <cell r="BT406">
            <v>1268.3608643143411</v>
          </cell>
        </row>
        <row r="407">
          <cell r="A407" t="str">
            <v>Sweden2017100 / 100</v>
          </cell>
          <cell r="B407" t="str">
            <v>Sweden</v>
          </cell>
          <cell r="C407">
            <v>2017</v>
          </cell>
          <cell r="D407" t="str">
            <v>100 / 100</v>
          </cell>
          <cell r="E407">
            <v>435821</v>
          </cell>
          <cell r="F407">
            <v>36318.416666666664</v>
          </cell>
          <cell r="G407">
            <v>8381.2375479811362</v>
          </cell>
          <cell r="H407">
            <v>1676.2475095962272</v>
          </cell>
          <cell r="I407">
            <v>435821</v>
          </cell>
          <cell r="J407">
            <v>36318.416666666664</v>
          </cell>
          <cell r="K407">
            <v>8381.2375479811362</v>
          </cell>
          <cell r="L407">
            <v>1676.2475095962272</v>
          </cell>
          <cell r="M407" t="str">
            <v>..</v>
          </cell>
          <cell r="N407" t="str">
            <v>..</v>
          </cell>
          <cell r="O407" t="str">
            <v>..</v>
          </cell>
          <cell r="P407" t="str">
            <v>..</v>
          </cell>
          <cell r="Q407" t="str">
            <v>..</v>
          </cell>
          <cell r="R407" t="str">
            <v>..</v>
          </cell>
          <cell r="S407" t="str">
            <v>..</v>
          </cell>
          <cell r="T407" t="str">
            <v>..</v>
          </cell>
          <cell r="U407" t="str">
            <v>..</v>
          </cell>
          <cell r="V407">
            <v>76.571428571428569</v>
          </cell>
          <cell r="W407">
            <v>12.857142857142858</v>
          </cell>
          <cell r="X407">
            <v>63.714285714285708</v>
          </cell>
          <cell r="Y407" t="str">
            <v>-</v>
          </cell>
          <cell r="Z407" t="str">
            <v>Ninety calender days. 77.6 per cent of earnings up to an earnings ceiling of SEK 447,783 [€45,852] per year. Each parent is entitled to take full-time leave from work until their child is 18 months old, regardless of benefit reception.</v>
          </cell>
          <cell r="AA407" t="str">
            <v>Gross</v>
          </cell>
          <cell r="AB407" t="str">
            <v>Y</v>
          </cell>
          <cell r="AC407">
            <v>12.857142857142858</v>
          </cell>
          <cell r="AD407">
            <v>0.77600000000000002</v>
          </cell>
          <cell r="AE407">
            <v>447783</v>
          </cell>
          <cell r="AF407" t="str">
            <v>Earnings ceiling, per year</v>
          </cell>
          <cell r="AG407" t="str">
            <v>-</v>
          </cell>
          <cell r="AH407" t="str">
            <v>-</v>
          </cell>
          <cell r="AI407" t="str">
            <v>-</v>
          </cell>
          <cell r="AJ407" t="str">
            <v>-</v>
          </cell>
          <cell r="AK407" t="str">
            <v>-</v>
          </cell>
          <cell r="AL407" t="str">
            <v>-</v>
          </cell>
          <cell r="AM407" t="str">
            <v>-</v>
          </cell>
          <cell r="AN407" t="str">
            <v>-</v>
          </cell>
          <cell r="AO407" t="str">
            <v>-</v>
          </cell>
          <cell r="AP407" t="str">
            <v>-</v>
          </cell>
          <cell r="AQ407" t="str">
            <v>-</v>
          </cell>
          <cell r="AR407" t="str">
            <v>-</v>
          </cell>
          <cell r="AS407" t="str">
            <v>-</v>
          </cell>
          <cell r="AT407" t="str">
            <v>-</v>
          </cell>
          <cell r="AU407" t="str">
            <v>-</v>
          </cell>
          <cell r="AV407" t="str">
            <v>-</v>
          </cell>
          <cell r="AW407" t="str">
            <v>-</v>
          </cell>
          <cell r="AX407" t="str">
            <v>-</v>
          </cell>
          <cell r="AY407" t="str">
            <v>-</v>
          </cell>
          <cell r="AZ407" t="str">
            <v>-</v>
          </cell>
          <cell r="BA407" t="str">
            <v>-</v>
          </cell>
          <cell r="BB407" t="str">
            <v>-</v>
          </cell>
          <cell r="BC407" t="str">
            <v>-</v>
          </cell>
          <cell r="BD407" t="str">
            <v>-</v>
          </cell>
          <cell r="BE407" t="str">
            <v>-</v>
          </cell>
          <cell r="BF407" t="str">
            <v>-</v>
          </cell>
          <cell r="BG407" t="str">
            <v>-</v>
          </cell>
          <cell r="BH407" t="str">
            <v>-</v>
          </cell>
          <cell r="BI407" t="str">
            <v>-</v>
          </cell>
          <cell r="BJ407" t="str">
            <v>-</v>
          </cell>
          <cell r="BK407" t="str">
            <v>-</v>
          </cell>
          <cell r="BL407" t="str">
            <v>-</v>
          </cell>
          <cell r="BM407">
            <v>0.77600000000000013</v>
          </cell>
          <cell r="BN407">
            <v>0.13029850746268659</v>
          </cell>
          <cell r="BO407" t="str">
            <v>-</v>
          </cell>
          <cell r="BP407" t="str">
            <v>-</v>
          </cell>
          <cell r="BQ407">
            <v>338197.09600000008</v>
          </cell>
          <cell r="BR407">
            <v>28183.091333333337</v>
          </cell>
          <cell r="BS407">
            <v>6503.8403372333632</v>
          </cell>
          <cell r="BT407">
            <v>1300.7680674466726</v>
          </cell>
        </row>
        <row r="408">
          <cell r="A408" t="str">
            <v>Sweden2018100 / 100</v>
          </cell>
          <cell r="B408" t="str">
            <v>Sweden</v>
          </cell>
          <cell r="C408">
            <v>2018</v>
          </cell>
          <cell r="D408" t="str">
            <v>100 / 100</v>
          </cell>
          <cell r="E408">
            <v>447569</v>
          </cell>
          <cell r="F408">
            <v>37297.416666666664</v>
          </cell>
          <cell r="G408">
            <v>8607.1623627874051</v>
          </cell>
          <cell r="H408">
            <v>1721.4324725574811</v>
          </cell>
          <cell r="I408">
            <v>447569</v>
          </cell>
          <cell r="J408">
            <v>37297.416666666664</v>
          </cell>
          <cell r="K408">
            <v>8607.1623627874051</v>
          </cell>
          <cell r="L408">
            <v>1721.4324725574811</v>
          </cell>
          <cell r="M408" t="str">
            <v>..</v>
          </cell>
          <cell r="N408" t="str">
            <v>..</v>
          </cell>
          <cell r="O408" t="str">
            <v>..</v>
          </cell>
          <cell r="P408" t="str">
            <v>..</v>
          </cell>
          <cell r="Q408" t="str">
            <v>..</v>
          </cell>
          <cell r="R408" t="str">
            <v>..</v>
          </cell>
          <cell r="S408" t="str">
            <v>..</v>
          </cell>
          <cell r="T408" t="str">
            <v>..</v>
          </cell>
          <cell r="U408" t="str">
            <v>..</v>
          </cell>
          <cell r="V408">
            <v>76.571428571428569</v>
          </cell>
          <cell r="W408">
            <v>12.857142857142858</v>
          </cell>
          <cell r="X408">
            <v>63.714285714285708</v>
          </cell>
          <cell r="Y408" t="str">
            <v>-</v>
          </cell>
          <cell r="Z408" t="str">
            <v>Ninety calender days. 77.6 per cent of earnings up to an earnings ceiling of SEK 455,004 [€44.910.95] per year. Each parent is entitled to take full-time leave from work until their child is 18 months old, regardless of benefit reception.</v>
          </cell>
          <cell r="AA408" t="str">
            <v>Gross</v>
          </cell>
          <cell r="AB408" t="str">
            <v>Y</v>
          </cell>
          <cell r="AC408">
            <v>12.857142857142858</v>
          </cell>
          <cell r="AD408">
            <v>0.77600000000000002</v>
          </cell>
          <cell r="AE408">
            <v>455004</v>
          </cell>
          <cell r="AF408" t="str">
            <v>Earnings ceiling, per year</v>
          </cell>
          <cell r="AG408" t="str">
            <v>-</v>
          </cell>
          <cell r="AH408" t="str">
            <v>-</v>
          </cell>
          <cell r="AI408" t="str">
            <v>-</v>
          </cell>
          <cell r="AJ408" t="str">
            <v>-</v>
          </cell>
          <cell r="AK408" t="str">
            <v>-</v>
          </cell>
          <cell r="AL408" t="str">
            <v>-</v>
          </cell>
          <cell r="AM408" t="str">
            <v>-</v>
          </cell>
          <cell r="AN408" t="str">
            <v>-</v>
          </cell>
          <cell r="AO408" t="str">
            <v>-</v>
          </cell>
          <cell r="AP408" t="str">
            <v>-</v>
          </cell>
          <cell r="AQ408" t="str">
            <v>-</v>
          </cell>
          <cell r="AR408" t="str">
            <v>-</v>
          </cell>
          <cell r="AS408" t="str">
            <v>-</v>
          </cell>
          <cell r="AT408" t="str">
            <v>-</v>
          </cell>
          <cell r="AU408" t="str">
            <v>-</v>
          </cell>
          <cell r="AV408" t="str">
            <v>-</v>
          </cell>
          <cell r="AW408" t="str">
            <v>-</v>
          </cell>
          <cell r="AX408" t="str">
            <v>-</v>
          </cell>
          <cell r="AY408" t="str">
            <v>-</v>
          </cell>
          <cell r="AZ408" t="str">
            <v>-</v>
          </cell>
          <cell r="BA408" t="str">
            <v>-</v>
          </cell>
          <cell r="BB408" t="str">
            <v>-</v>
          </cell>
          <cell r="BC408" t="str">
            <v>-</v>
          </cell>
          <cell r="BD408" t="str">
            <v>-</v>
          </cell>
          <cell r="BE408" t="str">
            <v>-</v>
          </cell>
          <cell r="BF408" t="str">
            <v>-</v>
          </cell>
          <cell r="BG408" t="str">
            <v>-</v>
          </cell>
          <cell r="BH408" t="str">
            <v>-</v>
          </cell>
          <cell r="BI408" t="str">
            <v>-</v>
          </cell>
          <cell r="BJ408" t="str">
            <v>-</v>
          </cell>
          <cell r="BK408" t="str">
            <v>-</v>
          </cell>
          <cell r="BL408" t="str">
            <v>-</v>
          </cell>
          <cell r="BM408">
            <v>0.77600000000000013</v>
          </cell>
          <cell r="BN408">
            <v>0.13029850746268659</v>
          </cell>
          <cell r="BO408" t="str">
            <v>-</v>
          </cell>
          <cell r="BP408" t="str">
            <v>-</v>
          </cell>
          <cell r="BQ408">
            <v>347313.54400000005</v>
          </cell>
          <cell r="BR408">
            <v>28942.795333333335</v>
          </cell>
          <cell r="BS408">
            <v>6679.1579935230275</v>
          </cell>
          <cell r="BT408">
            <v>1335.8315987046055</v>
          </cell>
        </row>
        <row r="409">
          <cell r="A409" t="str">
            <v>Sweden2019100 / 100</v>
          </cell>
          <cell r="B409" t="str">
            <v>Sweden</v>
          </cell>
          <cell r="C409">
            <v>2019</v>
          </cell>
          <cell r="D409" t="str">
            <v>100 / 100</v>
          </cell>
          <cell r="E409">
            <v>455072</v>
          </cell>
          <cell r="F409">
            <v>37922.666666666664</v>
          </cell>
          <cell r="G409">
            <v>8751.451934245646</v>
          </cell>
          <cell r="H409">
            <v>1750.2903868491292</v>
          </cell>
          <cell r="I409">
            <v>455072</v>
          </cell>
          <cell r="J409">
            <v>37922.666666666664</v>
          </cell>
          <cell r="K409">
            <v>8751.451934245646</v>
          </cell>
          <cell r="L409">
            <v>1750.2903868491292</v>
          </cell>
          <cell r="M409" t="str">
            <v>..</v>
          </cell>
          <cell r="N409" t="str">
            <v>..</v>
          </cell>
          <cell r="O409" t="str">
            <v>..</v>
          </cell>
          <cell r="P409" t="str">
            <v>..</v>
          </cell>
          <cell r="Q409" t="str">
            <v>..</v>
          </cell>
          <cell r="R409" t="str">
            <v>..</v>
          </cell>
          <cell r="S409" t="str">
            <v>..</v>
          </cell>
          <cell r="T409" t="str">
            <v>..</v>
          </cell>
          <cell r="U409" t="str">
            <v>..</v>
          </cell>
          <cell r="V409">
            <v>76.571428571428569</v>
          </cell>
          <cell r="W409">
            <v>12.857142857142858</v>
          </cell>
          <cell r="X409">
            <v>63.714285714285708</v>
          </cell>
          <cell r="Y409" t="str">
            <v>-</v>
          </cell>
          <cell r="Z409" t="str">
            <v>Ninety calender days. 77.6 per cent of earnings up to an earnings ceiling of SEK455,000 [€42,737.50] per year. Each parent is entitled to take full-time leave from work until their child is 18 months old, regardless of benefit reception.</v>
          </cell>
          <cell r="AA409" t="str">
            <v>Gross</v>
          </cell>
          <cell r="AB409" t="str">
            <v>Y</v>
          </cell>
          <cell r="AC409">
            <v>12.857142857142858</v>
          </cell>
          <cell r="AD409">
            <v>0.77600000000000002</v>
          </cell>
          <cell r="AE409">
            <v>455000</v>
          </cell>
          <cell r="AF409" t="str">
            <v>Earnings ceiling, per year</v>
          </cell>
          <cell r="AG409" t="str">
            <v>-</v>
          </cell>
          <cell r="AH409" t="str">
            <v>-</v>
          </cell>
          <cell r="AI409" t="str">
            <v>-</v>
          </cell>
          <cell r="AJ409" t="str">
            <v>-</v>
          </cell>
          <cell r="AK409" t="str">
            <v>-</v>
          </cell>
          <cell r="AL409" t="str">
            <v>-</v>
          </cell>
          <cell r="AM409" t="str">
            <v>-</v>
          </cell>
          <cell r="AN409" t="str">
            <v>-</v>
          </cell>
          <cell r="AO409" t="str">
            <v>-</v>
          </cell>
          <cell r="AP409" t="str">
            <v>-</v>
          </cell>
          <cell r="AQ409" t="str">
            <v>-</v>
          </cell>
          <cell r="AR409" t="str">
            <v>-</v>
          </cell>
          <cell r="AS409" t="str">
            <v>-</v>
          </cell>
          <cell r="AT409" t="str">
            <v>-</v>
          </cell>
          <cell r="AU409" t="str">
            <v>-</v>
          </cell>
          <cell r="AV409" t="str">
            <v>-</v>
          </cell>
          <cell r="AW409" t="str">
            <v>-</v>
          </cell>
          <cell r="AX409" t="str">
            <v>-</v>
          </cell>
          <cell r="AY409" t="str">
            <v>-</v>
          </cell>
          <cell r="AZ409" t="str">
            <v>-</v>
          </cell>
          <cell r="BA409" t="str">
            <v>-</v>
          </cell>
          <cell r="BB409" t="str">
            <v>-</v>
          </cell>
          <cell r="BC409" t="str">
            <v>-</v>
          </cell>
          <cell r="BD409" t="str">
            <v>-</v>
          </cell>
          <cell r="BE409" t="str">
            <v>-</v>
          </cell>
          <cell r="BF409" t="str">
            <v>-</v>
          </cell>
          <cell r="BG409" t="str">
            <v>-</v>
          </cell>
          <cell r="BH409" t="str">
            <v>-</v>
          </cell>
          <cell r="BI409" t="str">
            <v>-</v>
          </cell>
          <cell r="BJ409" t="str">
            <v>-</v>
          </cell>
          <cell r="BK409" t="str">
            <v>-</v>
          </cell>
          <cell r="BL409" t="str">
            <v>-</v>
          </cell>
          <cell r="BM409">
            <v>0.77587722382392232</v>
          </cell>
          <cell r="BN409">
            <v>0.13027789205998697</v>
          </cell>
          <cell r="BO409" t="str">
            <v>-</v>
          </cell>
          <cell r="BP409" t="str">
            <v>-</v>
          </cell>
          <cell r="BQ409">
            <v>353080</v>
          </cell>
          <cell r="BR409">
            <v>29423.333333333328</v>
          </cell>
          <cell r="BS409">
            <v>6790.0522311710074</v>
          </cell>
          <cell r="BT409">
            <v>1358.0104462342015</v>
          </cell>
        </row>
        <row r="410">
          <cell r="A410" t="str">
            <v>Sweden2020100 / 100</v>
          </cell>
          <cell r="B410" t="str">
            <v>Sweden</v>
          </cell>
          <cell r="C410">
            <v>2020</v>
          </cell>
          <cell r="D410" t="str">
            <v>100 / 100</v>
          </cell>
          <cell r="E410">
            <v>464186</v>
          </cell>
          <cell r="F410">
            <v>38682.166666666664</v>
          </cell>
          <cell r="G410">
            <v>8926.7225132501007</v>
          </cell>
          <cell r="H410">
            <v>1785.3445026500201</v>
          </cell>
          <cell r="I410">
            <v>464186</v>
          </cell>
          <cell r="J410">
            <v>38682.166666666664</v>
          </cell>
          <cell r="K410">
            <v>8926.7225132501007</v>
          </cell>
          <cell r="L410">
            <v>1785.3445026500201</v>
          </cell>
          <cell r="M410" t="str">
            <v>..</v>
          </cell>
          <cell r="N410" t="str">
            <v>..</v>
          </cell>
          <cell r="O410" t="str">
            <v>..</v>
          </cell>
          <cell r="P410" t="str">
            <v>..</v>
          </cell>
          <cell r="Q410" t="str">
            <v>..</v>
          </cell>
          <cell r="R410" t="str">
            <v>..</v>
          </cell>
          <cell r="S410" t="str">
            <v>..</v>
          </cell>
          <cell r="T410" t="str">
            <v>..</v>
          </cell>
          <cell r="U410" t="str">
            <v>..</v>
          </cell>
          <cell r="V410">
            <v>76.571428571428569</v>
          </cell>
          <cell r="W410">
            <v>12.857142857142858</v>
          </cell>
          <cell r="X410">
            <v>63.714285714285708</v>
          </cell>
          <cell r="Y410" t="str">
            <v>-</v>
          </cell>
          <cell r="Z410" t="str">
            <v>Ninety calender days. 77.6 per cent of earnings up to an earnings ceiling of SEK 465,000 [€45,218.07] per year. Each parent is entitled to take full-time leave from work until their child is 18 months old, regardless of benefit reception.</v>
          </cell>
          <cell r="AA410" t="str">
            <v>Gross</v>
          </cell>
          <cell r="AB410" t="str">
            <v>Y</v>
          </cell>
          <cell r="AC410">
            <v>12.857142857142858</v>
          </cell>
          <cell r="AD410">
            <v>0.77600000000000002</v>
          </cell>
          <cell r="AE410">
            <v>465000</v>
          </cell>
          <cell r="AF410" t="str">
            <v>Earnings ceiling, per year</v>
          </cell>
          <cell r="AG410" t="str">
            <v>-</v>
          </cell>
          <cell r="AH410" t="str">
            <v>-</v>
          </cell>
          <cell r="AI410" t="str">
            <v>-</v>
          </cell>
          <cell r="AJ410" t="str">
            <v>-</v>
          </cell>
          <cell r="AK410" t="str">
            <v>-</v>
          </cell>
          <cell r="AL410" t="str">
            <v>-</v>
          </cell>
          <cell r="AM410" t="str">
            <v>-</v>
          </cell>
          <cell r="AN410" t="str">
            <v>-</v>
          </cell>
          <cell r="AO410" t="str">
            <v>-</v>
          </cell>
          <cell r="AP410" t="str">
            <v>-</v>
          </cell>
          <cell r="AQ410" t="str">
            <v>-</v>
          </cell>
          <cell r="AR410" t="str">
            <v>-</v>
          </cell>
          <cell r="AS410" t="str">
            <v>-</v>
          </cell>
          <cell r="AT410" t="str">
            <v>-</v>
          </cell>
          <cell r="AU410" t="str">
            <v>-</v>
          </cell>
          <cell r="AV410" t="str">
            <v>-</v>
          </cell>
          <cell r="AW410" t="str">
            <v>-</v>
          </cell>
          <cell r="AX410" t="str">
            <v>-</v>
          </cell>
          <cell r="AY410" t="str">
            <v>-</v>
          </cell>
          <cell r="AZ410" t="str">
            <v>-</v>
          </cell>
          <cell r="BA410" t="str">
            <v>-</v>
          </cell>
          <cell r="BB410" t="str">
            <v>-</v>
          </cell>
          <cell r="BC410" t="str">
            <v>-</v>
          </cell>
          <cell r="BD410" t="str">
            <v>-</v>
          </cell>
          <cell r="BE410" t="str">
            <v>-</v>
          </cell>
          <cell r="BF410" t="str">
            <v>-</v>
          </cell>
          <cell r="BG410" t="str">
            <v>-</v>
          </cell>
          <cell r="BH410" t="str">
            <v>-</v>
          </cell>
          <cell r="BI410" t="str">
            <v>-</v>
          </cell>
          <cell r="BJ410" t="str">
            <v>-</v>
          </cell>
          <cell r="BK410" t="str">
            <v>-</v>
          </cell>
          <cell r="BL410" t="str">
            <v>-</v>
          </cell>
          <cell r="BM410">
            <v>0.77600000000000013</v>
          </cell>
          <cell r="BN410">
            <v>0.13029850746268659</v>
          </cell>
          <cell r="BO410" t="str">
            <v>-</v>
          </cell>
          <cell r="BP410" t="str">
            <v>-</v>
          </cell>
          <cell r="BQ410">
            <v>360208.33600000007</v>
          </cell>
          <cell r="BR410">
            <v>30017.361333333338</v>
          </cell>
          <cell r="BS410">
            <v>6927.1366702820796</v>
          </cell>
          <cell r="BT410">
            <v>1385.4273340564159</v>
          </cell>
        </row>
        <row r="411">
          <cell r="A411" t="str">
            <v>Sweden2021100 / 100</v>
          </cell>
          <cell r="B411" t="str">
            <v>Sweden</v>
          </cell>
          <cell r="C411">
            <v>2021</v>
          </cell>
          <cell r="D411" t="str">
            <v>100 / 100</v>
          </cell>
          <cell r="E411">
            <v>476276</v>
          </cell>
          <cell r="F411">
            <v>39689.666666666664</v>
          </cell>
          <cell r="G411">
            <v>9159.2243017253968</v>
          </cell>
          <cell r="H411">
            <v>1831.8448603450793</v>
          </cell>
          <cell r="I411">
            <v>476276</v>
          </cell>
          <cell r="J411">
            <v>39689.666666666664</v>
          </cell>
          <cell r="K411">
            <v>9159.2243017253968</v>
          </cell>
          <cell r="L411">
            <v>1831.8448603450793</v>
          </cell>
          <cell r="M411" t="str">
            <v>..</v>
          </cell>
          <cell r="N411" t="str">
            <v>..</v>
          </cell>
          <cell r="O411" t="str">
            <v>..</v>
          </cell>
          <cell r="P411" t="str">
            <v>..</v>
          </cell>
          <cell r="Q411" t="str">
            <v>..</v>
          </cell>
          <cell r="R411" t="str">
            <v>..</v>
          </cell>
          <cell r="S411" t="str">
            <v>..</v>
          </cell>
          <cell r="T411" t="str">
            <v>..</v>
          </cell>
          <cell r="U411" t="str">
            <v>..</v>
          </cell>
          <cell r="V411">
            <v>76.571428571428569</v>
          </cell>
          <cell r="W411">
            <v>12.857142857142858</v>
          </cell>
          <cell r="X411">
            <v>63.714285714285708</v>
          </cell>
          <cell r="Y411" t="str">
            <v>-</v>
          </cell>
          <cell r="Z411" t="str">
            <v>Ninety calender days. 77.6 per cent of earnings up to an earnings ceiling of SEK 486000 [€45,218.07] per year. Each parent is entitled to take full-time leave from work until their child is 18 months old, regardless of benefit reception.</v>
          </cell>
          <cell r="AA411" t="str">
            <v>Gross</v>
          </cell>
          <cell r="AB411" t="str">
            <v>Y</v>
          </cell>
          <cell r="AC411">
            <v>12.857142857142858</v>
          </cell>
          <cell r="AD411">
            <v>0.77600000000000002</v>
          </cell>
          <cell r="AE411">
            <v>486000</v>
          </cell>
          <cell r="AF411" t="str">
            <v>Earnings ceiling, per year</v>
          </cell>
          <cell r="AG411" t="str">
            <v>-</v>
          </cell>
          <cell r="AH411" t="str">
            <v>-</v>
          </cell>
          <cell r="AI411" t="str">
            <v>-</v>
          </cell>
          <cell r="AJ411" t="str">
            <v>-</v>
          </cell>
          <cell r="AK411" t="str">
            <v>-</v>
          </cell>
          <cell r="AL411" t="str">
            <v>-</v>
          </cell>
          <cell r="AM411" t="str">
            <v>-</v>
          </cell>
          <cell r="AN411" t="str">
            <v>-</v>
          </cell>
          <cell r="AO411" t="str">
            <v>-</v>
          </cell>
          <cell r="AP411" t="str">
            <v>-</v>
          </cell>
          <cell r="AQ411" t="str">
            <v>-</v>
          </cell>
          <cell r="AR411" t="str">
            <v>-</v>
          </cell>
          <cell r="AS411" t="str">
            <v>-</v>
          </cell>
          <cell r="AT411" t="str">
            <v>-</v>
          </cell>
          <cell r="AU411" t="str">
            <v>-</v>
          </cell>
          <cell r="AV411" t="str">
            <v>-</v>
          </cell>
          <cell r="AW411" t="str">
            <v>-</v>
          </cell>
          <cell r="AX411" t="str">
            <v>-</v>
          </cell>
          <cell r="AY411" t="str">
            <v>-</v>
          </cell>
          <cell r="AZ411" t="str">
            <v>-</v>
          </cell>
          <cell r="BA411" t="str">
            <v>-</v>
          </cell>
          <cell r="BB411" t="str">
            <v>-</v>
          </cell>
          <cell r="BC411" t="str">
            <v>-</v>
          </cell>
          <cell r="BD411" t="str">
            <v>-</v>
          </cell>
          <cell r="BE411" t="str">
            <v>-</v>
          </cell>
          <cell r="BF411" t="str">
            <v>-</v>
          </cell>
          <cell r="BG411" t="str">
            <v>-</v>
          </cell>
          <cell r="BH411" t="str">
            <v>-</v>
          </cell>
          <cell r="BI411" t="str">
            <v>-</v>
          </cell>
          <cell r="BJ411" t="str">
            <v>-</v>
          </cell>
          <cell r="BK411" t="str">
            <v>-</v>
          </cell>
          <cell r="BL411" t="str">
            <v>-</v>
          </cell>
          <cell r="BM411">
            <v>0.77600000000000013</v>
          </cell>
          <cell r="BN411">
            <v>0.13029850746268659</v>
          </cell>
          <cell r="BO411" t="str">
            <v>-</v>
          </cell>
          <cell r="BP411" t="str">
            <v>-</v>
          </cell>
          <cell r="BQ411">
            <v>369590.17600000004</v>
          </cell>
          <cell r="BR411">
            <v>30799.181333333338</v>
          </cell>
          <cell r="BS411">
            <v>7107.5580581389095</v>
          </cell>
          <cell r="BT411">
            <v>1421.5116116277818</v>
          </cell>
        </row>
        <row r="412">
          <cell r="A412" t="str">
            <v>Sweden2022100 / 100</v>
          </cell>
          <cell r="B412" t="str">
            <v>Sweden</v>
          </cell>
          <cell r="C412">
            <v>2022</v>
          </cell>
          <cell r="D412" t="str">
            <v>100 / 100</v>
          </cell>
          <cell r="E412">
            <v>493770</v>
          </cell>
          <cell r="F412">
            <v>41147.5</v>
          </cell>
          <cell r="G412">
            <v>9495.6499665382034</v>
          </cell>
          <cell r="H412">
            <v>1899.1299933076407</v>
          </cell>
          <cell r="I412">
            <v>493770</v>
          </cell>
          <cell r="J412">
            <v>41147.5</v>
          </cell>
          <cell r="K412">
            <v>9495.6499665382034</v>
          </cell>
          <cell r="L412">
            <v>1899.1299933076407</v>
          </cell>
          <cell r="M412" t="str">
            <v>..</v>
          </cell>
          <cell r="N412" t="str">
            <v>..</v>
          </cell>
          <cell r="O412" t="str">
            <v>..</v>
          </cell>
          <cell r="P412" t="str">
            <v>..</v>
          </cell>
          <cell r="Q412" t="str">
            <v>..</v>
          </cell>
          <cell r="R412" t="str">
            <v>..</v>
          </cell>
          <cell r="S412" t="str">
            <v>..</v>
          </cell>
          <cell r="T412" t="str">
            <v>..</v>
          </cell>
          <cell r="U412" t="str">
            <v>..</v>
          </cell>
          <cell r="V412">
            <v>76.571428571428569</v>
          </cell>
          <cell r="W412">
            <v>12.857142857142858</v>
          </cell>
          <cell r="X412">
            <v>63.714285714285708</v>
          </cell>
          <cell r="Y412" t="str">
            <v>-</v>
          </cell>
          <cell r="Z412" t="str">
            <v>Ninety calender days. 77.6 per cent of earnings up to an earnings ceiling of SEK 483000 [€45,369.15] per year. Each parent is entitled to take full-time leave from work until their child is 18 months old, regardless of benefit reception.</v>
          </cell>
          <cell r="AA412" t="str">
            <v>Gross</v>
          </cell>
          <cell r="AB412" t="str">
            <v>Y</v>
          </cell>
          <cell r="AC412">
            <v>12.857142857142858</v>
          </cell>
          <cell r="AD412">
            <v>0.77600000000000002</v>
          </cell>
          <cell r="AE412">
            <v>483000</v>
          </cell>
          <cell r="AF412" t="str">
            <v>Year</v>
          </cell>
          <cell r="AG412" t="str">
            <v>-</v>
          </cell>
          <cell r="AH412" t="str">
            <v>-</v>
          </cell>
          <cell r="AI412" t="str">
            <v>-</v>
          </cell>
          <cell r="AJ412" t="str">
            <v>-</v>
          </cell>
          <cell r="AK412" t="str">
            <v>-</v>
          </cell>
          <cell r="AL412" t="str">
            <v>-</v>
          </cell>
          <cell r="AM412" t="str">
            <v>-</v>
          </cell>
          <cell r="AN412" t="str">
            <v>-</v>
          </cell>
          <cell r="AO412" t="str">
            <v>-</v>
          </cell>
          <cell r="AP412" t="str">
            <v>-</v>
          </cell>
          <cell r="AQ412" t="str">
            <v>-</v>
          </cell>
          <cell r="AR412" t="str">
            <v>-</v>
          </cell>
          <cell r="AS412" t="str">
            <v>-</v>
          </cell>
          <cell r="AT412" t="str">
            <v>-</v>
          </cell>
          <cell r="AU412" t="str">
            <v>-</v>
          </cell>
          <cell r="AV412" t="str">
            <v>-</v>
          </cell>
          <cell r="AW412" t="str">
            <v>-</v>
          </cell>
          <cell r="AX412" t="str">
            <v>-</v>
          </cell>
          <cell r="AY412" t="str">
            <v>-</v>
          </cell>
          <cell r="AZ412" t="str">
            <v>-</v>
          </cell>
          <cell r="BA412" t="str">
            <v>-</v>
          </cell>
          <cell r="BB412" t="str">
            <v>-</v>
          </cell>
          <cell r="BC412" t="str">
            <v>-</v>
          </cell>
          <cell r="BD412" t="str">
            <v>-</v>
          </cell>
          <cell r="BE412" t="str">
            <v>-</v>
          </cell>
          <cell r="BF412" t="str">
            <v>-</v>
          </cell>
          <cell r="BG412" t="str">
            <v>-</v>
          </cell>
          <cell r="BH412" t="str">
            <v>-</v>
          </cell>
          <cell r="BI412" t="str">
            <v>-</v>
          </cell>
          <cell r="BJ412" t="str">
            <v>-</v>
          </cell>
          <cell r="BK412" t="str">
            <v>-</v>
          </cell>
          <cell r="BL412" t="str">
            <v>-</v>
          </cell>
          <cell r="BM412">
            <v>0.75907406282277179</v>
          </cell>
          <cell r="BN412">
            <v>0.12745646577248035</v>
          </cell>
          <cell r="BO412" t="str">
            <v>-</v>
          </cell>
          <cell r="BP412" t="str">
            <v>-</v>
          </cell>
          <cell r="BQ412">
            <v>374808</v>
          </cell>
          <cell r="BR412">
            <v>31234.000000000004</v>
          </cell>
          <cell r="BS412">
            <v>7207.9015992430714</v>
          </cell>
          <cell r="BT412">
            <v>1441.5803198486142</v>
          </cell>
        </row>
        <row r="413">
          <cell r="A413" t="str">
            <v>Sweden2023100 / 100</v>
          </cell>
          <cell r="B413" t="str">
            <v>Sweden</v>
          </cell>
          <cell r="C413">
            <v>2023</v>
          </cell>
          <cell r="D413" t="str">
            <v>100 / 100</v>
          </cell>
          <cell r="E413">
            <v>513171.11</v>
          </cell>
          <cell r="F413">
            <v>42764.259166666663</v>
          </cell>
          <cell r="G413">
            <v>9868.7511057777356</v>
          </cell>
          <cell r="H413">
            <v>1973.750221155547</v>
          </cell>
          <cell r="I413">
            <v>513171.11</v>
          </cell>
          <cell r="J413">
            <v>42764.259166666663</v>
          </cell>
          <cell r="K413">
            <v>9868.7511057777356</v>
          </cell>
          <cell r="L413">
            <v>1973.750221155547</v>
          </cell>
          <cell r="M413" t="str">
            <v>..</v>
          </cell>
          <cell r="N413" t="str">
            <v>..</v>
          </cell>
          <cell r="O413" t="str">
            <v>..</v>
          </cell>
          <cell r="P413" t="str">
            <v>..</v>
          </cell>
          <cell r="Q413" t="str">
            <v>..</v>
          </cell>
          <cell r="R413" t="str">
            <v>..</v>
          </cell>
          <cell r="S413" t="str">
            <v>..</v>
          </cell>
          <cell r="T413" t="str">
            <v>..</v>
          </cell>
          <cell r="U413" t="str">
            <v>..</v>
          </cell>
          <cell r="V413">
            <v>76.571428571428569</v>
          </cell>
          <cell r="W413">
            <v>12.857142857142858</v>
          </cell>
          <cell r="X413">
            <v>63.714285714285708</v>
          </cell>
          <cell r="Y413" t="str">
            <v>-</v>
          </cell>
          <cell r="Z413" t="str">
            <v>Ninety calender days. 77.6 per cent of earnings up to an earnings ceiling of SEK 525000 per year. Each parent is entitled to take full-time leave from work until their child is 18 months old, regardless of benefit reception.</v>
          </cell>
          <cell r="AA413" t="str">
            <v>Gross</v>
          </cell>
          <cell r="AB413" t="str">
            <v>Y</v>
          </cell>
          <cell r="AC413">
            <v>12.857142857142858</v>
          </cell>
          <cell r="AD413">
            <v>0.77600000000000002</v>
          </cell>
          <cell r="AE413">
            <v>525000</v>
          </cell>
          <cell r="AF413" t="str">
            <v>Year</v>
          </cell>
          <cell r="AG413" t="str">
            <v>-</v>
          </cell>
          <cell r="AH413" t="str">
            <v>-</v>
          </cell>
          <cell r="AI413" t="str">
            <v>-</v>
          </cell>
          <cell r="AJ413" t="str">
            <v>-</v>
          </cell>
          <cell r="AK413" t="str">
            <v>-</v>
          </cell>
          <cell r="AL413" t="str">
            <v>-</v>
          </cell>
          <cell r="AM413" t="str">
            <v>-</v>
          </cell>
          <cell r="AN413" t="str">
            <v>-</v>
          </cell>
          <cell r="AO413" t="str">
            <v>-</v>
          </cell>
          <cell r="AP413" t="str">
            <v>-</v>
          </cell>
          <cell r="AQ413" t="str">
            <v>-</v>
          </cell>
          <cell r="AR413" t="str">
            <v>-</v>
          </cell>
          <cell r="AS413" t="str">
            <v>-</v>
          </cell>
          <cell r="AT413" t="str">
            <v>-</v>
          </cell>
          <cell r="AU413" t="str">
            <v>-</v>
          </cell>
          <cell r="AV413" t="str">
            <v>-</v>
          </cell>
          <cell r="AW413" t="str">
            <v>-</v>
          </cell>
          <cell r="AX413" t="str">
            <v>-</v>
          </cell>
          <cell r="AY413" t="str">
            <v>-</v>
          </cell>
          <cell r="AZ413" t="str">
            <v>-</v>
          </cell>
          <cell r="BA413" t="str">
            <v>-</v>
          </cell>
          <cell r="BB413" t="str">
            <v>-</v>
          </cell>
          <cell r="BC413" t="str">
            <v>-</v>
          </cell>
          <cell r="BD413" t="str">
            <v>-</v>
          </cell>
          <cell r="BE413" t="str">
            <v>-</v>
          </cell>
          <cell r="BF413" t="str">
            <v>-</v>
          </cell>
          <cell r="BG413" t="str">
            <v>-</v>
          </cell>
          <cell r="BH413" t="str">
            <v>-</v>
          </cell>
          <cell r="BI413" t="str">
            <v>-</v>
          </cell>
          <cell r="BJ413" t="str">
            <v>-</v>
          </cell>
          <cell r="BK413" t="str">
            <v>-</v>
          </cell>
          <cell r="BL413" t="str">
            <v>-</v>
          </cell>
          <cell r="BM413">
            <v>0.77600000000000013</v>
          </cell>
          <cell r="BN413">
            <v>0.13029850746268659</v>
          </cell>
          <cell r="BO413" t="str">
            <v>-</v>
          </cell>
          <cell r="BP413" t="str">
            <v>-</v>
          </cell>
          <cell r="BQ413">
            <v>398220.78136000008</v>
          </cell>
          <cell r="BR413">
            <v>33185.065113333338</v>
          </cell>
          <cell r="BS413">
            <v>7658.1508580835243</v>
          </cell>
          <cell r="BT413">
            <v>1531.6301716167047</v>
          </cell>
        </row>
        <row r="414">
          <cell r="A414" t="str">
            <v>Sweden2024100 / 100</v>
          </cell>
          <cell r="B414" t="str">
            <v>Sweden</v>
          </cell>
          <cell r="C414">
            <v>2024</v>
          </cell>
          <cell r="D414" t="str">
            <v>100 / 100</v>
          </cell>
          <cell r="E414">
            <v>537301.91</v>
          </cell>
          <cell r="F414">
            <v>44775.159166666672</v>
          </cell>
          <cell r="G414">
            <v>10332.808521604013</v>
          </cell>
          <cell r="H414">
            <v>2066.5617043208026</v>
          </cell>
          <cell r="I414">
            <v>537301.91</v>
          </cell>
          <cell r="J414">
            <v>44775.159166666672</v>
          </cell>
          <cell r="K414">
            <v>10332.808521604013</v>
          </cell>
          <cell r="L414">
            <v>2066.5617043208026</v>
          </cell>
          <cell r="M414" t="str">
            <v>..</v>
          </cell>
          <cell r="N414" t="str">
            <v>..</v>
          </cell>
          <cell r="O414" t="str">
            <v>..</v>
          </cell>
          <cell r="P414" t="str">
            <v>..</v>
          </cell>
          <cell r="Q414" t="str">
            <v>..</v>
          </cell>
          <cell r="R414" t="str">
            <v>..</v>
          </cell>
          <cell r="S414" t="str">
            <v>..</v>
          </cell>
          <cell r="T414" t="str">
            <v>..</v>
          </cell>
          <cell r="U414" t="str">
            <v>..</v>
          </cell>
          <cell r="V414">
            <v>76.571428571428569</v>
          </cell>
          <cell r="W414">
            <v>12.857142857142858</v>
          </cell>
          <cell r="X414">
            <v>63.714285714285708</v>
          </cell>
          <cell r="Y414" t="str">
            <v>-</v>
          </cell>
          <cell r="Z414" t="str">
            <v>Ninety calender days. 77.6 per cent of earnings up to an earnings ceiling of SEK 573000 per year. Each parent is entitled to take full-time leave from work until their child is 18 months old, regardless of benefit reception.</v>
          </cell>
          <cell r="AA414" t="str">
            <v>Gross</v>
          </cell>
          <cell r="AB414" t="str">
            <v>Y</v>
          </cell>
          <cell r="AC414">
            <v>12.857142857142858</v>
          </cell>
          <cell r="AD414">
            <v>0.77600000000000002</v>
          </cell>
          <cell r="AE414">
            <v>573000</v>
          </cell>
          <cell r="AF414" t="str">
            <v>Year</v>
          </cell>
          <cell r="AG414" t="str">
            <v>-</v>
          </cell>
          <cell r="AH414" t="str">
            <v>-</v>
          </cell>
          <cell r="AI414" t="str">
            <v>-</v>
          </cell>
          <cell r="AJ414" t="str">
            <v>-</v>
          </cell>
          <cell r="AK414" t="str">
            <v>-</v>
          </cell>
          <cell r="AL414" t="str">
            <v>-</v>
          </cell>
          <cell r="AM414" t="str">
            <v>-</v>
          </cell>
          <cell r="AN414" t="str">
            <v>-</v>
          </cell>
          <cell r="AO414" t="str">
            <v>-</v>
          </cell>
          <cell r="AP414" t="str">
            <v>-</v>
          </cell>
          <cell r="AQ414" t="str">
            <v>-</v>
          </cell>
          <cell r="AR414" t="str">
            <v>-</v>
          </cell>
          <cell r="AS414" t="str">
            <v>-</v>
          </cell>
          <cell r="AT414" t="str">
            <v>-</v>
          </cell>
          <cell r="AU414" t="str">
            <v>-</v>
          </cell>
          <cell r="AV414" t="str">
            <v>-</v>
          </cell>
          <cell r="AW414" t="str">
            <v>-</v>
          </cell>
          <cell r="AX414" t="str">
            <v>-</v>
          </cell>
          <cell r="AY414" t="str">
            <v>-</v>
          </cell>
          <cell r="AZ414" t="str">
            <v>-</v>
          </cell>
          <cell r="BA414" t="str">
            <v>-</v>
          </cell>
          <cell r="BB414" t="str">
            <v>-</v>
          </cell>
          <cell r="BC414" t="str">
            <v>-</v>
          </cell>
          <cell r="BD414" t="str">
            <v>-</v>
          </cell>
          <cell r="BE414" t="str">
            <v>-</v>
          </cell>
          <cell r="BF414" t="str">
            <v>-</v>
          </cell>
          <cell r="BG414" t="str">
            <v>-</v>
          </cell>
          <cell r="BH414" t="str">
            <v>-</v>
          </cell>
          <cell r="BI414" t="str">
            <v>-</v>
          </cell>
          <cell r="BJ414" t="str">
            <v>-</v>
          </cell>
          <cell r="BK414" t="str">
            <v>-</v>
          </cell>
          <cell r="BL414" t="str">
            <v>-</v>
          </cell>
          <cell r="BM414">
            <v>0.77600000000000013</v>
          </cell>
          <cell r="BN414">
            <v>0.13029850746268659</v>
          </cell>
          <cell r="BO414" t="str">
            <v>-</v>
          </cell>
          <cell r="BP414" t="str">
            <v>-</v>
          </cell>
          <cell r="BQ414">
            <v>416946.28216000012</v>
          </cell>
          <cell r="BR414">
            <v>34745.523513333341</v>
          </cell>
          <cell r="BS414">
            <v>8018.2594127647153</v>
          </cell>
          <cell r="BT414">
            <v>1603.6518825529431</v>
          </cell>
        </row>
        <row r="415">
          <cell r="A415" t="str">
            <v>Sweden2025100 / 100</v>
          </cell>
          <cell r="B415" t="str">
            <v>Sweden</v>
          </cell>
          <cell r="C415">
            <v>2025</v>
          </cell>
          <cell r="D415" t="str">
            <v>100 / 100</v>
          </cell>
          <cell r="E415">
            <v>537301.91</v>
          </cell>
          <cell r="F415">
            <v>44775.159166666672</v>
          </cell>
          <cell r="G415">
            <v>10332.808521604013</v>
          </cell>
          <cell r="H415">
            <v>2066.5617043208026</v>
          </cell>
          <cell r="I415">
            <v>537301.91</v>
          </cell>
          <cell r="J415">
            <v>44775.159166666672</v>
          </cell>
          <cell r="K415">
            <v>10332.808521604013</v>
          </cell>
          <cell r="L415">
            <v>2066.5617043208026</v>
          </cell>
          <cell r="M415" t="str">
            <v>..</v>
          </cell>
          <cell r="N415" t="str">
            <v>..</v>
          </cell>
          <cell r="O415" t="str">
            <v>..</v>
          </cell>
          <cell r="P415" t="str">
            <v>..</v>
          </cell>
          <cell r="Q415" t="str">
            <v>..</v>
          </cell>
          <cell r="R415" t="str">
            <v>..</v>
          </cell>
          <cell r="S415" t="str">
            <v>..</v>
          </cell>
          <cell r="T415" t="str">
            <v>..</v>
          </cell>
          <cell r="U415" t="str">
            <v>..</v>
          </cell>
          <cell r="V415">
            <v>76.571428571428569</v>
          </cell>
          <cell r="W415">
            <v>12.857142857142858</v>
          </cell>
          <cell r="X415">
            <v>63.714285714285708</v>
          </cell>
          <cell r="Y415" t="str">
            <v>-</v>
          </cell>
          <cell r="Z415" t="str">
            <v>Ninety calender days. 77.6 per cent of earnings up to an earnings ceiling of SEK 588000 per year. Each parent is entitled to take full-time leave from work until their child is 18 months old, regardless of benefit reception.</v>
          </cell>
          <cell r="AA415" t="str">
            <v>Gross</v>
          </cell>
          <cell r="AB415" t="str">
            <v>Y</v>
          </cell>
          <cell r="AC415">
            <v>12.857142857142858</v>
          </cell>
          <cell r="AD415">
            <v>0.77600000000000002</v>
          </cell>
          <cell r="AE415">
            <v>588000</v>
          </cell>
          <cell r="AF415" t="str">
            <v>Year</v>
          </cell>
          <cell r="AG415" t="str">
            <v>-</v>
          </cell>
          <cell r="AH415" t="str">
            <v>-</v>
          </cell>
          <cell r="AI415" t="str">
            <v>-</v>
          </cell>
          <cell r="AJ415" t="str">
            <v>-</v>
          </cell>
          <cell r="AK415" t="str">
            <v>-</v>
          </cell>
          <cell r="AL415" t="str">
            <v>-</v>
          </cell>
          <cell r="AM415" t="str">
            <v>-</v>
          </cell>
          <cell r="AN415" t="str">
            <v>-</v>
          </cell>
          <cell r="AO415" t="str">
            <v>-</v>
          </cell>
          <cell r="AP415" t="str">
            <v>-</v>
          </cell>
          <cell r="AQ415" t="str">
            <v>-</v>
          </cell>
          <cell r="AR415" t="str">
            <v>-</v>
          </cell>
          <cell r="AS415" t="str">
            <v>-</v>
          </cell>
          <cell r="AT415" t="str">
            <v>-</v>
          </cell>
          <cell r="AU415" t="str">
            <v>-</v>
          </cell>
          <cell r="AV415" t="str">
            <v>-</v>
          </cell>
          <cell r="AW415" t="str">
            <v>-</v>
          </cell>
          <cell r="AX415" t="str">
            <v>-</v>
          </cell>
          <cell r="AY415" t="str">
            <v>-</v>
          </cell>
          <cell r="AZ415" t="str">
            <v>-</v>
          </cell>
          <cell r="BA415" t="str">
            <v>-</v>
          </cell>
          <cell r="BB415" t="str">
            <v>-</v>
          </cell>
          <cell r="BC415" t="str">
            <v>-</v>
          </cell>
          <cell r="BD415" t="str">
            <v>-</v>
          </cell>
          <cell r="BE415" t="str">
            <v>-</v>
          </cell>
          <cell r="BF415" t="str">
            <v>-</v>
          </cell>
          <cell r="BG415" t="str">
            <v>-</v>
          </cell>
          <cell r="BH415" t="str">
            <v>-</v>
          </cell>
          <cell r="BI415" t="str">
            <v>-</v>
          </cell>
          <cell r="BJ415" t="str">
            <v>-</v>
          </cell>
          <cell r="BK415" t="str">
            <v>-</v>
          </cell>
          <cell r="BL415" t="str">
            <v>-</v>
          </cell>
          <cell r="BM415">
            <v>0.77600000000000013</v>
          </cell>
          <cell r="BN415">
            <v>0.13029850746268659</v>
          </cell>
          <cell r="BO415" t="str">
            <v>-</v>
          </cell>
          <cell r="BP415" t="str">
            <v>-</v>
          </cell>
          <cell r="BQ415">
            <v>416946.28216000012</v>
          </cell>
          <cell r="BR415">
            <v>34745.523513333341</v>
          </cell>
          <cell r="BS415">
            <v>8018.2594127647153</v>
          </cell>
          <cell r="BT415">
            <v>1603.6518825529431</v>
          </cell>
        </row>
        <row r="416">
          <cell r="A416" t="str">
            <v>Switzerland2014100 / 100</v>
          </cell>
          <cell r="B416" t="str">
            <v>Switzerland</v>
          </cell>
          <cell r="C416">
            <v>2014</v>
          </cell>
          <cell r="D416" t="str">
            <v>100 / 100</v>
          </cell>
          <cell r="E416">
            <v>86820</v>
          </cell>
          <cell r="F416">
            <v>7235</v>
          </cell>
          <cell r="G416">
            <v>1669.6282279094453</v>
          </cell>
          <cell r="H416">
            <v>333.92564558188906</v>
          </cell>
          <cell r="I416">
            <v>86820</v>
          </cell>
          <cell r="J416">
            <v>7235</v>
          </cell>
          <cell r="K416">
            <v>1669.6282279094453</v>
          </cell>
          <cell r="L416">
            <v>333.92564558188906</v>
          </cell>
          <cell r="M416" t="str">
            <v>..</v>
          </cell>
          <cell r="N416" t="str">
            <v>..</v>
          </cell>
          <cell r="O416" t="str">
            <v>..</v>
          </cell>
          <cell r="P416" t="str">
            <v>..</v>
          </cell>
          <cell r="Q416" t="str">
            <v>..</v>
          </cell>
          <cell r="R416" t="str">
            <v>..</v>
          </cell>
          <cell r="S416" t="str">
            <v>..</v>
          </cell>
          <cell r="T416" t="str">
            <v>..</v>
          </cell>
          <cell r="U416" t="str">
            <v>..</v>
          </cell>
          <cell r="V416">
            <v>0</v>
          </cell>
          <cell r="W416">
            <v>0</v>
          </cell>
          <cell r="X416">
            <v>0</v>
          </cell>
          <cell r="Y416" t="str">
            <v>-</v>
          </cell>
          <cell r="Z416" t="str">
            <v>No statutory entitlement</v>
          </cell>
          <cell r="AA416" t="str">
            <v>-</v>
          </cell>
          <cell r="AB416" t="str">
            <v>-</v>
          </cell>
          <cell r="AC416" t="str">
            <v>-</v>
          </cell>
          <cell r="AD416" t="str">
            <v>-</v>
          </cell>
          <cell r="AE416" t="str">
            <v>-</v>
          </cell>
          <cell r="AF416" t="str">
            <v>-</v>
          </cell>
          <cell r="AG416" t="str">
            <v>-</v>
          </cell>
          <cell r="AH416" t="str">
            <v>-</v>
          </cell>
          <cell r="AI416" t="str">
            <v>-</v>
          </cell>
          <cell r="AJ416" t="str">
            <v>-</v>
          </cell>
          <cell r="AK416" t="str">
            <v>-</v>
          </cell>
          <cell r="AL416" t="str">
            <v>-</v>
          </cell>
          <cell r="AM416" t="str">
            <v>-</v>
          </cell>
          <cell r="AN416" t="str">
            <v>-</v>
          </cell>
          <cell r="AO416" t="str">
            <v>-</v>
          </cell>
          <cell r="AP416" t="str">
            <v>-</v>
          </cell>
          <cell r="AQ416" t="str">
            <v>-</v>
          </cell>
          <cell r="AR416" t="str">
            <v>-</v>
          </cell>
          <cell r="AS416" t="str">
            <v>-</v>
          </cell>
          <cell r="AT416" t="str">
            <v>-</v>
          </cell>
          <cell r="AU416" t="str">
            <v>-</v>
          </cell>
          <cell r="AV416" t="str">
            <v>-</v>
          </cell>
          <cell r="AW416" t="str">
            <v>-</v>
          </cell>
          <cell r="AX416" t="str">
            <v>-</v>
          </cell>
          <cell r="AY416" t="str">
            <v>-</v>
          </cell>
          <cell r="AZ416" t="str">
            <v>-</v>
          </cell>
          <cell r="BA416" t="str">
            <v>-</v>
          </cell>
          <cell r="BB416" t="str">
            <v>-</v>
          </cell>
          <cell r="BC416" t="str">
            <v>-</v>
          </cell>
          <cell r="BD416" t="str">
            <v>-</v>
          </cell>
          <cell r="BE416" t="str">
            <v>-</v>
          </cell>
          <cell r="BF416" t="str">
            <v>-</v>
          </cell>
          <cell r="BG416" t="str">
            <v>-</v>
          </cell>
          <cell r="BH416" t="str">
            <v>-</v>
          </cell>
          <cell r="BI416" t="str">
            <v>-</v>
          </cell>
          <cell r="BJ416" t="str">
            <v>-</v>
          </cell>
          <cell r="BK416" t="str">
            <v>-</v>
          </cell>
          <cell r="BL416" t="str">
            <v>-</v>
          </cell>
          <cell r="BM416">
            <v>0</v>
          </cell>
          <cell r="BN416">
            <v>0</v>
          </cell>
          <cell r="BO416" t="str">
            <v>-</v>
          </cell>
          <cell r="BP416" t="str">
            <v>-</v>
          </cell>
          <cell r="BQ416">
            <v>0</v>
          </cell>
          <cell r="BR416">
            <v>0</v>
          </cell>
          <cell r="BS416">
            <v>0</v>
          </cell>
          <cell r="BT416">
            <v>0</v>
          </cell>
        </row>
        <row r="417">
          <cell r="A417" t="str">
            <v>Switzerland2015100 / 100</v>
          </cell>
          <cell r="B417" t="str">
            <v>Switzerland</v>
          </cell>
          <cell r="C417">
            <v>2015</v>
          </cell>
          <cell r="D417" t="str">
            <v>100 / 100</v>
          </cell>
          <cell r="E417">
            <v>86510.660999999993</v>
          </cell>
          <cell r="F417">
            <v>7209.2217499999997</v>
          </cell>
          <cell r="G417">
            <v>1663.6793552258091</v>
          </cell>
          <cell r="H417">
            <v>332.73587104516184</v>
          </cell>
          <cell r="I417">
            <v>86510.660999999993</v>
          </cell>
          <cell r="J417">
            <v>7209.2217499999997</v>
          </cell>
          <cell r="K417">
            <v>1663.6793552258091</v>
          </cell>
          <cell r="L417">
            <v>332.73587104516184</v>
          </cell>
          <cell r="M417" t="str">
            <v>..</v>
          </cell>
          <cell r="N417" t="str">
            <v>..</v>
          </cell>
          <cell r="O417" t="str">
            <v>..</v>
          </cell>
          <cell r="P417" t="str">
            <v>..</v>
          </cell>
          <cell r="Q417" t="str">
            <v>..</v>
          </cell>
          <cell r="R417" t="str">
            <v>..</v>
          </cell>
          <cell r="S417" t="str">
            <v>..</v>
          </cell>
          <cell r="T417" t="str">
            <v>..</v>
          </cell>
          <cell r="U417" t="str">
            <v>..</v>
          </cell>
          <cell r="V417">
            <v>0</v>
          </cell>
          <cell r="W417">
            <v>0</v>
          </cell>
          <cell r="X417">
            <v>0</v>
          </cell>
          <cell r="Y417" t="str">
            <v>-</v>
          </cell>
          <cell r="Z417" t="str">
            <v>No statutory entitlement</v>
          </cell>
          <cell r="AA417" t="str">
            <v>-</v>
          </cell>
          <cell r="AB417" t="str">
            <v>-</v>
          </cell>
          <cell r="AC417" t="str">
            <v>-</v>
          </cell>
          <cell r="AD417" t="str">
            <v>-</v>
          </cell>
          <cell r="AE417" t="str">
            <v>-</v>
          </cell>
          <cell r="AF417" t="str">
            <v>-</v>
          </cell>
          <cell r="AG417" t="str">
            <v>-</v>
          </cell>
          <cell r="AH417" t="str">
            <v>-</v>
          </cell>
          <cell r="AI417" t="str">
            <v>-</v>
          </cell>
          <cell r="AJ417" t="str">
            <v>-</v>
          </cell>
          <cell r="AK417" t="str">
            <v>-</v>
          </cell>
          <cell r="AL417" t="str">
            <v>-</v>
          </cell>
          <cell r="AM417" t="str">
            <v>-</v>
          </cell>
          <cell r="AN417" t="str">
            <v>-</v>
          </cell>
          <cell r="AO417" t="str">
            <v>-</v>
          </cell>
          <cell r="AP417" t="str">
            <v>-</v>
          </cell>
          <cell r="AQ417" t="str">
            <v>-</v>
          </cell>
          <cell r="AR417" t="str">
            <v>-</v>
          </cell>
          <cell r="AS417" t="str">
            <v>-</v>
          </cell>
          <cell r="AT417" t="str">
            <v>-</v>
          </cell>
          <cell r="AU417" t="str">
            <v>-</v>
          </cell>
          <cell r="AV417" t="str">
            <v>-</v>
          </cell>
          <cell r="AW417" t="str">
            <v>-</v>
          </cell>
          <cell r="AX417" t="str">
            <v>-</v>
          </cell>
          <cell r="AY417" t="str">
            <v>-</v>
          </cell>
          <cell r="AZ417" t="str">
            <v>-</v>
          </cell>
          <cell r="BA417" t="str">
            <v>-</v>
          </cell>
          <cell r="BB417" t="str">
            <v>-</v>
          </cell>
          <cell r="BC417" t="str">
            <v>-</v>
          </cell>
          <cell r="BD417" t="str">
            <v>-</v>
          </cell>
          <cell r="BE417" t="str">
            <v>-</v>
          </cell>
          <cell r="BF417" t="str">
            <v>-</v>
          </cell>
          <cell r="BG417" t="str">
            <v>-</v>
          </cell>
          <cell r="BH417" t="str">
            <v>-</v>
          </cell>
          <cell r="BI417" t="str">
            <v>-</v>
          </cell>
          <cell r="BJ417" t="str">
            <v>-</v>
          </cell>
          <cell r="BK417" t="str">
            <v>-</v>
          </cell>
          <cell r="BL417" t="str">
            <v>-</v>
          </cell>
          <cell r="BM417">
            <v>0</v>
          </cell>
          <cell r="BN417">
            <v>0</v>
          </cell>
          <cell r="BO417" t="str">
            <v>-</v>
          </cell>
          <cell r="BP417" t="str">
            <v>-</v>
          </cell>
          <cell r="BQ417">
            <v>0</v>
          </cell>
          <cell r="BR417">
            <v>0</v>
          </cell>
          <cell r="BS417">
            <v>0</v>
          </cell>
          <cell r="BT417">
            <v>0</v>
          </cell>
        </row>
        <row r="418">
          <cell r="A418" t="str">
            <v>Switzerland2016100 / 100</v>
          </cell>
          <cell r="B418" t="str">
            <v>Switzerland</v>
          </cell>
          <cell r="C418">
            <v>2016</v>
          </cell>
          <cell r="D418" t="str">
            <v>100 / 100</v>
          </cell>
          <cell r="E418">
            <v>89160</v>
          </cell>
          <cell r="F418">
            <v>7430</v>
          </cell>
          <cell r="G418">
            <v>1714.6285740659541</v>
          </cell>
          <cell r="H418">
            <v>342.92571481319084</v>
          </cell>
          <cell r="I418">
            <v>89160</v>
          </cell>
          <cell r="J418">
            <v>7430</v>
          </cell>
          <cell r="K418">
            <v>1714.6285740659541</v>
          </cell>
          <cell r="L418">
            <v>342.92571481319084</v>
          </cell>
          <cell r="M418" t="str">
            <v>..</v>
          </cell>
          <cell r="N418" t="str">
            <v>..</v>
          </cell>
          <cell r="O418" t="str">
            <v>..</v>
          </cell>
          <cell r="P418" t="str">
            <v>..</v>
          </cell>
          <cell r="Q418" t="str">
            <v>..</v>
          </cell>
          <cell r="R418" t="str">
            <v>..</v>
          </cell>
          <cell r="S418" t="str">
            <v>..</v>
          </cell>
          <cell r="T418" t="str">
            <v>..</v>
          </cell>
          <cell r="U418" t="str">
            <v>..</v>
          </cell>
          <cell r="V418">
            <v>0</v>
          </cell>
          <cell r="W418">
            <v>0</v>
          </cell>
          <cell r="X418">
            <v>0</v>
          </cell>
          <cell r="Y418" t="str">
            <v>-</v>
          </cell>
          <cell r="Z418" t="str">
            <v>No statutory entitlement</v>
          </cell>
          <cell r="AA418" t="str">
            <v>-</v>
          </cell>
          <cell r="AB418" t="str">
            <v>-</v>
          </cell>
          <cell r="AC418" t="str">
            <v>-</v>
          </cell>
          <cell r="AD418" t="str">
            <v>-</v>
          </cell>
          <cell r="AE418" t="str">
            <v>-</v>
          </cell>
          <cell r="AF418" t="str">
            <v>-</v>
          </cell>
          <cell r="AG418" t="str">
            <v>-</v>
          </cell>
          <cell r="AH418" t="str">
            <v>-</v>
          </cell>
          <cell r="AI418" t="str">
            <v>-</v>
          </cell>
          <cell r="AJ418" t="str">
            <v>-</v>
          </cell>
          <cell r="AK418" t="str">
            <v>-</v>
          </cell>
          <cell r="AL418" t="str">
            <v>-</v>
          </cell>
          <cell r="AM418" t="str">
            <v>-</v>
          </cell>
          <cell r="AN418" t="str">
            <v>-</v>
          </cell>
          <cell r="AO418" t="str">
            <v>-</v>
          </cell>
          <cell r="AP418" t="str">
            <v>-</v>
          </cell>
          <cell r="AQ418" t="str">
            <v>-</v>
          </cell>
          <cell r="AR418" t="str">
            <v>-</v>
          </cell>
          <cell r="AS418" t="str">
            <v>-</v>
          </cell>
          <cell r="AT418" t="str">
            <v>-</v>
          </cell>
          <cell r="AU418" t="str">
            <v>-</v>
          </cell>
          <cell r="AV418" t="str">
            <v>-</v>
          </cell>
          <cell r="AW418" t="str">
            <v>-</v>
          </cell>
          <cell r="AX418" t="str">
            <v>-</v>
          </cell>
          <cell r="AY418" t="str">
            <v>-</v>
          </cell>
          <cell r="AZ418" t="str">
            <v>-</v>
          </cell>
          <cell r="BA418" t="str">
            <v>-</v>
          </cell>
          <cell r="BB418" t="str">
            <v>-</v>
          </cell>
          <cell r="BC418" t="str">
            <v>-</v>
          </cell>
          <cell r="BD418" t="str">
            <v>-</v>
          </cell>
          <cell r="BE418" t="str">
            <v>-</v>
          </cell>
          <cell r="BF418" t="str">
            <v>-</v>
          </cell>
          <cell r="BG418" t="str">
            <v>-</v>
          </cell>
          <cell r="BH418" t="str">
            <v>-</v>
          </cell>
          <cell r="BI418" t="str">
            <v>-</v>
          </cell>
          <cell r="BJ418" t="str">
            <v>-</v>
          </cell>
          <cell r="BK418" t="str">
            <v>-</v>
          </cell>
          <cell r="BL418" t="str">
            <v>-</v>
          </cell>
          <cell r="BM418">
            <v>0</v>
          </cell>
          <cell r="BN418">
            <v>0</v>
          </cell>
          <cell r="BO418" t="str">
            <v>-</v>
          </cell>
          <cell r="BP418" t="str">
            <v>-</v>
          </cell>
          <cell r="BQ418">
            <v>0</v>
          </cell>
          <cell r="BR418">
            <v>0</v>
          </cell>
          <cell r="BS418">
            <v>0</v>
          </cell>
          <cell r="BT418">
            <v>0</v>
          </cell>
        </row>
        <row r="419">
          <cell r="A419" t="str">
            <v>Switzerland2017100 / 100</v>
          </cell>
          <cell r="B419" t="str">
            <v>Switzerland</v>
          </cell>
          <cell r="C419">
            <v>2017</v>
          </cell>
          <cell r="D419" t="str">
            <v>100 / 100</v>
          </cell>
          <cell r="E419">
            <v>89626.45</v>
          </cell>
          <cell r="F419">
            <v>7468.8708333333334</v>
          </cell>
          <cell r="G419">
            <v>1723.5988353756566</v>
          </cell>
          <cell r="H419">
            <v>344.7197670751313</v>
          </cell>
          <cell r="I419">
            <v>89626.45</v>
          </cell>
          <cell r="J419">
            <v>7468.8708333333334</v>
          </cell>
          <cell r="K419">
            <v>1723.5988353756566</v>
          </cell>
          <cell r="L419">
            <v>344.7197670751313</v>
          </cell>
          <cell r="M419" t="str">
            <v>..</v>
          </cell>
          <cell r="N419" t="str">
            <v>..</v>
          </cell>
          <cell r="O419" t="str">
            <v>..</v>
          </cell>
          <cell r="P419" t="str">
            <v>..</v>
          </cell>
          <cell r="Q419" t="str">
            <v>..</v>
          </cell>
          <cell r="R419" t="str">
            <v>..</v>
          </cell>
          <cell r="S419" t="str">
            <v>..</v>
          </cell>
          <cell r="T419" t="str">
            <v>..</v>
          </cell>
          <cell r="U419" t="str">
            <v>..</v>
          </cell>
          <cell r="V419">
            <v>0</v>
          </cell>
          <cell r="W419">
            <v>0</v>
          </cell>
          <cell r="X419">
            <v>0</v>
          </cell>
          <cell r="Y419" t="str">
            <v>-</v>
          </cell>
          <cell r="Z419" t="str">
            <v>No statutory entitlement</v>
          </cell>
          <cell r="AA419" t="str">
            <v>-</v>
          </cell>
          <cell r="AB419" t="str">
            <v>-</v>
          </cell>
          <cell r="AC419" t="str">
            <v>-</v>
          </cell>
          <cell r="AD419" t="str">
            <v>-</v>
          </cell>
          <cell r="AE419" t="str">
            <v>-</v>
          </cell>
          <cell r="AF419" t="str">
            <v>-</v>
          </cell>
          <cell r="AG419" t="str">
            <v>-</v>
          </cell>
          <cell r="AH419" t="str">
            <v>-</v>
          </cell>
          <cell r="AI419" t="str">
            <v>-</v>
          </cell>
          <cell r="AJ419" t="str">
            <v>-</v>
          </cell>
          <cell r="AK419" t="str">
            <v>-</v>
          </cell>
          <cell r="AL419" t="str">
            <v>-</v>
          </cell>
          <cell r="AM419" t="str">
            <v>-</v>
          </cell>
          <cell r="AN419" t="str">
            <v>-</v>
          </cell>
          <cell r="AO419" t="str">
            <v>-</v>
          </cell>
          <cell r="AP419" t="str">
            <v>-</v>
          </cell>
          <cell r="AQ419" t="str">
            <v>-</v>
          </cell>
          <cell r="AR419" t="str">
            <v>-</v>
          </cell>
          <cell r="AS419" t="str">
            <v>-</v>
          </cell>
          <cell r="AT419" t="str">
            <v>-</v>
          </cell>
          <cell r="AU419" t="str">
            <v>-</v>
          </cell>
          <cell r="AV419" t="str">
            <v>-</v>
          </cell>
          <cell r="AW419" t="str">
            <v>-</v>
          </cell>
          <cell r="AX419" t="str">
            <v>-</v>
          </cell>
          <cell r="AY419" t="str">
            <v>-</v>
          </cell>
          <cell r="AZ419" t="str">
            <v>-</v>
          </cell>
          <cell r="BA419" t="str">
            <v>-</v>
          </cell>
          <cell r="BB419" t="str">
            <v>-</v>
          </cell>
          <cell r="BC419" t="str">
            <v>-</v>
          </cell>
          <cell r="BD419" t="str">
            <v>-</v>
          </cell>
          <cell r="BE419" t="str">
            <v>-</v>
          </cell>
          <cell r="BF419" t="str">
            <v>-</v>
          </cell>
          <cell r="BG419" t="str">
            <v>-</v>
          </cell>
          <cell r="BH419" t="str">
            <v>-</v>
          </cell>
          <cell r="BI419" t="str">
            <v>-</v>
          </cell>
          <cell r="BJ419" t="str">
            <v>-</v>
          </cell>
          <cell r="BK419" t="str">
            <v>-</v>
          </cell>
          <cell r="BL419" t="str">
            <v>-</v>
          </cell>
          <cell r="BM419">
            <v>0</v>
          </cell>
          <cell r="BN419">
            <v>0</v>
          </cell>
          <cell r="BO419" t="str">
            <v>-</v>
          </cell>
          <cell r="BP419" t="str">
            <v>-</v>
          </cell>
          <cell r="BQ419">
            <v>0</v>
          </cell>
          <cell r="BR419">
            <v>0</v>
          </cell>
          <cell r="BS419">
            <v>0</v>
          </cell>
          <cell r="BT419">
            <v>0</v>
          </cell>
        </row>
        <row r="420">
          <cell r="A420" t="str">
            <v>Switzerland2018100 / 100</v>
          </cell>
          <cell r="B420" t="str">
            <v>Switzerland</v>
          </cell>
          <cell r="C420">
            <v>2018</v>
          </cell>
          <cell r="D420" t="str">
            <v>100 / 100</v>
          </cell>
          <cell r="E420">
            <v>90600</v>
          </cell>
          <cell r="F420">
            <v>7550</v>
          </cell>
          <cell r="G420">
            <v>1742.321094777652</v>
          </cell>
          <cell r="H420">
            <v>348.46421895553038</v>
          </cell>
          <cell r="I420">
            <v>90600</v>
          </cell>
          <cell r="J420">
            <v>7550</v>
          </cell>
          <cell r="K420">
            <v>1742.321094777652</v>
          </cell>
          <cell r="L420">
            <v>348.46421895553038</v>
          </cell>
          <cell r="M420" t="str">
            <v>..</v>
          </cell>
          <cell r="N420" t="str">
            <v>..</v>
          </cell>
          <cell r="O420" t="str">
            <v>..</v>
          </cell>
          <cell r="P420" t="str">
            <v>..</v>
          </cell>
          <cell r="Q420" t="str">
            <v>..</v>
          </cell>
          <cell r="R420" t="str">
            <v>..</v>
          </cell>
          <cell r="S420" t="str">
            <v>..</v>
          </cell>
          <cell r="T420" t="str">
            <v>..</v>
          </cell>
          <cell r="U420" t="str">
            <v>..</v>
          </cell>
          <cell r="V420">
            <v>0</v>
          </cell>
          <cell r="W420">
            <v>0</v>
          </cell>
          <cell r="X420">
            <v>0</v>
          </cell>
          <cell r="Y420" t="str">
            <v>-</v>
          </cell>
          <cell r="Z420" t="str">
            <v>No statutory entitlement</v>
          </cell>
          <cell r="AA420" t="str">
            <v>-</v>
          </cell>
          <cell r="AB420" t="str">
            <v>-</v>
          </cell>
          <cell r="AC420" t="str">
            <v>-</v>
          </cell>
          <cell r="AD420" t="str">
            <v>-</v>
          </cell>
          <cell r="AE420" t="str">
            <v>-</v>
          </cell>
          <cell r="AF420" t="str">
            <v>-</v>
          </cell>
          <cell r="AG420" t="str">
            <v>-</v>
          </cell>
          <cell r="AH420" t="str">
            <v>-</v>
          </cell>
          <cell r="AI420" t="str">
            <v>-</v>
          </cell>
          <cell r="AJ420" t="str">
            <v>-</v>
          </cell>
          <cell r="AK420" t="str">
            <v>-</v>
          </cell>
          <cell r="AL420" t="str">
            <v>-</v>
          </cell>
          <cell r="AM420" t="str">
            <v>-</v>
          </cell>
          <cell r="AN420" t="str">
            <v>-</v>
          </cell>
          <cell r="AO420" t="str">
            <v>-</v>
          </cell>
          <cell r="AP420" t="str">
            <v>-</v>
          </cell>
          <cell r="AQ420" t="str">
            <v>-</v>
          </cell>
          <cell r="AR420" t="str">
            <v>-</v>
          </cell>
          <cell r="AS420" t="str">
            <v>-</v>
          </cell>
          <cell r="AT420" t="str">
            <v>-</v>
          </cell>
          <cell r="AU420" t="str">
            <v>-</v>
          </cell>
          <cell r="AV420" t="str">
            <v>-</v>
          </cell>
          <cell r="AW420" t="str">
            <v>-</v>
          </cell>
          <cell r="AX420" t="str">
            <v>-</v>
          </cell>
          <cell r="AY420" t="str">
            <v>-</v>
          </cell>
          <cell r="AZ420" t="str">
            <v>-</v>
          </cell>
          <cell r="BA420" t="str">
            <v>-</v>
          </cell>
          <cell r="BB420" t="str">
            <v>-</v>
          </cell>
          <cell r="BC420" t="str">
            <v>-</v>
          </cell>
          <cell r="BD420" t="str">
            <v>-</v>
          </cell>
          <cell r="BE420" t="str">
            <v>-</v>
          </cell>
          <cell r="BF420" t="str">
            <v>-</v>
          </cell>
          <cell r="BG420" t="str">
            <v>-</v>
          </cell>
          <cell r="BH420" t="str">
            <v>-</v>
          </cell>
          <cell r="BI420" t="str">
            <v>-</v>
          </cell>
          <cell r="BJ420" t="str">
            <v>-</v>
          </cell>
          <cell r="BK420" t="str">
            <v>-</v>
          </cell>
          <cell r="BL420" t="str">
            <v>-</v>
          </cell>
          <cell r="BM420">
            <v>0</v>
          </cell>
          <cell r="BN420">
            <v>0</v>
          </cell>
          <cell r="BO420" t="str">
            <v>-</v>
          </cell>
          <cell r="BP420" t="str">
            <v>-</v>
          </cell>
          <cell r="BQ420">
            <v>0</v>
          </cell>
          <cell r="BR420">
            <v>0</v>
          </cell>
          <cell r="BS420">
            <v>0</v>
          </cell>
          <cell r="BT420">
            <v>0</v>
          </cell>
        </row>
        <row r="421">
          <cell r="A421" t="str">
            <v>Switzerland2019100 / 100</v>
          </cell>
          <cell r="B421" t="str">
            <v>Switzerland</v>
          </cell>
          <cell r="C421">
            <v>2019</v>
          </cell>
          <cell r="D421" t="str">
            <v>100 / 100</v>
          </cell>
          <cell r="E421">
            <v>92014.900999999998</v>
          </cell>
          <cell r="F421">
            <v>7667.9084166666662</v>
          </cell>
          <cell r="G421">
            <v>1769.5309386995282</v>
          </cell>
          <cell r="H421">
            <v>353.90618773990565</v>
          </cell>
          <cell r="I421">
            <v>92014.900999999998</v>
          </cell>
          <cell r="J421">
            <v>7667.9084166666662</v>
          </cell>
          <cell r="K421">
            <v>1769.5309386995282</v>
          </cell>
          <cell r="L421">
            <v>353.90618773990565</v>
          </cell>
          <cell r="M421" t="str">
            <v>..</v>
          </cell>
          <cell r="N421" t="str">
            <v>..</v>
          </cell>
          <cell r="O421" t="str">
            <v>..</v>
          </cell>
          <cell r="P421" t="str">
            <v>..</v>
          </cell>
          <cell r="Q421" t="str">
            <v>..</v>
          </cell>
          <cell r="R421" t="str">
            <v>..</v>
          </cell>
          <cell r="S421" t="str">
            <v>..</v>
          </cell>
          <cell r="T421" t="str">
            <v>..</v>
          </cell>
          <cell r="U421" t="str">
            <v>..</v>
          </cell>
          <cell r="V421">
            <v>0</v>
          </cell>
          <cell r="W421">
            <v>0</v>
          </cell>
          <cell r="X421">
            <v>0</v>
          </cell>
          <cell r="Y421" t="str">
            <v>-</v>
          </cell>
          <cell r="Z421" t="str">
            <v>No statutory entitlement</v>
          </cell>
          <cell r="AA421" t="str">
            <v>-</v>
          </cell>
          <cell r="AB421" t="str">
            <v>-</v>
          </cell>
          <cell r="AC421" t="str">
            <v>-</v>
          </cell>
          <cell r="AD421" t="str">
            <v>-</v>
          </cell>
          <cell r="AE421" t="str">
            <v>-</v>
          </cell>
          <cell r="AF421" t="str">
            <v>-</v>
          </cell>
          <cell r="AG421" t="str">
            <v>-</v>
          </cell>
          <cell r="AH421" t="str">
            <v>-</v>
          </cell>
          <cell r="AI421" t="str">
            <v>-</v>
          </cell>
          <cell r="AJ421" t="str">
            <v>-</v>
          </cell>
          <cell r="AK421" t="str">
            <v>-</v>
          </cell>
          <cell r="AL421" t="str">
            <v>-</v>
          </cell>
          <cell r="AM421" t="str">
            <v>-</v>
          </cell>
          <cell r="AN421" t="str">
            <v>-</v>
          </cell>
          <cell r="AO421" t="str">
            <v>-</v>
          </cell>
          <cell r="AP421" t="str">
            <v>-</v>
          </cell>
          <cell r="AQ421" t="str">
            <v>-</v>
          </cell>
          <cell r="AR421" t="str">
            <v>-</v>
          </cell>
          <cell r="AS421" t="str">
            <v>-</v>
          </cell>
          <cell r="AT421" t="str">
            <v>-</v>
          </cell>
          <cell r="AU421" t="str">
            <v>-</v>
          </cell>
          <cell r="AV421" t="str">
            <v>-</v>
          </cell>
          <cell r="AW421" t="str">
            <v>-</v>
          </cell>
          <cell r="AX421" t="str">
            <v>-</v>
          </cell>
          <cell r="AY421" t="str">
            <v>-</v>
          </cell>
          <cell r="AZ421" t="str">
            <v>-</v>
          </cell>
          <cell r="BA421" t="str">
            <v>-</v>
          </cell>
          <cell r="BB421" t="str">
            <v>-</v>
          </cell>
          <cell r="BC421" t="str">
            <v>-</v>
          </cell>
          <cell r="BD421" t="str">
            <v>-</v>
          </cell>
          <cell r="BE421" t="str">
            <v>-</v>
          </cell>
          <cell r="BF421" t="str">
            <v>-</v>
          </cell>
          <cell r="BG421" t="str">
            <v>-</v>
          </cell>
          <cell r="BH421" t="str">
            <v>-</v>
          </cell>
          <cell r="BI421" t="str">
            <v>-</v>
          </cell>
          <cell r="BJ421" t="str">
            <v>-</v>
          </cell>
          <cell r="BK421" t="str">
            <v>-</v>
          </cell>
          <cell r="BL421" t="str">
            <v>-</v>
          </cell>
          <cell r="BM421">
            <v>0</v>
          </cell>
          <cell r="BN421">
            <v>0</v>
          </cell>
          <cell r="BO421" t="str">
            <v>-</v>
          </cell>
          <cell r="BP421" t="str">
            <v>-</v>
          </cell>
          <cell r="BQ421">
            <v>0</v>
          </cell>
          <cell r="BR421">
            <v>0</v>
          </cell>
          <cell r="BS421">
            <v>0</v>
          </cell>
          <cell r="BT421">
            <v>0</v>
          </cell>
        </row>
        <row r="422">
          <cell r="A422" t="str">
            <v>Switzerland2020100 / 100</v>
          </cell>
          <cell r="B422" t="str">
            <v>Switzerland</v>
          </cell>
          <cell r="C422">
            <v>2020</v>
          </cell>
          <cell r="D422" t="str">
            <v>100 / 100</v>
          </cell>
          <cell r="E422">
            <v>93816</v>
          </cell>
          <cell r="F422">
            <v>7818</v>
          </cell>
          <cell r="G422">
            <v>1804.1677243671104</v>
          </cell>
          <cell r="H422">
            <v>360.83354487342206</v>
          </cell>
          <cell r="I422">
            <v>93816</v>
          </cell>
          <cell r="J422">
            <v>7818</v>
          </cell>
          <cell r="K422">
            <v>1804.1677243671104</v>
          </cell>
          <cell r="L422">
            <v>360.83354487342206</v>
          </cell>
          <cell r="M422" t="str">
            <v>..</v>
          </cell>
          <cell r="N422" t="str">
            <v>..</v>
          </cell>
          <cell r="O422" t="str">
            <v>..</v>
          </cell>
          <cell r="P422" t="str">
            <v>..</v>
          </cell>
          <cell r="Q422" t="str">
            <v>..</v>
          </cell>
          <cell r="R422" t="str">
            <v>..</v>
          </cell>
          <cell r="S422" t="str">
            <v>..</v>
          </cell>
          <cell r="T422" t="str">
            <v>..</v>
          </cell>
          <cell r="U422" t="str">
            <v>..</v>
          </cell>
          <cell r="V422">
            <v>0</v>
          </cell>
          <cell r="W422">
            <v>0</v>
          </cell>
          <cell r="X422">
            <v>0</v>
          </cell>
          <cell r="Y422" t="str">
            <v>-</v>
          </cell>
          <cell r="Z422" t="str">
            <v>No statutory entitlement</v>
          </cell>
          <cell r="AA422" t="str">
            <v>-</v>
          </cell>
          <cell r="AB422" t="str">
            <v>-</v>
          </cell>
          <cell r="AC422" t="str">
            <v>-</v>
          </cell>
          <cell r="AD422" t="str">
            <v>-</v>
          </cell>
          <cell r="AE422" t="str">
            <v>-</v>
          </cell>
          <cell r="AF422" t="str">
            <v>-</v>
          </cell>
          <cell r="AG422" t="str">
            <v>-</v>
          </cell>
          <cell r="AH422" t="str">
            <v>-</v>
          </cell>
          <cell r="AI422" t="str">
            <v>-</v>
          </cell>
          <cell r="AJ422" t="str">
            <v>-</v>
          </cell>
          <cell r="AK422" t="str">
            <v>-</v>
          </cell>
          <cell r="AL422" t="str">
            <v>-</v>
          </cell>
          <cell r="AM422" t="str">
            <v>-</v>
          </cell>
          <cell r="AN422" t="str">
            <v>-</v>
          </cell>
          <cell r="AO422" t="str">
            <v>-</v>
          </cell>
          <cell r="AP422" t="str">
            <v>-</v>
          </cell>
          <cell r="AQ422" t="str">
            <v>-</v>
          </cell>
          <cell r="AR422" t="str">
            <v>-</v>
          </cell>
          <cell r="AS422" t="str">
            <v>-</v>
          </cell>
          <cell r="AT422" t="str">
            <v>-</v>
          </cell>
          <cell r="AU422" t="str">
            <v>-</v>
          </cell>
          <cell r="AV422" t="str">
            <v>-</v>
          </cell>
          <cell r="AW422" t="str">
            <v>-</v>
          </cell>
          <cell r="AX422" t="str">
            <v>-</v>
          </cell>
          <cell r="AY422" t="str">
            <v>-</v>
          </cell>
          <cell r="AZ422" t="str">
            <v>-</v>
          </cell>
          <cell r="BA422" t="str">
            <v>-</v>
          </cell>
          <cell r="BB422" t="str">
            <v>-</v>
          </cell>
          <cell r="BC422" t="str">
            <v>-</v>
          </cell>
          <cell r="BD422" t="str">
            <v>-</v>
          </cell>
          <cell r="BE422" t="str">
            <v>-</v>
          </cell>
          <cell r="BF422" t="str">
            <v>-</v>
          </cell>
          <cell r="BG422" t="str">
            <v>-</v>
          </cell>
          <cell r="BH422" t="str">
            <v>-</v>
          </cell>
          <cell r="BI422" t="str">
            <v>-</v>
          </cell>
          <cell r="BJ422" t="str">
            <v>-</v>
          </cell>
          <cell r="BK422" t="str">
            <v>-</v>
          </cell>
          <cell r="BL422" t="str">
            <v>-</v>
          </cell>
          <cell r="BM422">
            <v>0</v>
          </cell>
          <cell r="BN422">
            <v>0</v>
          </cell>
          <cell r="BO422" t="str">
            <v>-</v>
          </cell>
          <cell r="BP422" t="str">
            <v>-</v>
          </cell>
          <cell r="BQ422">
            <v>0</v>
          </cell>
          <cell r="BR422">
            <v>0</v>
          </cell>
          <cell r="BS422">
            <v>0</v>
          </cell>
          <cell r="BT422">
            <v>0</v>
          </cell>
        </row>
        <row r="423">
          <cell r="A423" t="str">
            <v>Switzerland2021100 / 100</v>
          </cell>
          <cell r="B423" t="str">
            <v>Switzerland</v>
          </cell>
          <cell r="C423">
            <v>2021</v>
          </cell>
          <cell r="D423" t="str">
            <v>100 / 100</v>
          </cell>
          <cell r="E423">
            <v>97644.713000000003</v>
          </cell>
          <cell r="F423">
            <v>8137.0594166666669</v>
          </cell>
          <cell r="G423">
            <v>1877.7973869029761</v>
          </cell>
          <cell r="H423">
            <v>375.55947738059524</v>
          </cell>
          <cell r="I423">
            <v>97644.713000000003</v>
          </cell>
          <cell r="J423">
            <v>8137.0594166666669</v>
          </cell>
          <cell r="K423">
            <v>1877.7973869029761</v>
          </cell>
          <cell r="L423">
            <v>375.55947738059524</v>
          </cell>
          <cell r="M423" t="str">
            <v>..</v>
          </cell>
          <cell r="N423" t="str">
            <v>..</v>
          </cell>
          <cell r="O423" t="str">
            <v>..</v>
          </cell>
          <cell r="P423" t="str">
            <v>..</v>
          </cell>
          <cell r="Q423" t="str">
            <v>..</v>
          </cell>
          <cell r="R423" t="str">
            <v>..</v>
          </cell>
          <cell r="S423" t="str">
            <v>..</v>
          </cell>
          <cell r="T423" t="str">
            <v>..</v>
          </cell>
          <cell r="U423" t="str">
            <v>..</v>
          </cell>
          <cell r="V423">
            <v>0</v>
          </cell>
          <cell r="W423">
            <v>0</v>
          </cell>
          <cell r="X423">
            <v>0</v>
          </cell>
          <cell r="Y423" t="str">
            <v>-</v>
          </cell>
          <cell r="Z423" t="str">
            <v>No statutory entitlement</v>
          </cell>
          <cell r="AA423" t="str">
            <v>-</v>
          </cell>
          <cell r="AB423" t="str">
            <v>-</v>
          </cell>
          <cell r="AC423" t="str">
            <v>-</v>
          </cell>
          <cell r="AD423" t="str">
            <v>-</v>
          </cell>
          <cell r="AE423" t="str">
            <v>-</v>
          </cell>
          <cell r="AF423" t="str">
            <v>-</v>
          </cell>
          <cell r="AG423" t="str">
            <v>-</v>
          </cell>
          <cell r="AH423" t="str">
            <v>-</v>
          </cell>
          <cell r="AI423" t="str">
            <v>-</v>
          </cell>
          <cell r="AJ423" t="str">
            <v>-</v>
          </cell>
          <cell r="AK423" t="str">
            <v>-</v>
          </cell>
          <cell r="AL423" t="str">
            <v>-</v>
          </cell>
          <cell r="AM423" t="str">
            <v>-</v>
          </cell>
          <cell r="AN423" t="str">
            <v>-</v>
          </cell>
          <cell r="AO423" t="str">
            <v>-</v>
          </cell>
          <cell r="AP423" t="str">
            <v>-</v>
          </cell>
          <cell r="AQ423" t="str">
            <v>-</v>
          </cell>
          <cell r="AR423" t="str">
            <v>-</v>
          </cell>
          <cell r="AS423" t="str">
            <v>-</v>
          </cell>
          <cell r="AT423" t="str">
            <v>-</v>
          </cell>
          <cell r="AU423" t="str">
            <v>-</v>
          </cell>
          <cell r="AV423" t="str">
            <v>-</v>
          </cell>
          <cell r="AW423" t="str">
            <v>-</v>
          </cell>
          <cell r="AX423" t="str">
            <v>-</v>
          </cell>
          <cell r="AY423" t="str">
            <v>-</v>
          </cell>
          <cell r="AZ423" t="str">
            <v>-</v>
          </cell>
          <cell r="BA423" t="str">
            <v>-</v>
          </cell>
          <cell r="BB423" t="str">
            <v>-</v>
          </cell>
          <cell r="BC423" t="str">
            <v>-</v>
          </cell>
          <cell r="BD423" t="str">
            <v>-</v>
          </cell>
          <cell r="BE423" t="str">
            <v>-</v>
          </cell>
          <cell r="BF423" t="str">
            <v>-</v>
          </cell>
          <cell r="BG423" t="str">
            <v>-</v>
          </cell>
          <cell r="BH423" t="str">
            <v>-</v>
          </cell>
          <cell r="BI423" t="str">
            <v>-</v>
          </cell>
          <cell r="BJ423" t="str">
            <v>-</v>
          </cell>
          <cell r="BK423" t="str">
            <v>-</v>
          </cell>
          <cell r="BL423" t="str">
            <v>-</v>
          </cell>
          <cell r="BM423">
            <v>0</v>
          </cell>
          <cell r="BN423">
            <v>0</v>
          </cell>
          <cell r="BO423" t="str">
            <v>-</v>
          </cell>
          <cell r="BP423" t="str">
            <v>-</v>
          </cell>
          <cell r="BQ423">
            <v>0</v>
          </cell>
          <cell r="BR423">
            <v>0</v>
          </cell>
          <cell r="BS423">
            <v>0</v>
          </cell>
          <cell r="BT423">
            <v>0</v>
          </cell>
        </row>
        <row r="424">
          <cell r="A424" t="str">
            <v>Switzerland2022100 / 100</v>
          </cell>
          <cell r="B424" t="str">
            <v>Switzerland</v>
          </cell>
          <cell r="C424">
            <v>2022</v>
          </cell>
          <cell r="D424" t="str">
            <v>100 / 100</v>
          </cell>
          <cell r="E424">
            <v>100391.85</v>
          </cell>
          <cell r="F424">
            <v>8365.9875000000011</v>
          </cell>
          <cell r="G424">
            <v>1930.6273509796231</v>
          </cell>
          <cell r="H424">
            <v>386.12547019592461</v>
          </cell>
          <cell r="I424">
            <v>100391.85</v>
          </cell>
          <cell r="J424">
            <v>8365.9875000000011</v>
          </cell>
          <cell r="K424">
            <v>1930.6273509796231</v>
          </cell>
          <cell r="L424">
            <v>386.12547019592461</v>
          </cell>
          <cell r="M424" t="str">
            <v>..</v>
          </cell>
          <cell r="N424" t="str">
            <v>..</v>
          </cell>
          <cell r="O424" t="str">
            <v>..</v>
          </cell>
          <cell r="P424" t="str">
            <v>..</v>
          </cell>
          <cell r="Q424" t="str">
            <v>..</v>
          </cell>
          <cell r="R424" t="str">
            <v>..</v>
          </cell>
          <cell r="S424" t="str">
            <v>..</v>
          </cell>
          <cell r="T424" t="str">
            <v>..</v>
          </cell>
          <cell r="U424" t="str">
            <v>..</v>
          </cell>
          <cell r="V424">
            <v>0</v>
          </cell>
          <cell r="W424">
            <v>0</v>
          </cell>
          <cell r="X424">
            <v>0</v>
          </cell>
          <cell r="Y424" t="str">
            <v>-</v>
          </cell>
          <cell r="Z424" t="str">
            <v>No statutory entitlement</v>
          </cell>
          <cell r="AA424" t="str">
            <v>-</v>
          </cell>
          <cell r="AB424" t="str">
            <v>-</v>
          </cell>
          <cell r="AC424" t="str">
            <v>-</v>
          </cell>
          <cell r="AD424" t="str">
            <v>-</v>
          </cell>
          <cell r="AE424" t="str">
            <v>-</v>
          </cell>
          <cell r="AF424" t="str">
            <v>-</v>
          </cell>
          <cell r="AG424" t="str">
            <v>-</v>
          </cell>
          <cell r="AH424" t="str">
            <v>-</v>
          </cell>
          <cell r="AI424" t="str">
            <v>-</v>
          </cell>
          <cell r="AJ424" t="str">
            <v>-</v>
          </cell>
          <cell r="AK424" t="str">
            <v>-</v>
          </cell>
          <cell r="AL424" t="str">
            <v>-</v>
          </cell>
          <cell r="AM424" t="str">
            <v>-</v>
          </cell>
          <cell r="AN424" t="str">
            <v>-</v>
          </cell>
          <cell r="AO424" t="str">
            <v>-</v>
          </cell>
          <cell r="AP424" t="str">
            <v>-</v>
          </cell>
          <cell r="AQ424" t="str">
            <v>-</v>
          </cell>
          <cell r="AR424" t="str">
            <v>-</v>
          </cell>
          <cell r="AS424" t="str">
            <v>-</v>
          </cell>
          <cell r="AT424" t="str">
            <v>-</v>
          </cell>
          <cell r="AU424" t="str">
            <v>-</v>
          </cell>
          <cell r="AV424" t="str">
            <v>-</v>
          </cell>
          <cell r="AW424" t="str">
            <v>-</v>
          </cell>
          <cell r="AX424" t="str">
            <v>-</v>
          </cell>
          <cell r="AY424" t="str">
            <v>-</v>
          </cell>
          <cell r="AZ424" t="str">
            <v>-</v>
          </cell>
          <cell r="BA424" t="str">
            <v>-</v>
          </cell>
          <cell r="BB424" t="str">
            <v>-</v>
          </cell>
          <cell r="BC424" t="str">
            <v>-</v>
          </cell>
          <cell r="BD424" t="str">
            <v>-</v>
          </cell>
          <cell r="BE424" t="str">
            <v>-</v>
          </cell>
          <cell r="BF424" t="str">
            <v>-</v>
          </cell>
          <cell r="BG424" t="str">
            <v>-</v>
          </cell>
          <cell r="BH424" t="str">
            <v>-</v>
          </cell>
          <cell r="BI424" t="str">
            <v>-</v>
          </cell>
          <cell r="BJ424" t="str">
            <v>-</v>
          </cell>
          <cell r="BK424" t="str">
            <v>-</v>
          </cell>
          <cell r="BL424" t="str">
            <v>-</v>
          </cell>
          <cell r="BM424">
            <v>0</v>
          </cell>
          <cell r="BN424">
            <v>0</v>
          </cell>
          <cell r="BO424" t="str">
            <v>-</v>
          </cell>
          <cell r="BP424" t="str">
            <v>-</v>
          </cell>
          <cell r="BQ424">
            <v>0</v>
          </cell>
          <cell r="BR424">
            <v>0</v>
          </cell>
          <cell r="BS424">
            <v>0</v>
          </cell>
          <cell r="BT424">
            <v>0</v>
          </cell>
        </row>
        <row r="425">
          <cell r="A425" t="str">
            <v>Switzerland2023100 / 100</v>
          </cell>
          <cell r="B425" t="str">
            <v>Switzerland</v>
          </cell>
          <cell r="C425">
            <v>2023</v>
          </cell>
          <cell r="D425" t="str">
            <v>100 / 100</v>
          </cell>
          <cell r="E425">
            <v>102349.19</v>
          </cell>
          <cell r="F425">
            <v>8529.0991666666669</v>
          </cell>
          <cell r="G425">
            <v>1968.2687943753413</v>
          </cell>
          <cell r="H425">
            <v>393.65375887506826</v>
          </cell>
          <cell r="I425">
            <v>102349.19</v>
          </cell>
          <cell r="J425">
            <v>8529.0991666666669</v>
          </cell>
          <cell r="K425">
            <v>1968.2687943753413</v>
          </cell>
          <cell r="L425">
            <v>393.65375887506826</v>
          </cell>
          <cell r="M425" t="str">
            <v>..</v>
          </cell>
          <cell r="N425" t="str">
            <v>..</v>
          </cell>
          <cell r="O425" t="str">
            <v>..</v>
          </cell>
          <cell r="P425" t="str">
            <v>..</v>
          </cell>
          <cell r="Q425" t="str">
            <v>..</v>
          </cell>
          <cell r="R425" t="str">
            <v>..</v>
          </cell>
          <cell r="S425" t="str">
            <v>..</v>
          </cell>
          <cell r="T425" t="str">
            <v>..</v>
          </cell>
          <cell r="U425" t="str">
            <v>..</v>
          </cell>
          <cell r="V425">
            <v>0</v>
          </cell>
          <cell r="W425">
            <v>0</v>
          </cell>
          <cell r="X425">
            <v>0</v>
          </cell>
          <cell r="Y425" t="str">
            <v>-</v>
          </cell>
          <cell r="Z425" t="str">
            <v>No statutory entitlement</v>
          </cell>
          <cell r="AA425" t="str">
            <v>-</v>
          </cell>
          <cell r="AB425" t="str">
            <v>-</v>
          </cell>
          <cell r="AC425" t="str">
            <v>-</v>
          </cell>
          <cell r="AD425" t="str">
            <v>-</v>
          </cell>
          <cell r="AE425" t="str">
            <v>-</v>
          </cell>
          <cell r="AF425" t="str">
            <v>-</v>
          </cell>
          <cell r="AG425" t="str">
            <v>-</v>
          </cell>
          <cell r="AH425" t="str">
            <v>-</v>
          </cell>
          <cell r="AI425" t="str">
            <v>-</v>
          </cell>
          <cell r="AJ425" t="str">
            <v>-</v>
          </cell>
          <cell r="AK425" t="str">
            <v>-</v>
          </cell>
          <cell r="AL425" t="str">
            <v>-</v>
          </cell>
          <cell r="AM425" t="str">
            <v>-</v>
          </cell>
          <cell r="AN425" t="str">
            <v>-</v>
          </cell>
          <cell r="AO425" t="str">
            <v>-</v>
          </cell>
          <cell r="AP425" t="str">
            <v>-</v>
          </cell>
          <cell r="AQ425" t="str">
            <v>-</v>
          </cell>
          <cell r="AR425" t="str">
            <v>-</v>
          </cell>
          <cell r="AS425" t="str">
            <v>-</v>
          </cell>
          <cell r="AT425" t="str">
            <v>-</v>
          </cell>
          <cell r="AU425" t="str">
            <v>-</v>
          </cell>
          <cell r="AV425" t="str">
            <v>-</v>
          </cell>
          <cell r="AW425" t="str">
            <v>-</v>
          </cell>
          <cell r="AX425" t="str">
            <v>-</v>
          </cell>
          <cell r="AY425" t="str">
            <v>-</v>
          </cell>
          <cell r="AZ425" t="str">
            <v>-</v>
          </cell>
          <cell r="BA425" t="str">
            <v>-</v>
          </cell>
          <cell r="BB425" t="str">
            <v>-</v>
          </cell>
          <cell r="BC425" t="str">
            <v>-</v>
          </cell>
          <cell r="BD425" t="str">
            <v>-</v>
          </cell>
          <cell r="BE425" t="str">
            <v>-</v>
          </cell>
          <cell r="BF425" t="str">
            <v>-</v>
          </cell>
          <cell r="BG425" t="str">
            <v>-</v>
          </cell>
          <cell r="BH425" t="str">
            <v>-</v>
          </cell>
          <cell r="BI425" t="str">
            <v>-</v>
          </cell>
          <cell r="BJ425" t="str">
            <v>-</v>
          </cell>
          <cell r="BK425" t="str">
            <v>-</v>
          </cell>
          <cell r="BL425" t="str">
            <v>-</v>
          </cell>
          <cell r="BM425">
            <v>0</v>
          </cell>
          <cell r="BN425">
            <v>0</v>
          </cell>
          <cell r="BO425" t="str">
            <v>-</v>
          </cell>
          <cell r="BP425" t="str">
            <v>-</v>
          </cell>
          <cell r="BQ425">
            <v>0</v>
          </cell>
          <cell r="BR425">
            <v>0</v>
          </cell>
          <cell r="BS425">
            <v>0</v>
          </cell>
          <cell r="BT425">
            <v>0</v>
          </cell>
        </row>
        <row r="426">
          <cell r="A426" t="str">
            <v>Switzerland2024100 / 100</v>
          </cell>
          <cell r="B426" t="str">
            <v>Switzerland</v>
          </cell>
          <cell r="C426">
            <v>2024</v>
          </cell>
          <cell r="D426" t="str">
            <v>100 / 100</v>
          </cell>
          <cell r="E426">
            <v>99430.14</v>
          </cell>
          <cell r="F426">
            <v>8285.8449999999993</v>
          </cell>
          <cell r="G426">
            <v>1912.1327856368123</v>
          </cell>
          <cell r="H426">
            <v>382.42655712736246</v>
          </cell>
          <cell r="I426">
            <v>99430.14</v>
          </cell>
          <cell r="J426">
            <v>8285.8449999999993</v>
          </cell>
          <cell r="K426">
            <v>1912.1327856368123</v>
          </cell>
          <cell r="L426">
            <v>382.42655712736246</v>
          </cell>
          <cell r="M426" t="str">
            <v>..</v>
          </cell>
          <cell r="N426" t="str">
            <v>..</v>
          </cell>
          <cell r="O426" t="str">
            <v>..</v>
          </cell>
          <cell r="P426" t="str">
            <v>..</v>
          </cell>
          <cell r="Q426" t="str">
            <v>..</v>
          </cell>
          <cell r="R426" t="str">
            <v>..</v>
          </cell>
          <cell r="S426" t="str">
            <v>..</v>
          </cell>
          <cell r="T426" t="str">
            <v>..</v>
          </cell>
          <cell r="U426" t="str">
            <v>..</v>
          </cell>
          <cell r="V426">
            <v>0</v>
          </cell>
          <cell r="W426">
            <v>0</v>
          </cell>
          <cell r="X426">
            <v>0</v>
          </cell>
          <cell r="Y426" t="str">
            <v>-</v>
          </cell>
          <cell r="Z426" t="str">
            <v>No statutory entitlement</v>
          </cell>
          <cell r="AA426" t="str">
            <v>-</v>
          </cell>
          <cell r="AB426" t="str">
            <v>-</v>
          </cell>
          <cell r="AC426" t="str">
            <v>-</v>
          </cell>
          <cell r="AD426" t="str">
            <v>-</v>
          </cell>
          <cell r="AE426" t="str">
            <v>-</v>
          </cell>
          <cell r="AF426" t="str">
            <v>-</v>
          </cell>
          <cell r="AG426" t="str">
            <v>-</v>
          </cell>
          <cell r="AH426" t="str">
            <v>-</v>
          </cell>
          <cell r="AI426" t="str">
            <v>-</v>
          </cell>
          <cell r="AJ426" t="str">
            <v>-</v>
          </cell>
          <cell r="AK426" t="str">
            <v>-</v>
          </cell>
          <cell r="AL426" t="str">
            <v>-</v>
          </cell>
          <cell r="AM426" t="str">
            <v>-</v>
          </cell>
          <cell r="AN426" t="str">
            <v>-</v>
          </cell>
          <cell r="AO426" t="str">
            <v>-</v>
          </cell>
          <cell r="AP426" t="str">
            <v>-</v>
          </cell>
          <cell r="AQ426" t="str">
            <v>-</v>
          </cell>
          <cell r="AR426" t="str">
            <v>-</v>
          </cell>
          <cell r="AS426" t="str">
            <v>-</v>
          </cell>
          <cell r="AT426" t="str">
            <v>-</v>
          </cell>
          <cell r="AU426" t="str">
            <v>-</v>
          </cell>
          <cell r="AV426" t="str">
            <v>-</v>
          </cell>
          <cell r="AW426" t="str">
            <v>-</v>
          </cell>
          <cell r="AX426" t="str">
            <v>-</v>
          </cell>
          <cell r="AY426" t="str">
            <v>-</v>
          </cell>
          <cell r="AZ426" t="str">
            <v>-</v>
          </cell>
          <cell r="BA426" t="str">
            <v>-</v>
          </cell>
          <cell r="BB426" t="str">
            <v>-</v>
          </cell>
          <cell r="BC426" t="str">
            <v>-</v>
          </cell>
          <cell r="BD426" t="str">
            <v>-</v>
          </cell>
          <cell r="BE426" t="str">
            <v>-</v>
          </cell>
          <cell r="BF426" t="str">
            <v>-</v>
          </cell>
          <cell r="BG426" t="str">
            <v>-</v>
          </cell>
          <cell r="BH426" t="str">
            <v>-</v>
          </cell>
          <cell r="BI426" t="str">
            <v>-</v>
          </cell>
          <cell r="BJ426" t="str">
            <v>-</v>
          </cell>
          <cell r="BK426" t="str">
            <v>-</v>
          </cell>
          <cell r="BL426" t="str">
            <v>-</v>
          </cell>
          <cell r="BM426">
            <v>0</v>
          </cell>
          <cell r="BN426">
            <v>0</v>
          </cell>
          <cell r="BO426" t="str">
            <v>-</v>
          </cell>
          <cell r="BP426" t="str">
            <v>-</v>
          </cell>
          <cell r="BQ426">
            <v>0</v>
          </cell>
          <cell r="BR426">
            <v>0</v>
          </cell>
          <cell r="BS426">
            <v>0</v>
          </cell>
          <cell r="BT426">
            <v>0</v>
          </cell>
        </row>
        <row r="427">
          <cell r="A427" t="str">
            <v>Switzerland2025100 / 100</v>
          </cell>
          <cell r="B427" t="str">
            <v>Switzerland</v>
          </cell>
          <cell r="C427">
            <v>2025</v>
          </cell>
          <cell r="D427" t="str">
            <v>100 / 100</v>
          </cell>
          <cell r="E427">
            <v>99430.14</v>
          </cell>
          <cell r="F427">
            <v>8285.8449999999993</v>
          </cell>
          <cell r="G427">
            <v>1912.1327856368123</v>
          </cell>
          <cell r="H427">
            <v>382.42655712736246</v>
          </cell>
          <cell r="I427">
            <v>99430.14</v>
          </cell>
          <cell r="J427">
            <v>8285.8449999999993</v>
          </cell>
          <cell r="K427">
            <v>1912.1327856368123</v>
          </cell>
          <cell r="L427">
            <v>382.42655712736246</v>
          </cell>
          <cell r="M427" t="str">
            <v>..</v>
          </cell>
          <cell r="N427" t="str">
            <v>..</v>
          </cell>
          <cell r="O427" t="str">
            <v>..</v>
          </cell>
          <cell r="P427" t="str">
            <v>..</v>
          </cell>
          <cell r="Q427" t="str">
            <v>..</v>
          </cell>
          <cell r="R427" t="str">
            <v>..</v>
          </cell>
          <cell r="S427" t="str">
            <v>..</v>
          </cell>
          <cell r="T427" t="str">
            <v>..</v>
          </cell>
          <cell r="U427" t="str">
            <v>..</v>
          </cell>
          <cell r="V427">
            <v>0</v>
          </cell>
          <cell r="W427">
            <v>0</v>
          </cell>
          <cell r="X427">
            <v>0</v>
          </cell>
          <cell r="Y427" t="str">
            <v>-</v>
          </cell>
          <cell r="Z427" t="str">
            <v>No statutory entitlement</v>
          </cell>
          <cell r="AA427" t="str">
            <v>-</v>
          </cell>
          <cell r="AB427" t="str">
            <v>-</v>
          </cell>
          <cell r="AC427" t="str">
            <v>-</v>
          </cell>
          <cell r="AD427" t="str">
            <v>-</v>
          </cell>
          <cell r="AE427" t="str">
            <v>-</v>
          </cell>
          <cell r="AF427" t="str">
            <v>-</v>
          </cell>
          <cell r="AG427" t="str">
            <v>-</v>
          </cell>
          <cell r="AH427" t="str">
            <v>-</v>
          </cell>
          <cell r="AI427" t="str">
            <v>-</v>
          </cell>
          <cell r="AJ427" t="str">
            <v>-</v>
          </cell>
          <cell r="AK427" t="str">
            <v>-</v>
          </cell>
          <cell r="AL427" t="str">
            <v>-</v>
          </cell>
          <cell r="AM427" t="str">
            <v>-</v>
          </cell>
          <cell r="AN427" t="str">
            <v>-</v>
          </cell>
          <cell r="AO427" t="str">
            <v>-</v>
          </cell>
          <cell r="AP427" t="str">
            <v>-</v>
          </cell>
          <cell r="AQ427" t="str">
            <v>-</v>
          </cell>
          <cell r="AR427" t="str">
            <v>-</v>
          </cell>
          <cell r="AS427" t="str">
            <v>-</v>
          </cell>
          <cell r="AT427" t="str">
            <v>-</v>
          </cell>
          <cell r="AU427" t="str">
            <v>-</v>
          </cell>
          <cell r="AV427" t="str">
            <v>-</v>
          </cell>
          <cell r="AW427" t="str">
            <v>-</v>
          </cell>
          <cell r="AX427" t="str">
            <v>-</v>
          </cell>
          <cell r="AY427" t="str">
            <v>-</v>
          </cell>
          <cell r="AZ427" t="str">
            <v>-</v>
          </cell>
          <cell r="BA427" t="str">
            <v>-</v>
          </cell>
          <cell r="BB427" t="str">
            <v>-</v>
          </cell>
          <cell r="BC427" t="str">
            <v>-</v>
          </cell>
          <cell r="BD427" t="str">
            <v>-</v>
          </cell>
          <cell r="BE427" t="str">
            <v>-</v>
          </cell>
          <cell r="BF427" t="str">
            <v>-</v>
          </cell>
          <cell r="BG427" t="str">
            <v>-</v>
          </cell>
          <cell r="BH427" t="str">
            <v>-</v>
          </cell>
          <cell r="BI427" t="str">
            <v>-</v>
          </cell>
          <cell r="BJ427" t="str">
            <v>-</v>
          </cell>
          <cell r="BK427" t="str">
            <v>-</v>
          </cell>
          <cell r="BL427" t="str">
            <v>-</v>
          </cell>
          <cell r="BM427">
            <v>0</v>
          </cell>
          <cell r="BN427">
            <v>0</v>
          </cell>
          <cell r="BO427" t="str">
            <v>-</v>
          </cell>
          <cell r="BP427" t="str">
            <v>-</v>
          </cell>
          <cell r="BQ427">
            <v>0</v>
          </cell>
          <cell r="BR427">
            <v>0</v>
          </cell>
          <cell r="BS427">
            <v>0</v>
          </cell>
          <cell r="BT427">
            <v>0</v>
          </cell>
        </row>
        <row r="428">
          <cell r="A428" t="str">
            <v>Türkiye2014100 / 100</v>
          </cell>
          <cell r="B428" t="str">
            <v>Türkiye</v>
          </cell>
          <cell r="C428">
            <v>2014</v>
          </cell>
          <cell r="D428" t="str">
            <v>100 / 100</v>
          </cell>
          <cell r="E428">
            <v>27487</v>
          </cell>
          <cell r="F428">
            <v>2290.5833333333335</v>
          </cell>
          <cell r="G428">
            <v>528.60022000169226</v>
          </cell>
          <cell r="H428">
            <v>105.72004400033845</v>
          </cell>
          <cell r="I428">
            <v>27487</v>
          </cell>
          <cell r="J428">
            <v>2290.5833333333335</v>
          </cell>
          <cell r="K428">
            <v>528.60022000169226</v>
          </cell>
          <cell r="L428">
            <v>105.72004400033845</v>
          </cell>
          <cell r="M428" t="str">
            <v>..</v>
          </cell>
          <cell r="N428" t="str">
            <v>..</v>
          </cell>
          <cell r="O428" t="str">
            <v>..</v>
          </cell>
          <cell r="P428" t="str">
            <v>..</v>
          </cell>
          <cell r="Q428" t="str">
            <v>..</v>
          </cell>
          <cell r="R428" t="str">
            <v>..</v>
          </cell>
          <cell r="S428" t="str">
            <v>..</v>
          </cell>
          <cell r="T428" t="str">
            <v>..</v>
          </cell>
          <cell r="U428" t="str">
            <v>..</v>
          </cell>
          <cell r="V428">
            <v>0</v>
          </cell>
          <cell r="W428">
            <v>0</v>
          </cell>
          <cell r="X428">
            <v>0</v>
          </cell>
          <cell r="Y428" t="str">
            <v>-</v>
          </cell>
          <cell r="Z428" t="str">
            <v>No statutory entitlement</v>
          </cell>
          <cell r="AA428" t="str">
            <v>-</v>
          </cell>
          <cell r="AB428" t="str">
            <v>-</v>
          </cell>
          <cell r="AC428" t="str">
            <v>-</v>
          </cell>
          <cell r="AD428" t="str">
            <v>-</v>
          </cell>
          <cell r="AE428" t="str">
            <v>-</v>
          </cell>
          <cell r="AF428" t="str">
            <v>-</v>
          </cell>
          <cell r="AG428" t="str">
            <v>-</v>
          </cell>
          <cell r="AH428" t="str">
            <v>-</v>
          </cell>
          <cell r="AI428" t="str">
            <v>-</v>
          </cell>
          <cell r="AJ428" t="str">
            <v>-</v>
          </cell>
          <cell r="AK428" t="str">
            <v>-</v>
          </cell>
          <cell r="AL428" t="str">
            <v>-</v>
          </cell>
          <cell r="AM428" t="str">
            <v>-</v>
          </cell>
          <cell r="AN428" t="str">
            <v>-</v>
          </cell>
          <cell r="AO428" t="str">
            <v>-</v>
          </cell>
          <cell r="AP428" t="str">
            <v>-</v>
          </cell>
          <cell r="AQ428" t="str">
            <v>-</v>
          </cell>
          <cell r="AR428" t="str">
            <v>-</v>
          </cell>
          <cell r="AS428" t="str">
            <v>-</v>
          </cell>
          <cell r="AT428" t="str">
            <v>-</v>
          </cell>
          <cell r="AU428" t="str">
            <v>-</v>
          </cell>
          <cell r="AV428" t="str">
            <v>-</v>
          </cell>
          <cell r="AW428" t="str">
            <v>-</v>
          </cell>
          <cell r="AX428" t="str">
            <v>-</v>
          </cell>
          <cell r="AY428" t="str">
            <v>-</v>
          </cell>
          <cell r="AZ428" t="str">
            <v>-</v>
          </cell>
          <cell r="BA428" t="str">
            <v>-</v>
          </cell>
          <cell r="BB428" t="str">
            <v>-</v>
          </cell>
          <cell r="BC428" t="str">
            <v>-</v>
          </cell>
          <cell r="BD428" t="str">
            <v>-</v>
          </cell>
          <cell r="BE428" t="str">
            <v>-</v>
          </cell>
          <cell r="BF428" t="str">
            <v>-</v>
          </cell>
          <cell r="BG428" t="str">
            <v>-</v>
          </cell>
          <cell r="BH428" t="str">
            <v>-</v>
          </cell>
          <cell r="BI428" t="str">
            <v>-</v>
          </cell>
          <cell r="BJ428" t="str">
            <v>-</v>
          </cell>
          <cell r="BK428" t="str">
            <v>-</v>
          </cell>
          <cell r="BL428" t="str">
            <v>-</v>
          </cell>
          <cell r="BM428">
            <v>0</v>
          </cell>
          <cell r="BN428">
            <v>0</v>
          </cell>
          <cell r="BO428" t="str">
            <v>-</v>
          </cell>
          <cell r="BP428" t="str">
            <v>-</v>
          </cell>
          <cell r="BQ428">
            <v>0</v>
          </cell>
          <cell r="BR428">
            <v>0</v>
          </cell>
          <cell r="BS428">
            <v>0</v>
          </cell>
          <cell r="BT428">
            <v>0</v>
          </cell>
        </row>
        <row r="429">
          <cell r="A429" t="str">
            <v>Türkiye2015100 / 100</v>
          </cell>
          <cell r="B429" t="str">
            <v>Türkiye</v>
          </cell>
          <cell r="C429">
            <v>2015</v>
          </cell>
          <cell r="D429" t="str">
            <v>100 / 100</v>
          </cell>
          <cell r="E429">
            <v>31191</v>
          </cell>
          <cell r="F429">
            <v>2599.25</v>
          </cell>
          <cell r="G429">
            <v>599.8315371656704</v>
          </cell>
          <cell r="H429">
            <v>119.96630743313408</v>
          </cell>
          <cell r="I429">
            <v>31191</v>
          </cell>
          <cell r="J429">
            <v>2599.25</v>
          </cell>
          <cell r="K429">
            <v>599.8315371656704</v>
          </cell>
          <cell r="L429">
            <v>119.96630743313408</v>
          </cell>
          <cell r="M429" t="str">
            <v>..</v>
          </cell>
          <cell r="N429" t="str">
            <v>..</v>
          </cell>
          <cell r="O429" t="str">
            <v>..</v>
          </cell>
          <cell r="P429" t="str">
            <v>..</v>
          </cell>
          <cell r="Q429" t="str">
            <v>..</v>
          </cell>
          <cell r="R429" t="str">
            <v>..</v>
          </cell>
          <cell r="S429" t="str">
            <v>..</v>
          </cell>
          <cell r="T429" t="str">
            <v>..</v>
          </cell>
          <cell r="U429" t="str">
            <v>..</v>
          </cell>
          <cell r="V429">
            <v>0</v>
          </cell>
          <cell r="W429">
            <v>0</v>
          </cell>
          <cell r="X429">
            <v>0</v>
          </cell>
          <cell r="Y429" t="str">
            <v>-</v>
          </cell>
          <cell r="Z429" t="str">
            <v>No statutory entitlement</v>
          </cell>
          <cell r="AA429" t="str">
            <v>-</v>
          </cell>
          <cell r="AB429" t="str">
            <v>-</v>
          </cell>
          <cell r="AC429" t="str">
            <v>-</v>
          </cell>
          <cell r="AD429" t="str">
            <v>-</v>
          </cell>
          <cell r="AE429" t="str">
            <v>-</v>
          </cell>
          <cell r="AF429" t="str">
            <v>-</v>
          </cell>
          <cell r="AG429" t="str">
            <v>-</v>
          </cell>
          <cell r="AH429" t="str">
            <v>-</v>
          </cell>
          <cell r="AI429" t="str">
            <v>-</v>
          </cell>
          <cell r="AJ429" t="str">
            <v>-</v>
          </cell>
          <cell r="AK429" t="str">
            <v>-</v>
          </cell>
          <cell r="AL429" t="str">
            <v>-</v>
          </cell>
          <cell r="AM429" t="str">
            <v>-</v>
          </cell>
          <cell r="AN429" t="str">
            <v>-</v>
          </cell>
          <cell r="AO429" t="str">
            <v>-</v>
          </cell>
          <cell r="AP429" t="str">
            <v>-</v>
          </cell>
          <cell r="AQ429" t="str">
            <v>-</v>
          </cell>
          <cell r="AR429" t="str">
            <v>-</v>
          </cell>
          <cell r="AS429" t="str">
            <v>-</v>
          </cell>
          <cell r="AT429" t="str">
            <v>-</v>
          </cell>
          <cell r="AU429" t="str">
            <v>-</v>
          </cell>
          <cell r="AV429" t="str">
            <v>-</v>
          </cell>
          <cell r="AW429" t="str">
            <v>-</v>
          </cell>
          <cell r="AX429" t="str">
            <v>-</v>
          </cell>
          <cell r="AY429" t="str">
            <v>-</v>
          </cell>
          <cell r="AZ429" t="str">
            <v>-</v>
          </cell>
          <cell r="BA429" t="str">
            <v>-</v>
          </cell>
          <cell r="BB429" t="str">
            <v>-</v>
          </cell>
          <cell r="BC429" t="str">
            <v>-</v>
          </cell>
          <cell r="BD429" t="str">
            <v>-</v>
          </cell>
          <cell r="BE429" t="str">
            <v>-</v>
          </cell>
          <cell r="BF429" t="str">
            <v>-</v>
          </cell>
          <cell r="BG429" t="str">
            <v>-</v>
          </cell>
          <cell r="BH429" t="str">
            <v>-</v>
          </cell>
          <cell r="BI429" t="str">
            <v>-</v>
          </cell>
          <cell r="BJ429" t="str">
            <v>-</v>
          </cell>
          <cell r="BK429" t="str">
            <v>-</v>
          </cell>
          <cell r="BL429" t="str">
            <v>-</v>
          </cell>
          <cell r="BM429">
            <v>0</v>
          </cell>
          <cell r="BN429">
            <v>0</v>
          </cell>
          <cell r="BO429" t="str">
            <v>-</v>
          </cell>
          <cell r="BP429" t="str">
            <v>-</v>
          </cell>
          <cell r="BQ429">
            <v>0</v>
          </cell>
          <cell r="BR429">
            <v>0</v>
          </cell>
          <cell r="BS429">
            <v>0</v>
          </cell>
          <cell r="BT429">
            <v>0</v>
          </cell>
        </row>
        <row r="430">
          <cell r="A430" t="str">
            <v>Türkiye2016100 / 100</v>
          </cell>
          <cell r="B430" t="str">
            <v>Türkiye</v>
          </cell>
          <cell r="C430">
            <v>2016</v>
          </cell>
          <cell r="D430" t="str">
            <v>100 / 100</v>
          </cell>
          <cell r="E430">
            <v>37357</v>
          </cell>
          <cell r="F430">
            <v>3113.0833333333335</v>
          </cell>
          <cell r="G430">
            <v>718.40937237978756</v>
          </cell>
          <cell r="H430">
            <v>143.6818744759575</v>
          </cell>
          <cell r="I430">
            <v>37357</v>
          </cell>
          <cell r="J430">
            <v>3113.0833333333335</v>
          </cell>
          <cell r="K430">
            <v>718.40937237978756</v>
          </cell>
          <cell r="L430">
            <v>143.6818744759575</v>
          </cell>
          <cell r="M430" t="str">
            <v>..</v>
          </cell>
          <cell r="N430" t="str">
            <v>..</v>
          </cell>
          <cell r="O430" t="str">
            <v>..</v>
          </cell>
          <cell r="P430" t="str">
            <v>..</v>
          </cell>
          <cell r="Q430" t="str">
            <v>..</v>
          </cell>
          <cell r="R430" t="str">
            <v>..</v>
          </cell>
          <cell r="S430" t="str">
            <v>..</v>
          </cell>
          <cell r="T430" t="str">
            <v>..</v>
          </cell>
          <cell r="U430" t="str">
            <v>..</v>
          </cell>
          <cell r="V430">
            <v>0</v>
          </cell>
          <cell r="W430">
            <v>0</v>
          </cell>
          <cell r="X430">
            <v>0</v>
          </cell>
          <cell r="Y430" t="str">
            <v>-</v>
          </cell>
          <cell r="Z430" t="str">
            <v>No statutory entitlement</v>
          </cell>
          <cell r="AA430" t="str">
            <v>-</v>
          </cell>
          <cell r="AB430" t="str">
            <v>-</v>
          </cell>
          <cell r="AC430" t="str">
            <v>-</v>
          </cell>
          <cell r="AD430" t="str">
            <v>-</v>
          </cell>
          <cell r="AE430" t="str">
            <v>-</v>
          </cell>
          <cell r="AF430" t="str">
            <v>-</v>
          </cell>
          <cell r="AG430" t="str">
            <v>-</v>
          </cell>
          <cell r="AH430" t="str">
            <v>-</v>
          </cell>
          <cell r="AI430" t="str">
            <v>-</v>
          </cell>
          <cell r="AJ430" t="str">
            <v>-</v>
          </cell>
          <cell r="AK430" t="str">
            <v>-</v>
          </cell>
          <cell r="AL430" t="str">
            <v>-</v>
          </cell>
          <cell r="AM430" t="str">
            <v>-</v>
          </cell>
          <cell r="AN430" t="str">
            <v>-</v>
          </cell>
          <cell r="AO430" t="str">
            <v>-</v>
          </cell>
          <cell r="AP430" t="str">
            <v>-</v>
          </cell>
          <cell r="AQ430" t="str">
            <v>-</v>
          </cell>
          <cell r="AR430" t="str">
            <v>-</v>
          </cell>
          <cell r="AS430" t="str">
            <v>-</v>
          </cell>
          <cell r="AT430" t="str">
            <v>-</v>
          </cell>
          <cell r="AU430" t="str">
            <v>-</v>
          </cell>
          <cell r="AV430" t="str">
            <v>-</v>
          </cell>
          <cell r="AW430" t="str">
            <v>-</v>
          </cell>
          <cell r="AX430" t="str">
            <v>-</v>
          </cell>
          <cell r="AY430" t="str">
            <v>-</v>
          </cell>
          <cell r="AZ430" t="str">
            <v>-</v>
          </cell>
          <cell r="BA430" t="str">
            <v>-</v>
          </cell>
          <cell r="BB430" t="str">
            <v>-</v>
          </cell>
          <cell r="BC430" t="str">
            <v>-</v>
          </cell>
          <cell r="BD430" t="str">
            <v>-</v>
          </cell>
          <cell r="BE430" t="str">
            <v>-</v>
          </cell>
          <cell r="BF430" t="str">
            <v>-</v>
          </cell>
          <cell r="BG430" t="str">
            <v>-</v>
          </cell>
          <cell r="BH430" t="str">
            <v>-</v>
          </cell>
          <cell r="BI430" t="str">
            <v>-</v>
          </cell>
          <cell r="BJ430" t="str">
            <v>-</v>
          </cell>
          <cell r="BK430" t="str">
            <v>-</v>
          </cell>
          <cell r="BL430" t="str">
            <v>-</v>
          </cell>
          <cell r="BM430">
            <v>0</v>
          </cell>
          <cell r="BN430">
            <v>0</v>
          </cell>
          <cell r="BO430" t="str">
            <v>-</v>
          </cell>
          <cell r="BP430" t="str">
            <v>-</v>
          </cell>
          <cell r="BQ430">
            <v>0</v>
          </cell>
          <cell r="BR430">
            <v>0</v>
          </cell>
          <cell r="BS430">
            <v>0</v>
          </cell>
          <cell r="BT430">
            <v>0</v>
          </cell>
        </row>
        <row r="431">
          <cell r="A431" t="str">
            <v>Türkiye2017100 / 100</v>
          </cell>
          <cell r="B431" t="str">
            <v>Türkiye</v>
          </cell>
          <cell r="C431">
            <v>2017</v>
          </cell>
          <cell r="D431" t="str">
            <v>100 / 100</v>
          </cell>
          <cell r="E431">
            <v>41409</v>
          </cell>
          <cell r="F431">
            <v>3450.75</v>
          </cell>
          <cell r="G431">
            <v>796.33304871575933</v>
          </cell>
          <cell r="H431">
            <v>159.26660974315186</v>
          </cell>
          <cell r="I431">
            <v>41409</v>
          </cell>
          <cell r="J431">
            <v>3450.75</v>
          </cell>
          <cell r="K431">
            <v>796.33304871575933</v>
          </cell>
          <cell r="L431">
            <v>159.26660974315186</v>
          </cell>
          <cell r="M431" t="str">
            <v>..</v>
          </cell>
          <cell r="N431" t="str">
            <v>..</v>
          </cell>
          <cell r="O431" t="str">
            <v>..</v>
          </cell>
          <cell r="P431" t="str">
            <v>..</v>
          </cell>
          <cell r="Q431" t="str">
            <v>..</v>
          </cell>
          <cell r="R431" t="str">
            <v>..</v>
          </cell>
          <cell r="S431" t="str">
            <v>..</v>
          </cell>
          <cell r="T431" t="str">
            <v>..</v>
          </cell>
          <cell r="U431" t="str">
            <v>..</v>
          </cell>
          <cell r="V431">
            <v>0</v>
          </cell>
          <cell r="W431">
            <v>0</v>
          </cell>
          <cell r="X431">
            <v>0</v>
          </cell>
          <cell r="Y431" t="str">
            <v>-</v>
          </cell>
          <cell r="Z431" t="str">
            <v>No statutory entitlement</v>
          </cell>
          <cell r="AA431" t="str">
            <v>-</v>
          </cell>
          <cell r="AB431" t="str">
            <v>-</v>
          </cell>
          <cell r="AC431" t="str">
            <v>-</v>
          </cell>
          <cell r="AD431" t="str">
            <v>-</v>
          </cell>
          <cell r="AE431" t="str">
            <v>-</v>
          </cell>
          <cell r="AF431" t="str">
            <v>-</v>
          </cell>
          <cell r="AG431" t="str">
            <v>-</v>
          </cell>
          <cell r="AH431" t="str">
            <v>-</v>
          </cell>
          <cell r="AI431" t="str">
            <v>-</v>
          </cell>
          <cell r="AJ431" t="str">
            <v>-</v>
          </cell>
          <cell r="AK431" t="str">
            <v>-</v>
          </cell>
          <cell r="AL431" t="str">
            <v>-</v>
          </cell>
          <cell r="AM431" t="str">
            <v>-</v>
          </cell>
          <cell r="AN431" t="str">
            <v>-</v>
          </cell>
          <cell r="AO431" t="str">
            <v>-</v>
          </cell>
          <cell r="AP431" t="str">
            <v>-</v>
          </cell>
          <cell r="AQ431" t="str">
            <v>-</v>
          </cell>
          <cell r="AR431" t="str">
            <v>-</v>
          </cell>
          <cell r="AS431" t="str">
            <v>-</v>
          </cell>
          <cell r="AT431" t="str">
            <v>-</v>
          </cell>
          <cell r="AU431" t="str">
            <v>-</v>
          </cell>
          <cell r="AV431" t="str">
            <v>-</v>
          </cell>
          <cell r="AW431" t="str">
            <v>-</v>
          </cell>
          <cell r="AX431" t="str">
            <v>-</v>
          </cell>
          <cell r="AY431" t="str">
            <v>-</v>
          </cell>
          <cell r="AZ431" t="str">
            <v>-</v>
          </cell>
          <cell r="BA431" t="str">
            <v>-</v>
          </cell>
          <cell r="BB431" t="str">
            <v>-</v>
          </cell>
          <cell r="BC431" t="str">
            <v>-</v>
          </cell>
          <cell r="BD431" t="str">
            <v>-</v>
          </cell>
          <cell r="BE431" t="str">
            <v>-</v>
          </cell>
          <cell r="BF431" t="str">
            <v>-</v>
          </cell>
          <cell r="BG431" t="str">
            <v>-</v>
          </cell>
          <cell r="BH431" t="str">
            <v>-</v>
          </cell>
          <cell r="BI431" t="str">
            <v>-</v>
          </cell>
          <cell r="BJ431" t="str">
            <v>-</v>
          </cell>
          <cell r="BK431" t="str">
            <v>-</v>
          </cell>
          <cell r="BL431" t="str">
            <v>-</v>
          </cell>
          <cell r="BM431">
            <v>0</v>
          </cell>
          <cell r="BN431">
            <v>0</v>
          </cell>
          <cell r="BO431" t="str">
            <v>-</v>
          </cell>
          <cell r="BP431" t="str">
            <v>-</v>
          </cell>
          <cell r="BQ431">
            <v>0</v>
          </cell>
          <cell r="BR431">
            <v>0</v>
          </cell>
          <cell r="BS431">
            <v>0</v>
          </cell>
          <cell r="BT431">
            <v>0</v>
          </cell>
        </row>
        <row r="432">
          <cell r="A432" t="str">
            <v>Türkiye2018100 / 100</v>
          </cell>
          <cell r="B432" t="str">
            <v>Türkiye</v>
          </cell>
          <cell r="C432">
            <v>2018</v>
          </cell>
          <cell r="D432" t="str">
            <v>100 / 100</v>
          </cell>
          <cell r="E432">
            <v>49007</v>
          </cell>
          <cell r="F432">
            <v>4083.9166666666665</v>
          </cell>
          <cell r="G432">
            <v>942.44955730428683</v>
          </cell>
          <cell r="H432">
            <v>188.48991146085737</v>
          </cell>
          <cell r="I432">
            <v>49007</v>
          </cell>
          <cell r="J432">
            <v>4083.9166666666665</v>
          </cell>
          <cell r="K432">
            <v>942.44955730428683</v>
          </cell>
          <cell r="L432">
            <v>188.48991146085737</v>
          </cell>
          <cell r="M432" t="str">
            <v>..</v>
          </cell>
          <cell r="N432" t="str">
            <v>..</v>
          </cell>
          <cell r="O432" t="str">
            <v>..</v>
          </cell>
          <cell r="P432" t="str">
            <v>..</v>
          </cell>
          <cell r="Q432" t="str">
            <v>..</v>
          </cell>
          <cell r="R432" t="str">
            <v>..</v>
          </cell>
          <cell r="S432" t="str">
            <v>..</v>
          </cell>
          <cell r="T432" t="str">
            <v>..</v>
          </cell>
          <cell r="U432" t="str">
            <v>..</v>
          </cell>
          <cell r="V432">
            <v>0</v>
          </cell>
          <cell r="W432">
            <v>0</v>
          </cell>
          <cell r="X432">
            <v>0</v>
          </cell>
          <cell r="Y432" t="str">
            <v>-</v>
          </cell>
          <cell r="Z432" t="str">
            <v>No statutory entitlement</v>
          </cell>
          <cell r="AA432" t="str">
            <v>-</v>
          </cell>
          <cell r="AB432" t="str">
            <v>-</v>
          </cell>
          <cell r="AC432" t="str">
            <v>-</v>
          </cell>
          <cell r="AD432" t="str">
            <v>-</v>
          </cell>
          <cell r="AE432" t="str">
            <v>-</v>
          </cell>
          <cell r="AF432" t="str">
            <v>-</v>
          </cell>
          <cell r="AG432" t="str">
            <v>-</v>
          </cell>
          <cell r="AH432" t="str">
            <v>-</v>
          </cell>
          <cell r="AI432" t="str">
            <v>-</v>
          </cell>
          <cell r="AJ432" t="str">
            <v>-</v>
          </cell>
          <cell r="AK432" t="str">
            <v>-</v>
          </cell>
          <cell r="AL432" t="str">
            <v>-</v>
          </cell>
          <cell r="AM432" t="str">
            <v>-</v>
          </cell>
          <cell r="AN432" t="str">
            <v>-</v>
          </cell>
          <cell r="AO432" t="str">
            <v>-</v>
          </cell>
          <cell r="AP432" t="str">
            <v>-</v>
          </cell>
          <cell r="AQ432" t="str">
            <v>-</v>
          </cell>
          <cell r="AR432" t="str">
            <v>-</v>
          </cell>
          <cell r="AS432" t="str">
            <v>-</v>
          </cell>
          <cell r="AT432" t="str">
            <v>-</v>
          </cell>
          <cell r="AU432" t="str">
            <v>-</v>
          </cell>
          <cell r="AV432" t="str">
            <v>-</v>
          </cell>
          <cell r="AW432" t="str">
            <v>-</v>
          </cell>
          <cell r="AX432" t="str">
            <v>-</v>
          </cell>
          <cell r="AY432" t="str">
            <v>-</v>
          </cell>
          <cell r="AZ432" t="str">
            <v>-</v>
          </cell>
          <cell r="BA432" t="str">
            <v>-</v>
          </cell>
          <cell r="BB432" t="str">
            <v>-</v>
          </cell>
          <cell r="BC432" t="str">
            <v>-</v>
          </cell>
          <cell r="BD432" t="str">
            <v>-</v>
          </cell>
          <cell r="BE432" t="str">
            <v>-</v>
          </cell>
          <cell r="BF432" t="str">
            <v>-</v>
          </cell>
          <cell r="BG432" t="str">
            <v>-</v>
          </cell>
          <cell r="BH432" t="str">
            <v>-</v>
          </cell>
          <cell r="BI432" t="str">
            <v>-</v>
          </cell>
          <cell r="BJ432" t="str">
            <v>-</v>
          </cell>
          <cell r="BK432" t="str">
            <v>-</v>
          </cell>
          <cell r="BL432" t="str">
            <v>-</v>
          </cell>
          <cell r="BM432">
            <v>0</v>
          </cell>
          <cell r="BN432">
            <v>0</v>
          </cell>
          <cell r="BO432" t="str">
            <v>-</v>
          </cell>
          <cell r="BP432" t="str">
            <v>-</v>
          </cell>
          <cell r="BQ432">
            <v>0</v>
          </cell>
          <cell r="BR432">
            <v>0</v>
          </cell>
          <cell r="BS432">
            <v>0</v>
          </cell>
          <cell r="BT432">
            <v>0</v>
          </cell>
        </row>
        <row r="433">
          <cell r="A433" t="str">
            <v>Türkiye2019100 / 100</v>
          </cell>
          <cell r="B433" t="str">
            <v>Türkiye</v>
          </cell>
          <cell r="C433">
            <v>2019</v>
          </cell>
          <cell r="D433" t="str">
            <v>100 / 100</v>
          </cell>
          <cell r="E433">
            <v>61841.235000000001</v>
          </cell>
          <cell r="F433">
            <v>5153.4362499999997</v>
          </cell>
          <cell r="G433">
            <v>1189.2636674128262</v>
          </cell>
          <cell r="H433">
            <v>237.85273348256524</v>
          </cell>
          <cell r="I433">
            <v>61841.235000000001</v>
          </cell>
          <cell r="J433">
            <v>5153.4362499999997</v>
          </cell>
          <cell r="K433">
            <v>1189.2636674128262</v>
          </cell>
          <cell r="L433">
            <v>237.85273348256524</v>
          </cell>
          <cell r="M433" t="str">
            <v>..</v>
          </cell>
          <cell r="N433" t="str">
            <v>..</v>
          </cell>
          <cell r="O433" t="str">
            <v>..</v>
          </cell>
          <cell r="P433" t="str">
            <v>..</v>
          </cell>
          <cell r="Q433" t="str">
            <v>..</v>
          </cell>
          <cell r="R433" t="str">
            <v>..</v>
          </cell>
          <cell r="S433" t="str">
            <v>..</v>
          </cell>
          <cell r="T433" t="str">
            <v>..</v>
          </cell>
          <cell r="U433" t="str">
            <v>..</v>
          </cell>
          <cell r="V433">
            <v>0</v>
          </cell>
          <cell r="W433">
            <v>0</v>
          </cell>
          <cell r="X433">
            <v>0</v>
          </cell>
          <cell r="Y433" t="str">
            <v>-</v>
          </cell>
          <cell r="Z433" t="str">
            <v>No statutory entitlement</v>
          </cell>
          <cell r="AA433" t="str">
            <v>-</v>
          </cell>
          <cell r="AB433" t="str">
            <v>-</v>
          </cell>
          <cell r="AC433" t="str">
            <v>-</v>
          </cell>
          <cell r="AD433" t="str">
            <v>-</v>
          </cell>
          <cell r="AE433" t="str">
            <v>-</v>
          </cell>
          <cell r="AF433" t="str">
            <v>-</v>
          </cell>
          <cell r="AG433" t="str">
            <v>-</v>
          </cell>
          <cell r="AH433" t="str">
            <v>-</v>
          </cell>
          <cell r="AI433" t="str">
            <v>-</v>
          </cell>
          <cell r="AJ433" t="str">
            <v>-</v>
          </cell>
          <cell r="AK433" t="str">
            <v>-</v>
          </cell>
          <cell r="AL433" t="str">
            <v>-</v>
          </cell>
          <cell r="AM433" t="str">
            <v>-</v>
          </cell>
          <cell r="AN433" t="str">
            <v>-</v>
          </cell>
          <cell r="AO433" t="str">
            <v>-</v>
          </cell>
          <cell r="AP433" t="str">
            <v>-</v>
          </cell>
          <cell r="AQ433" t="str">
            <v>-</v>
          </cell>
          <cell r="AR433" t="str">
            <v>-</v>
          </cell>
          <cell r="AS433" t="str">
            <v>-</v>
          </cell>
          <cell r="AT433" t="str">
            <v>-</v>
          </cell>
          <cell r="AU433" t="str">
            <v>-</v>
          </cell>
          <cell r="AV433" t="str">
            <v>-</v>
          </cell>
          <cell r="AW433" t="str">
            <v>-</v>
          </cell>
          <cell r="AX433" t="str">
            <v>-</v>
          </cell>
          <cell r="AY433" t="str">
            <v>-</v>
          </cell>
          <cell r="AZ433" t="str">
            <v>-</v>
          </cell>
          <cell r="BA433" t="str">
            <v>-</v>
          </cell>
          <cell r="BB433" t="str">
            <v>-</v>
          </cell>
          <cell r="BC433" t="str">
            <v>-</v>
          </cell>
          <cell r="BD433" t="str">
            <v>-</v>
          </cell>
          <cell r="BE433" t="str">
            <v>-</v>
          </cell>
          <cell r="BF433" t="str">
            <v>-</v>
          </cell>
          <cell r="BG433" t="str">
            <v>-</v>
          </cell>
          <cell r="BH433" t="str">
            <v>-</v>
          </cell>
          <cell r="BI433" t="str">
            <v>-</v>
          </cell>
          <cell r="BJ433" t="str">
            <v>-</v>
          </cell>
          <cell r="BK433" t="str">
            <v>-</v>
          </cell>
          <cell r="BL433" t="str">
            <v>-</v>
          </cell>
          <cell r="BM433">
            <v>0</v>
          </cell>
          <cell r="BN433">
            <v>0</v>
          </cell>
          <cell r="BO433" t="str">
            <v>-</v>
          </cell>
          <cell r="BP433" t="str">
            <v>-</v>
          </cell>
          <cell r="BQ433">
            <v>0</v>
          </cell>
          <cell r="BR433">
            <v>0</v>
          </cell>
          <cell r="BS433">
            <v>0</v>
          </cell>
          <cell r="BT433">
            <v>0</v>
          </cell>
        </row>
        <row r="434">
          <cell r="A434" t="str">
            <v>Türkiye2020100 / 100</v>
          </cell>
          <cell r="B434" t="str">
            <v>Türkiye</v>
          </cell>
          <cell r="C434">
            <v>2020</v>
          </cell>
          <cell r="D434" t="str">
            <v>100 / 100</v>
          </cell>
          <cell r="E434">
            <v>72933</v>
          </cell>
          <cell r="F434">
            <v>6077.75</v>
          </cell>
          <cell r="G434">
            <v>1402.5684812960098</v>
          </cell>
          <cell r="H434">
            <v>280.51369625920199</v>
          </cell>
          <cell r="I434">
            <v>72933</v>
          </cell>
          <cell r="J434">
            <v>6077.75</v>
          </cell>
          <cell r="K434">
            <v>1402.5684812960098</v>
          </cell>
          <cell r="L434">
            <v>280.51369625920199</v>
          </cell>
          <cell r="M434" t="str">
            <v>..</v>
          </cell>
          <cell r="N434" t="str">
            <v>..</v>
          </cell>
          <cell r="O434" t="str">
            <v>..</v>
          </cell>
          <cell r="P434" t="str">
            <v>..</v>
          </cell>
          <cell r="Q434" t="str">
            <v>..</v>
          </cell>
          <cell r="R434" t="str">
            <v>..</v>
          </cell>
          <cell r="S434" t="str">
            <v>..</v>
          </cell>
          <cell r="T434" t="str">
            <v>..</v>
          </cell>
          <cell r="U434" t="str">
            <v>..</v>
          </cell>
          <cell r="V434">
            <v>0</v>
          </cell>
          <cell r="W434">
            <v>0</v>
          </cell>
          <cell r="X434">
            <v>0</v>
          </cell>
          <cell r="Y434" t="str">
            <v>-</v>
          </cell>
          <cell r="Z434" t="str">
            <v>No statutory entitlement</v>
          </cell>
          <cell r="AA434" t="str">
            <v>-</v>
          </cell>
          <cell r="AB434" t="str">
            <v>-</v>
          </cell>
          <cell r="AC434" t="str">
            <v>-</v>
          </cell>
          <cell r="AD434" t="str">
            <v>-</v>
          </cell>
          <cell r="AE434" t="str">
            <v>-</v>
          </cell>
          <cell r="AF434" t="str">
            <v>-</v>
          </cell>
          <cell r="AG434" t="str">
            <v>-</v>
          </cell>
          <cell r="AH434" t="str">
            <v>-</v>
          </cell>
          <cell r="AI434" t="str">
            <v>-</v>
          </cell>
          <cell r="AJ434" t="str">
            <v>-</v>
          </cell>
          <cell r="AK434" t="str">
            <v>-</v>
          </cell>
          <cell r="AL434" t="str">
            <v>-</v>
          </cell>
          <cell r="AM434" t="str">
            <v>-</v>
          </cell>
          <cell r="AN434" t="str">
            <v>-</v>
          </cell>
          <cell r="AO434" t="str">
            <v>-</v>
          </cell>
          <cell r="AP434" t="str">
            <v>-</v>
          </cell>
          <cell r="AQ434" t="str">
            <v>-</v>
          </cell>
          <cell r="AR434" t="str">
            <v>-</v>
          </cell>
          <cell r="AS434" t="str">
            <v>-</v>
          </cell>
          <cell r="AT434" t="str">
            <v>-</v>
          </cell>
          <cell r="AU434" t="str">
            <v>-</v>
          </cell>
          <cell r="AV434" t="str">
            <v>-</v>
          </cell>
          <cell r="AW434" t="str">
            <v>-</v>
          </cell>
          <cell r="AX434" t="str">
            <v>-</v>
          </cell>
          <cell r="AY434" t="str">
            <v>-</v>
          </cell>
          <cell r="AZ434" t="str">
            <v>-</v>
          </cell>
          <cell r="BA434" t="str">
            <v>-</v>
          </cell>
          <cell r="BB434" t="str">
            <v>-</v>
          </cell>
          <cell r="BC434" t="str">
            <v>-</v>
          </cell>
          <cell r="BD434" t="str">
            <v>-</v>
          </cell>
          <cell r="BE434" t="str">
            <v>-</v>
          </cell>
          <cell r="BF434" t="str">
            <v>-</v>
          </cell>
          <cell r="BG434" t="str">
            <v>-</v>
          </cell>
          <cell r="BH434" t="str">
            <v>-</v>
          </cell>
          <cell r="BI434" t="str">
            <v>-</v>
          </cell>
          <cell r="BJ434" t="str">
            <v>-</v>
          </cell>
          <cell r="BK434" t="str">
            <v>-</v>
          </cell>
          <cell r="BL434" t="str">
            <v>-</v>
          </cell>
          <cell r="BM434">
            <v>0</v>
          </cell>
          <cell r="BN434">
            <v>0</v>
          </cell>
          <cell r="BO434" t="str">
            <v>-</v>
          </cell>
          <cell r="BP434" t="str">
            <v>-</v>
          </cell>
          <cell r="BQ434">
            <v>0</v>
          </cell>
          <cell r="BR434">
            <v>0</v>
          </cell>
          <cell r="BS434">
            <v>0</v>
          </cell>
          <cell r="BT434">
            <v>0</v>
          </cell>
        </row>
        <row r="435">
          <cell r="A435" t="str">
            <v>Türkiye2021100 / 100</v>
          </cell>
          <cell r="B435" t="str">
            <v>Türkiye</v>
          </cell>
          <cell r="C435">
            <v>2021</v>
          </cell>
          <cell r="D435" t="str">
            <v>100 / 100</v>
          </cell>
          <cell r="E435">
            <v>87000</v>
          </cell>
          <cell r="F435">
            <v>7250</v>
          </cell>
          <cell r="G435">
            <v>1673.0897929984076</v>
          </cell>
          <cell r="H435">
            <v>334.61795859968151</v>
          </cell>
          <cell r="I435">
            <v>87000</v>
          </cell>
          <cell r="J435">
            <v>7250</v>
          </cell>
          <cell r="K435">
            <v>1673.0897929984076</v>
          </cell>
          <cell r="L435">
            <v>334.61795859968151</v>
          </cell>
          <cell r="M435" t="str">
            <v>..</v>
          </cell>
          <cell r="N435" t="str">
            <v>..</v>
          </cell>
          <cell r="O435" t="str">
            <v>..</v>
          </cell>
          <cell r="P435" t="str">
            <v>..</v>
          </cell>
          <cell r="Q435" t="str">
            <v>..</v>
          </cell>
          <cell r="R435" t="str">
            <v>..</v>
          </cell>
          <cell r="S435" t="str">
            <v>..</v>
          </cell>
          <cell r="T435" t="str">
            <v>..</v>
          </cell>
          <cell r="U435" t="str">
            <v>..</v>
          </cell>
          <cell r="V435">
            <v>0</v>
          </cell>
          <cell r="W435">
            <v>0</v>
          </cell>
          <cell r="X435">
            <v>0</v>
          </cell>
          <cell r="Y435" t="str">
            <v>-</v>
          </cell>
          <cell r="Z435" t="str">
            <v>No statutory entitlement</v>
          </cell>
          <cell r="AA435" t="str">
            <v>-</v>
          </cell>
          <cell r="AB435" t="str">
            <v>-</v>
          </cell>
          <cell r="AC435" t="str">
            <v>-</v>
          </cell>
          <cell r="AD435" t="str">
            <v>-</v>
          </cell>
          <cell r="AE435" t="str">
            <v>-</v>
          </cell>
          <cell r="AF435" t="str">
            <v>-</v>
          </cell>
          <cell r="AG435" t="str">
            <v>-</v>
          </cell>
          <cell r="AH435" t="str">
            <v>-</v>
          </cell>
          <cell r="AI435" t="str">
            <v>-</v>
          </cell>
          <cell r="AJ435" t="str">
            <v>-</v>
          </cell>
          <cell r="AK435" t="str">
            <v>-</v>
          </cell>
          <cell r="AL435" t="str">
            <v>-</v>
          </cell>
          <cell r="AM435" t="str">
            <v>-</v>
          </cell>
          <cell r="AN435" t="str">
            <v>-</v>
          </cell>
          <cell r="AO435" t="str">
            <v>-</v>
          </cell>
          <cell r="AP435" t="str">
            <v>-</v>
          </cell>
          <cell r="AQ435" t="str">
            <v>-</v>
          </cell>
          <cell r="AR435" t="str">
            <v>-</v>
          </cell>
          <cell r="AS435" t="str">
            <v>-</v>
          </cell>
          <cell r="AT435" t="str">
            <v>-</v>
          </cell>
          <cell r="AU435" t="str">
            <v>-</v>
          </cell>
          <cell r="AV435" t="str">
            <v>-</v>
          </cell>
          <cell r="AW435" t="str">
            <v>-</v>
          </cell>
          <cell r="AX435" t="str">
            <v>-</v>
          </cell>
          <cell r="AY435" t="str">
            <v>-</v>
          </cell>
          <cell r="AZ435" t="str">
            <v>-</v>
          </cell>
          <cell r="BA435" t="str">
            <v>-</v>
          </cell>
          <cell r="BB435" t="str">
            <v>-</v>
          </cell>
          <cell r="BC435" t="str">
            <v>-</v>
          </cell>
          <cell r="BD435" t="str">
            <v>-</v>
          </cell>
          <cell r="BE435" t="str">
            <v>-</v>
          </cell>
          <cell r="BF435" t="str">
            <v>-</v>
          </cell>
          <cell r="BG435" t="str">
            <v>-</v>
          </cell>
          <cell r="BH435" t="str">
            <v>-</v>
          </cell>
          <cell r="BI435" t="str">
            <v>-</v>
          </cell>
          <cell r="BJ435" t="str">
            <v>-</v>
          </cell>
          <cell r="BK435" t="str">
            <v>-</v>
          </cell>
          <cell r="BL435" t="str">
            <v>-</v>
          </cell>
          <cell r="BM435">
            <v>0</v>
          </cell>
          <cell r="BN435">
            <v>0</v>
          </cell>
          <cell r="BO435" t="str">
            <v>-</v>
          </cell>
          <cell r="BP435" t="str">
            <v>-</v>
          </cell>
          <cell r="BQ435">
            <v>0</v>
          </cell>
          <cell r="BR435">
            <v>0</v>
          </cell>
          <cell r="BS435">
            <v>0</v>
          </cell>
          <cell r="BT435">
            <v>0</v>
          </cell>
        </row>
        <row r="436">
          <cell r="A436" t="str">
            <v>Türkiye2022100 / 100</v>
          </cell>
          <cell r="B436" t="str">
            <v>Türkiye</v>
          </cell>
          <cell r="C436">
            <v>2022</v>
          </cell>
          <cell r="D436" t="str">
            <v>100 / 100</v>
          </cell>
          <cell r="E436">
            <v>150661</v>
          </cell>
          <cell r="F436">
            <v>12555.083333333334</v>
          </cell>
          <cell r="G436">
            <v>2897.3492103785411</v>
          </cell>
          <cell r="H436">
            <v>579.46984207570824</v>
          </cell>
          <cell r="I436">
            <v>150661</v>
          </cell>
          <cell r="J436">
            <v>12555.083333333334</v>
          </cell>
          <cell r="K436">
            <v>2897.3492103785411</v>
          </cell>
          <cell r="L436">
            <v>579.46984207570824</v>
          </cell>
          <cell r="M436" t="str">
            <v>..</v>
          </cell>
          <cell r="N436" t="str">
            <v>..</v>
          </cell>
          <cell r="O436" t="str">
            <v>..</v>
          </cell>
          <cell r="P436" t="str">
            <v>..</v>
          </cell>
          <cell r="Q436" t="str">
            <v>..</v>
          </cell>
          <cell r="R436" t="str">
            <v>..</v>
          </cell>
          <cell r="S436" t="str">
            <v>..</v>
          </cell>
          <cell r="T436" t="str">
            <v>..</v>
          </cell>
          <cell r="U436" t="str">
            <v>..</v>
          </cell>
          <cell r="V436">
            <v>0</v>
          </cell>
          <cell r="W436">
            <v>0</v>
          </cell>
          <cell r="X436">
            <v>0</v>
          </cell>
          <cell r="Y436" t="str">
            <v>-</v>
          </cell>
          <cell r="Z436" t="str">
            <v>No statutory entitlement</v>
          </cell>
          <cell r="AA436" t="str">
            <v>-</v>
          </cell>
          <cell r="AB436" t="str">
            <v>-</v>
          </cell>
          <cell r="AC436" t="str">
            <v>-</v>
          </cell>
          <cell r="AD436" t="str">
            <v>-</v>
          </cell>
          <cell r="AE436" t="str">
            <v>-</v>
          </cell>
          <cell r="AF436" t="str">
            <v>-</v>
          </cell>
          <cell r="AG436" t="str">
            <v>-</v>
          </cell>
          <cell r="AH436" t="str">
            <v>-</v>
          </cell>
          <cell r="AI436" t="str">
            <v>-</v>
          </cell>
          <cell r="AJ436" t="str">
            <v>-</v>
          </cell>
          <cell r="AK436" t="str">
            <v>-</v>
          </cell>
          <cell r="AL436" t="str">
            <v>-</v>
          </cell>
          <cell r="AM436" t="str">
            <v>-</v>
          </cell>
          <cell r="AN436" t="str">
            <v>-</v>
          </cell>
          <cell r="AO436" t="str">
            <v>-</v>
          </cell>
          <cell r="AP436" t="str">
            <v>-</v>
          </cell>
          <cell r="AQ436" t="str">
            <v>-</v>
          </cell>
          <cell r="AR436" t="str">
            <v>-</v>
          </cell>
          <cell r="AS436" t="str">
            <v>-</v>
          </cell>
          <cell r="AT436" t="str">
            <v>-</v>
          </cell>
          <cell r="AU436" t="str">
            <v>-</v>
          </cell>
          <cell r="AV436" t="str">
            <v>-</v>
          </cell>
          <cell r="AW436" t="str">
            <v>-</v>
          </cell>
          <cell r="AX436" t="str">
            <v>-</v>
          </cell>
          <cell r="AY436" t="str">
            <v>-</v>
          </cell>
          <cell r="AZ436" t="str">
            <v>-</v>
          </cell>
          <cell r="BA436" t="str">
            <v>-</v>
          </cell>
          <cell r="BB436" t="str">
            <v>-</v>
          </cell>
          <cell r="BC436" t="str">
            <v>-</v>
          </cell>
          <cell r="BD436" t="str">
            <v>-</v>
          </cell>
          <cell r="BE436" t="str">
            <v>-</v>
          </cell>
          <cell r="BF436" t="str">
            <v>-</v>
          </cell>
          <cell r="BG436" t="str">
            <v>-</v>
          </cell>
          <cell r="BH436" t="str">
            <v>-</v>
          </cell>
          <cell r="BI436" t="str">
            <v>-</v>
          </cell>
          <cell r="BJ436" t="str">
            <v>-</v>
          </cell>
          <cell r="BK436" t="str">
            <v>-</v>
          </cell>
          <cell r="BL436" t="str">
            <v>-</v>
          </cell>
          <cell r="BM436">
            <v>0</v>
          </cell>
          <cell r="BN436">
            <v>0</v>
          </cell>
          <cell r="BO436" t="str">
            <v>-</v>
          </cell>
          <cell r="BP436" t="str">
            <v>-</v>
          </cell>
          <cell r="BQ436">
            <v>0</v>
          </cell>
          <cell r="BR436">
            <v>0</v>
          </cell>
          <cell r="BS436">
            <v>0</v>
          </cell>
          <cell r="BT436">
            <v>0</v>
          </cell>
        </row>
        <row r="437">
          <cell r="A437" t="str">
            <v>Türkiye2023100 / 100</v>
          </cell>
          <cell r="B437" t="str">
            <v>Türkiye</v>
          </cell>
          <cell r="C437">
            <v>2023</v>
          </cell>
          <cell r="D437" t="str">
            <v>100 / 100</v>
          </cell>
          <cell r="E437">
            <v>319067.90999999997</v>
          </cell>
          <cell r="F437">
            <v>26588.992499999997</v>
          </cell>
          <cell r="G437">
            <v>6135.96854591189</v>
          </cell>
          <cell r="H437">
            <v>1227.1937091823779</v>
          </cell>
          <cell r="I437">
            <v>319067.90999999997</v>
          </cell>
          <cell r="J437">
            <v>26588.992499999997</v>
          </cell>
          <cell r="K437">
            <v>6135.96854591189</v>
          </cell>
          <cell r="L437">
            <v>1227.1937091823779</v>
          </cell>
          <cell r="M437" t="str">
            <v>..</v>
          </cell>
          <cell r="N437" t="str">
            <v>..</v>
          </cell>
          <cell r="O437" t="str">
            <v>..</v>
          </cell>
          <cell r="P437" t="str">
            <v>..</v>
          </cell>
          <cell r="Q437" t="str">
            <v>..</v>
          </cell>
          <cell r="R437" t="str">
            <v>..</v>
          </cell>
          <cell r="S437" t="str">
            <v>..</v>
          </cell>
          <cell r="T437" t="str">
            <v>..</v>
          </cell>
          <cell r="U437" t="str">
            <v>..</v>
          </cell>
          <cell r="V437">
            <v>0</v>
          </cell>
          <cell r="W437">
            <v>0</v>
          </cell>
          <cell r="X437">
            <v>0</v>
          </cell>
          <cell r="Y437" t="str">
            <v>-</v>
          </cell>
          <cell r="Z437" t="str">
            <v>No statutory entitlement</v>
          </cell>
          <cell r="AA437" t="str">
            <v>-</v>
          </cell>
          <cell r="AB437" t="str">
            <v>-</v>
          </cell>
          <cell r="AC437" t="str">
            <v>-</v>
          </cell>
          <cell r="AD437" t="str">
            <v>-</v>
          </cell>
          <cell r="AE437" t="str">
            <v>-</v>
          </cell>
          <cell r="AF437" t="str">
            <v>-</v>
          </cell>
          <cell r="AG437" t="str">
            <v>-</v>
          </cell>
          <cell r="AH437" t="str">
            <v>-</v>
          </cell>
          <cell r="AI437" t="str">
            <v>-</v>
          </cell>
          <cell r="AJ437" t="str">
            <v>-</v>
          </cell>
          <cell r="AK437" t="str">
            <v>-</v>
          </cell>
          <cell r="AL437" t="str">
            <v>-</v>
          </cell>
          <cell r="AM437" t="str">
            <v>-</v>
          </cell>
          <cell r="AN437" t="str">
            <v>-</v>
          </cell>
          <cell r="AO437" t="str">
            <v>-</v>
          </cell>
          <cell r="AP437" t="str">
            <v>-</v>
          </cell>
          <cell r="AQ437" t="str">
            <v>-</v>
          </cell>
          <cell r="AR437" t="str">
            <v>-</v>
          </cell>
          <cell r="AS437" t="str">
            <v>-</v>
          </cell>
          <cell r="AT437" t="str">
            <v>-</v>
          </cell>
          <cell r="AU437" t="str">
            <v>-</v>
          </cell>
          <cell r="AV437" t="str">
            <v>-</v>
          </cell>
          <cell r="AW437" t="str">
            <v>-</v>
          </cell>
          <cell r="AX437" t="str">
            <v>-</v>
          </cell>
          <cell r="AY437" t="str">
            <v>-</v>
          </cell>
          <cell r="AZ437" t="str">
            <v>-</v>
          </cell>
          <cell r="BA437" t="str">
            <v>-</v>
          </cell>
          <cell r="BB437" t="str">
            <v>-</v>
          </cell>
          <cell r="BC437" t="str">
            <v>-</v>
          </cell>
          <cell r="BD437" t="str">
            <v>-</v>
          </cell>
          <cell r="BE437" t="str">
            <v>-</v>
          </cell>
          <cell r="BF437" t="str">
            <v>-</v>
          </cell>
          <cell r="BG437" t="str">
            <v>-</v>
          </cell>
          <cell r="BH437" t="str">
            <v>-</v>
          </cell>
          <cell r="BI437" t="str">
            <v>-</v>
          </cell>
          <cell r="BJ437" t="str">
            <v>-</v>
          </cell>
          <cell r="BK437" t="str">
            <v>-</v>
          </cell>
          <cell r="BL437" t="str">
            <v>-</v>
          </cell>
          <cell r="BM437">
            <v>0</v>
          </cell>
          <cell r="BN437">
            <v>0</v>
          </cell>
          <cell r="BO437" t="str">
            <v>-</v>
          </cell>
          <cell r="BP437" t="str">
            <v>-</v>
          </cell>
          <cell r="BQ437">
            <v>0</v>
          </cell>
          <cell r="BR437">
            <v>0</v>
          </cell>
          <cell r="BS437">
            <v>0</v>
          </cell>
          <cell r="BT437">
            <v>0</v>
          </cell>
        </row>
        <row r="438">
          <cell r="A438" t="str">
            <v>Türkiye2024100 / 100</v>
          </cell>
          <cell r="B438" t="str">
            <v>Türkiye</v>
          </cell>
          <cell r="C438">
            <v>2024</v>
          </cell>
          <cell r="D438" t="str">
            <v>100 / 100</v>
          </cell>
          <cell r="E438">
            <v>568151.31000000006</v>
          </cell>
          <cell r="F438">
            <v>47345.942500000005</v>
          </cell>
          <cell r="G438">
            <v>10926.070777467519</v>
          </cell>
          <cell r="H438">
            <v>2185.2141554935038</v>
          </cell>
          <cell r="I438">
            <v>568151.31000000006</v>
          </cell>
          <cell r="J438">
            <v>47345.942500000005</v>
          </cell>
          <cell r="K438">
            <v>10926.070777467519</v>
          </cell>
          <cell r="L438">
            <v>2185.2141554935038</v>
          </cell>
          <cell r="M438" t="str">
            <v>..</v>
          </cell>
          <cell r="N438" t="str">
            <v>..</v>
          </cell>
          <cell r="O438" t="str">
            <v>..</v>
          </cell>
          <cell r="P438" t="str">
            <v>..</v>
          </cell>
          <cell r="Q438" t="str">
            <v>..</v>
          </cell>
          <cell r="R438" t="str">
            <v>..</v>
          </cell>
          <cell r="S438" t="str">
            <v>..</v>
          </cell>
          <cell r="T438" t="str">
            <v>..</v>
          </cell>
          <cell r="U438" t="str">
            <v>..</v>
          </cell>
          <cell r="V438">
            <v>0</v>
          </cell>
          <cell r="W438">
            <v>0</v>
          </cell>
          <cell r="X438">
            <v>0</v>
          </cell>
          <cell r="Y438" t="str">
            <v>-</v>
          </cell>
          <cell r="Z438" t="str">
            <v>No statutory entitlement</v>
          </cell>
          <cell r="AA438" t="str">
            <v>-</v>
          </cell>
          <cell r="AB438" t="str">
            <v>-</v>
          </cell>
          <cell r="AC438" t="str">
            <v>-</v>
          </cell>
          <cell r="AD438" t="str">
            <v>-</v>
          </cell>
          <cell r="AE438" t="str">
            <v>-</v>
          </cell>
          <cell r="AF438" t="str">
            <v>-</v>
          </cell>
          <cell r="AG438" t="str">
            <v>-</v>
          </cell>
          <cell r="AH438" t="str">
            <v>-</v>
          </cell>
          <cell r="AI438" t="str">
            <v>-</v>
          </cell>
          <cell r="AJ438" t="str">
            <v>-</v>
          </cell>
          <cell r="AK438" t="str">
            <v>-</v>
          </cell>
          <cell r="AL438" t="str">
            <v>-</v>
          </cell>
          <cell r="AM438" t="str">
            <v>-</v>
          </cell>
          <cell r="AN438" t="str">
            <v>-</v>
          </cell>
          <cell r="AO438" t="str">
            <v>-</v>
          </cell>
          <cell r="AP438" t="str">
            <v>-</v>
          </cell>
          <cell r="AQ438" t="str">
            <v>-</v>
          </cell>
          <cell r="AR438" t="str">
            <v>-</v>
          </cell>
          <cell r="AS438" t="str">
            <v>-</v>
          </cell>
          <cell r="AT438" t="str">
            <v>-</v>
          </cell>
          <cell r="AU438" t="str">
            <v>-</v>
          </cell>
          <cell r="AV438" t="str">
            <v>-</v>
          </cell>
          <cell r="AW438" t="str">
            <v>-</v>
          </cell>
          <cell r="AX438" t="str">
            <v>-</v>
          </cell>
          <cell r="AY438" t="str">
            <v>-</v>
          </cell>
          <cell r="AZ438" t="str">
            <v>-</v>
          </cell>
          <cell r="BA438" t="str">
            <v>-</v>
          </cell>
          <cell r="BB438" t="str">
            <v>-</v>
          </cell>
          <cell r="BC438" t="str">
            <v>-</v>
          </cell>
          <cell r="BD438" t="str">
            <v>-</v>
          </cell>
          <cell r="BE438" t="str">
            <v>-</v>
          </cell>
          <cell r="BF438" t="str">
            <v>-</v>
          </cell>
          <cell r="BG438" t="str">
            <v>-</v>
          </cell>
          <cell r="BH438" t="str">
            <v>-</v>
          </cell>
          <cell r="BI438" t="str">
            <v>-</v>
          </cell>
          <cell r="BJ438" t="str">
            <v>-</v>
          </cell>
          <cell r="BK438" t="str">
            <v>-</v>
          </cell>
          <cell r="BL438" t="str">
            <v>-</v>
          </cell>
          <cell r="BM438">
            <v>0</v>
          </cell>
          <cell r="BN438">
            <v>0</v>
          </cell>
          <cell r="BO438" t="str">
            <v>-</v>
          </cell>
          <cell r="BP438" t="str">
            <v>-</v>
          </cell>
          <cell r="BQ438">
            <v>0</v>
          </cell>
          <cell r="BR438">
            <v>0</v>
          </cell>
          <cell r="BS438">
            <v>0</v>
          </cell>
          <cell r="BT438">
            <v>0</v>
          </cell>
        </row>
        <row r="439">
          <cell r="A439" t="str">
            <v>Türkiye2025100 / 100</v>
          </cell>
          <cell r="B439" t="str">
            <v>Türkiye</v>
          </cell>
          <cell r="C439">
            <v>2025</v>
          </cell>
          <cell r="D439" t="str">
            <v>100 / 100</v>
          </cell>
          <cell r="E439">
            <v>568151.31000000006</v>
          </cell>
          <cell r="F439">
            <v>47345.942500000005</v>
          </cell>
          <cell r="G439">
            <v>10926.070777467519</v>
          </cell>
          <cell r="H439">
            <v>2185.2141554935038</v>
          </cell>
          <cell r="I439">
            <v>568151.31000000006</v>
          </cell>
          <cell r="J439">
            <v>47345.942500000005</v>
          </cell>
          <cell r="K439">
            <v>10926.070777467519</v>
          </cell>
          <cell r="L439">
            <v>2185.2141554935038</v>
          </cell>
          <cell r="M439" t="str">
            <v>..</v>
          </cell>
          <cell r="N439" t="str">
            <v>..</v>
          </cell>
          <cell r="O439" t="str">
            <v>..</v>
          </cell>
          <cell r="P439" t="str">
            <v>..</v>
          </cell>
          <cell r="Q439" t="str">
            <v>..</v>
          </cell>
          <cell r="R439" t="str">
            <v>..</v>
          </cell>
          <cell r="S439" t="str">
            <v>..</v>
          </cell>
          <cell r="T439" t="str">
            <v>..</v>
          </cell>
          <cell r="U439" t="str">
            <v>..</v>
          </cell>
          <cell r="V439">
            <v>0</v>
          </cell>
          <cell r="W439">
            <v>0</v>
          </cell>
          <cell r="X439">
            <v>0</v>
          </cell>
          <cell r="Y439" t="str">
            <v>-</v>
          </cell>
          <cell r="Z439" t="str">
            <v>No statutory entitlement</v>
          </cell>
          <cell r="AA439" t="str">
            <v>-</v>
          </cell>
          <cell r="AB439" t="str">
            <v>-</v>
          </cell>
          <cell r="AC439" t="str">
            <v>-</v>
          </cell>
          <cell r="AD439" t="str">
            <v>-</v>
          </cell>
          <cell r="AE439" t="str">
            <v>-</v>
          </cell>
          <cell r="AF439" t="str">
            <v>-</v>
          </cell>
          <cell r="AG439" t="str">
            <v>-</v>
          </cell>
          <cell r="AH439" t="str">
            <v>-</v>
          </cell>
          <cell r="AI439" t="str">
            <v>-</v>
          </cell>
          <cell r="AJ439" t="str">
            <v>-</v>
          </cell>
          <cell r="AK439" t="str">
            <v>-</v>
          </cell>
          <cell r="AL439" t="str">
            <v>-</v>
          </cell>
          <cell r="AM439" t="str">
            <v>-</v>
          </cell>
          <cell r="AN439" t="str">
            <v>-</v>
          </cell>
          <cell r="AO439" t="str">
            <v>-</v>
          </cell>
          <cell r="AP439" t="str">
            <v>-</v>
          </cell>
          <cell r="AQ439" t="str">
            <v>-</v>
          </cell>
          <cell r="AR439" t="str">
            <v>-</v>
          </cell>
          <cell r="AS439" t="str">
            <v>-</v>
          </cell>
          <cell r="AT439" t="str">
            <v>-</v>
          </cell>
          <cell r="AU439" t="str">
            <v>-</v>
          </cell>
          <cell r="AV439" t="str">
            <v>-</v>
          </cell>
          <cell r="AW439" t="str">
            <v>-</v>
          </cell>
          <cell r="AX439" t="str">
            <v>-</v>
          </cell>
          <cell r="AY439" t="str">
            <v>-</v>
          </cell>
          <cell r="AZ439" t="str">
            <v>-</v>
          </cell>
          <cell r="BA439" t="str">
            <v>-</v>
          </cell>
          <cell r="BB439" t="str">
            <v>-</v>
          </cell>
          <cell r="BC439" t="str">
            <v>-</v>
          </cell>
          <cell r="BD439" t="str">
            <v>-</v>
          </cell>
          <cell r="BE439" t="str">
            <v>-</v>
          </cell>
          <cell r="BF439" t="str">
            <v>-</v>
          </cell>
          <cell r="BG439" t="str">
            <v>-</v>
          </cell>
          <cell r="BH439" t="str">
            <v>-</v>
          </cell>
          <cell r="BI439" t="str">
            <v>-</v>
          </cell>
          <cell r="BJ439" t="str">
            <v>-</v>
          </cell>
          <cell r="BK439" t="str">
            <v>-</v>
          </cell>
          <cell r="BL439" t="str">
            <v>-</v>
          </cell>
          <cell r="BM439">
            <v>0</v>
          </cell>
          <cell r="BN439">
            <v>0</v>
          </cell>
          <cell r="BO439" t="str">
            <v>-</v>
          </cell>
          <cell r="BP439" t="str">
            <v>-</v>
          </cell>
          <cell r="BQ439">
            <v>0</v>
          </cell>
          <cell r="BR439">
            <v>0</v>
          </cell>
          <cell r="BS439">
            <v>0</v>
          </cell>
          <cell r="BT439">
            <v>0</v>
          </cell>
        </row>
        <row r="440">
          <cell r="A440" t="str">
            <v>United Kingdom2014100 / 100</v>
          </cell>
          <cell r="B440" t="str">
            <v>United Kingdom</v>
          </cell>
          <cell r="C440">
            <v>2014</v>
          </cell>
          <cell r="D440" t="str">
            <v>100 / 100</v>
          </cell>
          <cell r="E440">
            <v>35120</v>
          </cell>
          <cell r="F440">
            <v>2926.6666666666665</v>
          </cell>
          <cell r="G440">
            <v>675.38981069085139</v>
          </cell>
          <cell r="H440">
            <v>135.07796213817028</v>
          </cell>
          <cell r="I440">
            <v>35120</v>
          </cell>
          <cell r="J440">
            <v>2926.6666666666665</v>
          </cell>
          <cell r="K440">
            <v>675.38981069085139</v>
          </cell>
          <cell r="L440">
            <v>135.07796213817028</v>
          </cell>
          <cell r="M440" t="str">
            <v>..</v>
          </cell>
          <cell r="N440" t="str">
            <v>..</v>
          </cell>
          <cell r="O440" t="str">
            <v>..</v>
          </cell>
          <cell r="P440" t="str">
            <v>..</v>
          </cell>
          <cell r="Q440" t="str">
            <v>..</v>
          </cell>
          <cell r="R440" t="str">
            <v>..</v>
          </cell>
          <cell r="S440" t="str">
            <v>..</v>
          </cell>
          <cell r="T440" t="str">
            <v>..</v>
          </cell>
          <cell r="U440" t="str">
            <v>..</v>
          </cell>
          <cell r="V440">
            <v>18</v>
          </cell>
          <cell r="W440">
            <v>0</v>
          </cell>
          <cell r="X440">
            <v>18</v>
          </cell>
          <cell r="Y440" t="str">
            <v>-</v>
          </cell>
          <cell r="Z440" t="str">
            <v>Parental leave is unpaid</v>
          </cell>
          <cell r="AA440" t="str">
            <v>-</v>
          </cell>
          <cell r="AB440" t="str">
            <v>-</v>
          </cell>
          <cell r="AC440" t="str">
            <v>-</v>
          </cell>
          <cell r="AD440" t="str">
            <v>-</v>
          </cell>
          <cell r="AE440" t="str">
            <v>-</v>
          </cell>
          <cell r="AF440" t="str">
            <v>-</v>
          </cell>
          <cell r="AG440" t="str">
            <v>-</v>
          </cell>
          <cell r="AH440" t="str">
            <v>-</v>
          </cell>
          <cell r="AI440" t="str">
            <v>-</v>
          </cell>
          <cell r="AJ440" t="str">
            <v>-</v>
          </cell>
          <cell r="AK440" t="str">
            <v>-</v>
          </cell>
          <cell r="AL440" t="str">
            <v>-</v>
          </cell>
          <cell r="AM440" t="str">
            <v>-</v>
          </cell>
          <cell r="AN440" t="str">
            <v>-</v>
          </cell>
          <cell r="AO440" t="str">
            <v>-</v>
          </cell>
          <cell r="AP440" t="str">
            <v>-</v>
          </cell>
          <cell r="AQ440" t="str">
            <v>-</v>
          </cell>
          <cell r="AR440" t="str">
            <v>-</v>
          </cell>
          <cell r="AS440" t="str">
            <v>-</v>
          </cell>
          <cell r="AT440" t="str">
            <v>-</v>
          </cell>
          <cell r="AU440" t="str">
            <v>-</v>
          </cell>
          <cell r="AV440" t="str">
            <v>-</v>
          </cell>
          <cell r="AW440" t="str">
            <v>-</v>
          </cell>
          <cell r="AX440" t="str">
            <v>-</v>
          </cell>
          <cell r="AY440" t="str">
            <v>-</v>
          </cell>
          <cell r="AZ440" t="str">
            <v>-</v>
          </cell>
          <cell r="BA440" t="str">
            <v>-</v>
          </cell>
          <cell r="BB440" t="str">
            <v>-</v>
          </cell>
          <cell r="BC440" t="str">
            <v>-</v>
          </cell>
          <cell r="BD440" t="str">
            <v>-</v>
          </cell>
          <cell r="BE440" t="str">
            <v>-</v>
          </cell>
          <cell r="BF440" t="str">
            <v>-</v>
          </cell>
          <cell r="BG440" t="str">
            <v>-</v>
          </cell>
          <cell r="BH440" t="str">
            <v>-</v>
          </cell>
          <cell r="BI440" t="str">
            <v>-</v>
          </cell>
          <cell r="BJ440" t="str">
            <v>-</v>
          </cell>
          <cell r="BK440" t="str">
            <v>-</v>
          </cell>
          <cell r="BL440" t="str">
            <v>-</v>
          </cell>
          <cell r="BM440">
            <v>0</v>
          </cell>
          <cell r="BN440">
            <v>0</v>
          </cell>
          <cell r="BO440" t="str">
            <v>-</v>
          </cell>
          <cell r="BP440" t="str">
            <v>-</v>
          </cell>
          <cell r="BQ440">
            <v>0</v>
          </cell>
          <cell r="BR440">
            <v>0</v>
          </cell>
          <cell r="BS440">
            <v>0</v>
          </cell>
          <cell r="BT440">
            <v>0</v>
          </cell>
        </row>
        <row r="441">
          <cell r="A441" t="str">
            <v>United Kingdom2015100 / 100</v>
          </cell>
          <cell r="B441" t="str">
            <v>United Kingdom</v>
          </cell>
          <cell r="C441">
            <v>2015</v>
          </cell>
          <cell r="D441" t="str">
            <v>100 / 100</v>
          </cell>
          <cell r="E441">
            <v>35978</v>
          </cell>
          <cell r="F441">
            <v>2998.1666666666665</v>
          </cell>
          <cell r="G441">
            <v>691.88993761490462</v>
          </cell>
          <cell r="H441">
            <v>138.37798752298093</v>
          </cell>
          <cell r="I441">
            <v>35978</v>
          </cell>
          <cell r="J441">
            <v>2998.1666666666665</v>
          </cell>
          <cell r="K441">
            <v>691.88993761490462</v>
          </cell>
          <cell r="L441">
            <v>138.37798752298093</v>
          </cell>
          <cell r="M441" t="str">
            <v>..</v>
          </cell>
          <cell r="N441" t="str">
            <v>..</v>
          </cell>
          <cell r="O441" t="str">
            <v>..</v>
          </cell>
          <cell r="P441" t="str">
            <v>..</v>
          </cell>
          <cell r="Q441" t="str">
            <v>..</v>
          </cell>
          <cell r="R441" t="str">
            <v>..</v>
          </cell>
          <cell r="S441" t="str">
            <v>..</v>
          </cell>
          <cell r="T441" t="str">
            <v>..</v>
          </cell>
          <cell r="U441" t="str">
            <v>..</v>
          </cell>
          <cell r="V441">
            <v>18</v>
          </cell>
          <cell r="W441">
            <v>0</v>
          </cell>
          <cell r="X441">
            <v>18</v>
          </cell>
          <cell r="Y441" t="str">
            <v>-</v>
          </cell>
          <cell r="Z441" t="str">
            <v>Parental leave is unpaid</v>
          </cell>
          <cell r="AA441" t="str">
            <v>-</v>
          </cell>
          <cell r="AB441" t="str">
            <v>-</v>
          </cell>
          <cell r="AC441" t="str">
            <v>-</v>
          </cell>
          <cell r="AD441" t="str">
            <v>-</v>
          </cell>
          <cell r="AE441" t="str">
            <v>-</v>
          </cell>
          <cell r="AF441" t="str">
            <v>-</v>
          </cell>
          <cell r="AG441" t="str">
            <v>-</v>
          </cell>
          <cell r="AH441" t="str">
            <v>-</v>
          </cell>
          <cell r="AI441" t="str">
            <v>-</v>
          </cell>
          <cell r="AJ441" t="str">
            <v>-</v>
          </cell>
          <cell r="AK441" t="str">
            <v>-</v>
          </cell>
          <cell r="AL441" t="str">
            <v>-</v>
          </cell>
          <cell r="AM441" t="str">
            <v>-</v>
          </cell>
          <cell r="AN441" t="str">
            <v>-</v>
          </cell>
          <cell r="AO441" t="str">
            <v>-</v>
          </cell>
          <cell r="AP441" t="str">
            <v>-</v>
          </cell>
          <cell r="AQ441" t="str">
            <v>-</v>
          </cell>
          <cell r="AR441" t="str">
            <v>-</v>
          </cell>
          <cell r="AS441" t="str">
            <v>-</v>
          </cell>
          <cell r="AT441" t="str">
            <v>-</v>
          </cell>
          <cell r="AU441" t="str">
            <v>-</v>
          </cell>
          <cell r="AV441" t="str">
            <v>-</v>
          </cell>
          <cell r="AW441" t="str">
            <v>-</v>
          </cell>
          <cell r="AX441" t="str">
            <v>-</v>
          </cell>
          <cell r="AY441" t="str">
            <v>-</v>
          </cell>
          <cell r="AZ441" t="str">
            <v>-</v>
          </cell>
          <cell r="BA441" t="str">
            <v>-</v>
          </cell>
          <cell r="BB441" t="str">
            <v>-</v>
          </cell>
          <cell r="BC441" t="str">
            <v>-</v>
          </cell>
          <cell r="BD441" t="str">
            <v>-</v>
          </cell>
          <cell r="BE441" t="str">
            <v>-</v>
          </cell>
          <cell r="BF441" t="str">
            <v>-</v>
          </cell>
          <cell r="BG441" t="str">
            <v>-</v>
          </cell>
          <cell r="BH441" t="str">
            <v>-</v>
          </cell>
          <cell r="BI441" t="str">
            <v>-</v>
          </cell>
          <cell r="BJ441" t="str">
            <v>-</v>
          </cell>
          <cell r="BK441" t="str">
            <v>-</v>
          </cell>
          <cell r="BL441" t="str">
            <v>-</v>
          </cell>
          <cell r="BM441">
            <v>0</v>
          </cell>
          <cell r="BN441">
            <v>0</v>
          </cell>
          <cell r="BO441" t="str">
            <v>-</v>
          </cell>
          <cell r="BP441" t="str">
            <v>-</v>
          </cell>
          <cell r="BQ441">
            <v>0</v>
          </cell>
          <cell r="BR441">
            <v>0</v>
          </cell>
          <cell r="BS441">
            <v>0</v>
          </cell>
          <cell r="BT441">
            <v>0</v>
          </cell>
        </row>
        <row r="442">
          <cell r="A442" t="str">
            <v>United Kingdom2016100 / 100</v>
          </cell>
          <cell r="B442" t="str">
            <v>United Kingdom</v>
          </cell>
          <cell r="C442">
            <v>2016</v>
          </cell>
          <cell r="D442" t="str">
            <v>100 / 100</v>
          </cell>
          <cell r="E442">
            <v>37102</v>
          </cell>
          <cell r="F442">
            <v>3091.8333333333335</v>
          </cell>
          <cell r="G442">
            <v>713.50548850375765</v>
          </cell>
          <cell r="H442">
            <v>142.70109770075152</v>
          </cell>
          <cell r="I442">
            <v>37102</v>
          </cell>
          <cell r="J442">
            <v>3091.8333333333335</v>
          </cell>
          <cell r="K442">
            <v>713.50548850375765</v>
          </cell>
          <cell r="L442">
            <v>142.70109770075152</v>
          </cell>
          <cell r="M442" t="str">
            <v>..</v>
          </cell>
          <cell r="N442" t="str">
            <v>..</v>
          </cell>
          <cell r="O442" t="str">
            <v>..</v>
          </cell>
          <cell r="P442" t="str">
            <v>..</v>
          </cell>
          <cell r="Q442" t="str">
            <v>..</v>
          </cell>
          <cell r="R442" t="str">
            <v>..</v>
          </cell>
          <cell r="S442" t="str">
            <v>..</v>
          </cell>
          <cell r="T442" t="str">
            <v>..</v>
          </cell>
          <cell r="U442" t="str">
            <v>..</v>
          </cell>
          <cell r="V442">
            <v>18</v>
          </cell>
          <cell r="W442">
            <v>0</v>
          </cell>
          <cell r="X442">
            <v>18</v>
          </cell>
          <cell r="Y442" t="str">
            <v>-</v>
          </cell>
          <cell r="Z442" t="str">
            <v>Parental leave is unpaid</v>
          </cell>
          <cell r="AA442" t="str">
            <v>-</v>
          </cell>
          <cell r="AB442" t="str">
            <v>-</v>
          </cell>
          <cell r="AC442" t="str">
            <v>-</v>
          </cell>
          <cell r="AD442" t="str">
            <v>-</v>
          </cell>
          <cell r="AE442" t="str">
            <v>-</v>
          </cell>
          <cell r="AF442" t="str">
            <v>-</v>
          </cell>
          <cell r="AG442" t="str">
            <v>-</v>
          </cell>
          <cell r="AH442" t="str">
            <v>-</v>
          </cell>
          <cell r="AI442" t="str">
            <v>-</v>
          </cell>
          <cell r="AJ442" t="str">
            <v>-</v>
          </cell>
          <cell r="AK442" t="str">
            <v>-</v>
          </cell>
          <cell r="AL442" t="str">
            <v>-</v>
          </cell>
          <cell r="AM442" t="str">
            <v>-</v>
          </cell>
          <cell r="AN442" t="str">
            <v>-</v>
          </cell>
          <cell r="AO442" t="str">
            <v>-</v>
          </cell>
          <cell r="AP442" t="str">
            <v>-</v>
          </cell>
          <cell r="AQ442" t="str">
            <v>-</v>
          </cell>
          <cell r="AR442" t="str">
            <v>-</v>
          </cell>
          <cell r="AS442" t="str">
            <v>-</v>
          </cell>
          <cell r="AT442" t="str">
            <v>-</v>
          </cell>
          <cell r="AU442" t="str">
            <v>-</v>
          </cell>
          <cell r="AV442" t="str">
            <v>-</v>
          </cell>
          <cell r="AW442" t="str">
            <v>-</v>
          </cell>
          <cell r="AX442" t="str">
            <v>-</v>
          </cell>
          <cell r="AY442" t="str">
            <v>-</v>
          </cell>
          <cell r="AZ442" t="str">
            <v>-</v>
          </cell>
          <cell r="BA442" t="str">
            <v>-</v>
          </cell>
          <cell r="BB442" t="str">
            <v>-</v>
          </cell>
          <cell r="BC442" t="str">
            <v>-</v>
          </cell>
          <cell r="BD442" t="str">
            <v>-</v>
          </cell>
          <cell r="BE442" t="str">
            <v>-</v>
          </cell>
          <cell r="BF442" t="str">
            <v>-</v>
          </cell>
          <cell r="BG442" t="str">
            <v>-</v>
          </cell>
          <cell r="BH442" t="str">
            <v>-</v>
          </cell>
          <cell r="BI442" t="str">
            <v>-</v>
          </cell>
          <cell r="BJ442" t="str">
            <v>-</v>
          </cell>
          <cell r="BK442" t="str">
            <v>-</v>
          </cell>
          <cell r="BL442" t="str">
            <v>-</v>
          </cell>
          <cell r="BM442">
            <v>0</v>
          </cell>
          <cell r="BN442">
            <v>0</v>
          </cell>
          <cell r="BO442" t="str">
            <v>-</v>
          </cell>
          <cell r="BP442" t="str">
            <v>-</v>
          </cell>
          <cell r="BQ442">
            <v>0</v>
          </cell>
          <cell r="BR442">
            <v>0</v>
          </cell>
          <cell r="BS442">
            <v>0</v>
          </cell>
          <cell r="BT442">
            <v>0</v>
          </cell>
        </row>
        <row r="443">
          <cell r="A443" t="str">
            <v>United Kingdom2017100 / 100</v>
          </cell>
          <cell r="B443" t="str">
            <v>United Kingdom</v>
          </cell>
          <cell r="C443">
            <v>2017</v>
          </cell>
          <cell r="D443" t="str">
            <v>100 / 100</v>
          </cell>
          <cell r="E443">
            <v>38521</v>
          </cell>
          <cell r="F443">
            <v>3210.0833333333335</v>
          </cell>
          <cell r="G443">
            <v>740.79415995507657</v>
          </cell>
          <cell r="H443">
            <v>148.15883199101532</v>
          </cell>
          <cell r="I443">
            <v>38521</v>
          </cell>
          <cell r="J443">
            <v>3210.0833333333335</v>
          </cell>
          <cell r="K443">
            <v>740.79415995507657</v>
          </cell>
          <cell r="L443">
            <v>148.15883199101532</v>
          </cell>
          <cell r="M443" t="str">
            <v>..</v>
          </cell>
          <cell r="N443" t="str">
            <v>..</v>
          </cell>
          <cell r="O443" t="str">
            <v>..</v>
          </cell>
          <cell r="P443" t="str">
            <v>..</v>
          </cell>
          <cell r="Q443" t="str">
            <v>..</v>
          </cell>
          <cell r="R443" t="str">
            <v>..</v>
          </cell>
          <cell r="S443" t="str">
            <v>..</v>
          </cell>
          <cell r="T443" t="str">
            <v>..</v>
          </cell>
          <cell r="U443" t="str">
            <v>..</v>
          </cell>
          <cell r="V443">
            <v>18</v>
          </cell>
          <cell r="W443">
            <v>0</v>
          </cell>
          <cell r="X443">
            <v>18</v>
          </cell>
          <cell r="Y443" t="str">
            <v>-</v>
          </cell>
          <cell r="Z443" t="str">
            <v>Parental leave is unpaid</v>
          </cell>
          <cell r="AA443" t="str">
            <v>-</v>
          </cell>
          <cell r="AB443" t="str">
            <v>-</v>
          </cell>
          <cell r="AC443" t="str">
            <v>-</v>
          </cell>
          <cell r="AD443" t="str">
            <v>-</v>
          </cell>
          <cell r="AE443" t="str">
            <v>-</v>
          </cell>
          <cell r="AF443" t="str">
            <v>-</v>
          </cell>
          <cell r="AG443" t="str">
            <v>-</v>
          </cell>
          <cell r="AH443" t="str">
            <v>-</v>
          </cell>
          <cell r="AI443" t="str">
            <v>-</v>
          </cell>
          <cell r="AJ443" t="str">
            <v>-</v>
          </cell>
          <cell r="AK443" t="str">
            <v>-</v>
          </cell>
          <cell r="AL443" t="str">
            <v>-</v>
          </cell>
          <cell r="AM443" t="str">
            <v>-</v>
          </cell>
          <cell r="AN443" t="str">
            <v>-</v>
          </cell>
          <cell r="AO443" t="str">
            <v>-</v>
          </cell>
          <cell r="AP443" t="str">
            <v>-</v>
          </cell>
          <cell r="AQ443" t="str">
            <v>-</v>
          </cell>
          <cell r="AR443" t="str">
            <v>-</v>
          </cell>
          <cell r="AS443" t="str">
            <v>-</v>
          </cell>
          <cell r="AT443" t="str">
            <v>-</v>
          </cell>
          <cell r="AU443" t="str">
            <v>-</v>
          </cell>
          <cell r="AV443" t="str">
            <v>-</v>
          </cell>
          <cell r="AW443" t="str">
            <v>-</v>
          </cell>
          <cell r="AX443" t="str">
            <v>-</v>
          </cell>
          <cell r="AY443" t="str">
            <v>-</v>
          </cell>
          <cell r="AZ443" t="str">
            <v>-</v>
          </cell>
          <cell r="BA443" t="str">
            <v>-</v>
          </cell>
          <cell r="BB443" t="str">
            <v>-</v>
          </cell>
          <cell r="BC443" t="str">
            <v>-</v>
          </cell>
          <cell r="BD443" t="str">
            <v>-</v>
          </cell>
          <cell r="BE443" t="str">
            <v>-</v>
          </cell>
          <cell r="BF443" t="str">
            <v>-</v>
          </cell>
          <cell r="BG443" t="str">
            <v>-</v>
          </cell>
          <cell r="BH443" t="str">
            <v>-</v>
          </cell>
          <cell r="BI443" t="str">
            <v>-</v>
          </cell>
          <cell r="BJ443" t="str">
            <v>-</v>
          </cell>
          <cell r="BK443" t="str">
            <v>-</v>
          </cell>
          <cell r="BL443" t="str">
            <v>-</v>
          </cell>
          <cell r="BM443">
            <v>0</v>
          </cell>
          <cell r="BN443">
            <v>0</v>
          </cell>
          <cell r="BO443" t="str">
            <v>-</v>
          </cell>
          <cell r="BP443" t="str">
            <v>-</v>
          </cell>
          <cell r="BQ443">
            <v>0</v>
          </cell>
          <cell r="BR443">
            <v>0</v>
          </cell>
          <cell r="BS443">
            <v>0</v>
          </cell>
          <cell r="BT443">
            <v>0</v>
          </cell>
        </row>
        <row r="444">
          <cell r="A444" t="str">
            <v>United Kingdom2018100 / 100</v>
          </cell>
          <cell r="B444" t="str">
            <v>United Kingdom</v>
          </cell>
          <cell r="C444">
            <v>2018</v>
          </cell>
          <cell r="D444" t="str">
            <v>100 / 100</v>
          </cell>
          <cell r="E444">
            <v>39626</v>
          </cell>
          <cell r="F444">
            <v>3302.1666666666665</v>
          </cell>
          <cell r="G444">
            <v>762.04432341787231</v>
          </cell>
          <cell r="H444">
            <v>152.40886468357445</v>
          </cell>
          <cell r="I444">
            <v>39626</v>
          </cell>
          <cell r="J444">
            <v>3302.1666666666665</v>
          </cell>
          <cell r="K444">
            <v>762.04432341787231</v>
          </cell>
          <cell r="L444">
            <v>152.40886468357445</v>
          </cell>
          <cell r="M444" t="str">
            <v>..</v>
          </cell>
          <cell r="N444" t="str">
            <v>..</v>
          </cell>
          <cell r="O444" t="str">
            <v>..</v>
          </cell>
          <cell r="P444" t="str">
            <v>..</v>
          </cell>
          <cell r="Q444" t="str">
            <v>..</v>
          </cell>
          <cell r="R444" t="str">
            <v>..</v>
          </cell>
          <cell r="S444" t="str">
            <v>..</v>
          </cell>
          <cell r="T444" t="str">
            <v>..</v>
          </cell>
          <cell r="U444" t="str">
            <v>..</v>
          </cell>
          <cell r="V444">
            <v>18</v>
          </cell>
          <cell r="W444">
            <v>0</v>
          </cell>
          <cell r="X444">
            <v>18</v>
          </cell>
          <cell r="Y444" t="str">
            <v>-</v>
          </cell>
          <cell r="Z444" t="str">
            <v>Parental leave is unpaid</v>
          </cell>
          <cell r="AA444" t="str">
            <v>-</v>
          </cell>
          <cell r="AB444" t="str">
            <v>-</v>
          </cell>
          <cell r="AC444" t="str">
            <v>-</v>
          </cell>
          <cell r="AD444" t="str">
            <v>-</v>
          </cell>
          <cell r="AE444" t="str">
            <v>-</v>
          </cell>
          <cell r="AF444" t="str">
            <v>-</v>
          </cell>
          <cell r="AG444" t="str">
            <v>-</v>
          </cell>
          <cell r="AH444" t="str">
            <v>-</v>
          </cell>
          <cell r="AI444" t="str">
            <v>-</v>
          </cell>
          <cell r="AJ444" t="str">
            <v>-</v>
          </cell>
          <cell r="AK444" t="str">
            <v>-</v>
          </cell>
          <cell r="AL444" t="str">
            <v>-</v>
          </cell>
          <cell r="AM444" t="str">
            <v>-</v>
          </cell>
          <cell r="AN444" t="str">
            <v>-</v>
          </cell>
          <cell r="AO444" t="str">
            <v>-</v>
          </cell>
          <cell r="AP444" t="str">
            <v>-</v>
          </cell>
          <cell r="AQ444" t="str">
            <v>-</v>
          </cell>
          <cell r="AR444" t="str">
            <v>-</v>
          </cell>
          <cell r="AS444" t="str">
            <v>-</v>
          </cell>
          <cell r="AT444" t="str">
            <v>-</v>
          </cell>
          <cell r="AU444" t="str">
            <v>-</v>
          </cell>
          <cell r="AV444" t="str">
            <v>-</v>
          </cell>
          <cell r="AW444" t="str">
            <v>-</v>
          </cell>
          <cell r="AX444" t="str">
            <v>-</v>
          </cell>
          <cell r="AY444" t="str">
            <v>-</v>
          </cell>
          <cell r="AZ444" t="str">
            <v>-</v>
          </cell>
          <cell r="BA444" t="str">
            <v>-</v>
          </cell>
          <cell r="BB444" t="str">
            <v>-</v>
          </cell>
          <cell r="BC444" t="str">
            <v>-</v>
          </cell>
          <cell r="BD444" t="str">
            <v>-</v>
          </cell>
          <cell r="BE444" t="str">
            <v>-</v>
          </cell>
          <cell r="BF444" t="str">
            <v>-</v>
          </cell>
          <cell r="BG444" t="str">
            <v>-</v>
          </cell>
          <cell r="BH444" t="str">
            <v>-</v>
          </cell>
          <cell r="BI444" t="str">
            <v>-</v>
          </cell>
          <cell r="BJ444" t="str">
            <v>-</v>
          </cell>
          <cell r="BK444" t="str">
            <v>-</v>
          </cell>
          <cell r="BL444" t="str">
            <v>-</v>
          </cell>
          <cell r="BM444">
            <v>0</v>
          </cell>
          <cell r="BN444">
            <v>0</v>
          </cell>
          <cell r="BO444" t="str">
            <v>-</v>
          </cell>
          <cell r="BP444" t="str">
            <v>-</v>
          </cell>
          <cell r="BQ444">
            <v>0</v>
          </cell>
          <cell r="BR444">
            <v>0</v>
          </cell>
          <cell r="BS444">
            <v>0</v>
          </cell>
          <cell r="BT444">
            <v>0</v>
          </cell>
        </row>
        <row r="445">
          <cell r="A445" t="str">
            <v>United Kingdom2019100 / 100</v>
          </cell>
          <cell r="B445" t="str">
            <v>United Kingdom</v>
          </cell>
          <cell r="C445">
            <v>2019</v>
          </cell>
          <cell r="D445" t="str">
            <v>100 / 100</v>
          </cell>
          <cell r="E445">
            <v>40990</v>
          </cell>
          <cell r="F445">
            <v>3415.8333333333335</v>
          </cell>
          <cell r="G445">
            <v>788.27529442534171</v>
          </cell>
          <cell r="H445">
            <v>157.65505888506834</v>
          </cell>
          <cell r="I445">
            <v>40990</v>
          </cell>
          <cell r="J445">
            <v>3415.8333333333335</v>
          </cell>
          <cell r="K445">
            <v>788.27529442534171</v>
          </cell>
          <cell r="L445">
            <v>157.65505888506834</v>
          </cell>
          <cell r="M445" t="str">
            <v>..</v>
          </cell>
          <cell r="N445" t="str">
            <v>..</v>
          </cell>
          <cell r="O445" t="str">
            <v>..</v>
          </cell>
          <cell r="P445" t="str">
            <v>..</v>
          </cell>
          <cell r="Q445" t="str">
            <v>..</v>
          </cell>
          <cell r="R445" t="str">
            <v>..</v>
          </cell>
          <cell r="S445" t="str">
            <v>..</v>
          </cell>
          <cell r="T445" t="str">
            <v>..</v>
          </cell>
          <cell r="U445" t="str">
            <v>..</v>
          </cell>
          <cell r="V445">
            <v>18</v>
          </cell>
          <cell r="W445">
            <v>0</v>
          </cell>
          <cell r="X445">
            <v>18</v>
          </cell>
          <cell r="Y445" t="str">
            <v>-</v>
          </cell>
          <cell r="Z445" t="str">
            <v>Parental leave is unpaid</v>
          </cell>
          <cell r="AA445" t="str">
            <v>-</v>
          </cell>
          <cell r="AB445" t="str">
            <v>-</v>
          </cell>
          <cell r="AC445" t="str">
            <v>-</v>
          </cell>
          <cell r="AD445" t="str">
            <v>-</v>
          </cell>
          <cell r="AE445" t="str">
            <v>-</v>
          </cell>
          <cell r="AF445" t="str">
            <v>-</v>
          </cell>
          <cell r="AG445" t="str">
            <v>-</v>
          </cell>
          <cell r="AH445" t="str">
            <v>-</v>
          </cell>
          <cell r="AI445" t="str">
            <v>-</v>
          </cell>
          <cell r="AJ445" t="str">
            <v>-</v>
          </cell>
          <cell r="AK445" t="str">
            <v>-</v>
          </cell>
          <cell r="AL445" t="str">
            <v>-</v>
          </cell>
          <cell r="AM445" t="str">
            <v>-</v>
          </cell>
          <cell r="AN445" t="str">
            <v>-</v>
          </cell>
          <cell r="AO445" t="str">
            <v>-</v>
          </cell>
          <cell r="AP445" t="str">
            <v>-</v>
          </cell>
          <cell r="AQ445" t="str">
            <v>-</v>
          </cell>
          <cell r="AR445" t="str">
            <v>-</v>
          </cell>
          <cell r="AS445" t="str">
            <v>-</v>
          </cell>
          <cell r="AT445" t="str">
            <v>-</v>
          </cell>
          <cell r="AU445" t="str">
            <v>-</v>
          </cell>
          <cell r="AV445" t="str">
            <v>-</v>
          </cell>
          <cell r="AW445" t="str">
            <v>-</v>
          </cell>
          <cell r="AX445" t="str">
            <v>-</v>
          </cell>
          <cell r="AY445" t="str">
            <v>-</v>
          </cell>
          <cell r="AZ445" t="str">
            <v>-</v>
          </cell>
          <cell r="BA445" t="str">
            <v>-</v>
          </cell>
          <cell r="BB445" t="str">
            <v>-</v>
          </cell>
          <cell r="BC445" t="str">
            <v>-</v>
          </cell>
          <cell r="BD445" t="str">
            <v>-</v>
          </cell>
          <cell r="BE445" t="str">
            <v>-</v>
          </cell>
          <cell r="BF445" t="str">
            <v>-</v>
          </cell>
          <cell r="BG445" t="str">
            <v>-</v>
          </cell>
          <cell r="BH445" t="str">
            <v>-</v>
          </cell>
          <cell r="BI445" t="str">
            <v>-</v>
          </cell>
          <cell r="BJ445" t="str">
            <v>-</v>
          </cell>
          <cell r="BK445" t="str">
            <v>-</v>
          </cell>
          <cell r="BL445" t="str">
            <v>-</v>
          </cell>
          <cell r="BM445">
            <v>0</v>
          </cell>
          <cell r="BN445">
            <v>0</v>
          </cell>
          <cell r="BO445" t="str">
            <v>-</v>
          </cell>
          <cell r="BP445" t="str">
            <v>-</v>
          </cell>
          <cell r="BQ445">
            <v>0</v>
          </cell>
          <cell r="BR445">
            <v>0</v>
          </cell>
          <cell r="BS445">
            <v>0</v>
          </cell>
          <cell r="BT445">
            <v>0</v>
          </cell>
        </row>
        <row r="446">
          <cell r="A446" t="str">
            <v>United Kingdom2020100 / 100</v>
          </cell>
          <cell r="B446" t="str">
            <v>United Kingdom</v>
          </cell>
          <cell r="C446">
            <v>2020</v>
          </cell>
          <cell r="D446" t="str">
            <v>100 / 100</v>
          </cell>
          <cell r="E446">
            <v>39978</v>
          </cell>
          <cell r="F446">
            <v>3331.5</v>
          </cell>
          <cell r="G446">
            <v>768.81360625850959</v>
          </cell>
          <cell r="H446">
            <v>153.76272125170192</v>
          </cell>
          <cell r="I446">
            <v>39978</v>
          </cell>
          <cell r="J446">
            <v>3331.5</v>
          </cell>
          <cell r="K446">
            <v>768.81360625850959</v>
          </cell>
          <cell r="L446">
            <v>153.76272125170192</v>
          </cell>
          <cell r="M446" t="str">
            <v>..</v>
          </cell>
          <cell r="N446" t="str">
            <v>..</v>
          </cell>
          <cell r="O446" t="str">
            <v>..</v>
          </cell>
          <cell r="P446" t="str">
            <v>..</v>
          </cell>
          <cell r="Q446" t="str">
            <v>..</v>
          </cell>
          <cell r="R446" t="str">
            <v>..</v>
          </cell>
          <cell r="S446" t="str">
            <v>..</v>
          </cell>
          <cell r="T446" t="str">
            <v>..</v>
          </cell>
          <cell r="U446" t="str">
            <v>..</v>
          </cell>
          <cell r="V446">
            <v>18</v>
          </cell>
          <cell r="W446">
            <v>0</v>
          </cell>
          <cell r="X446">
            <v>18</v>
          </cell>
          <cell r="Y446" t="str">
            <v>-</v>
          </cell>
          <cell r="Z446" t="str">
            <v>Parental leave is unpaid</v>
          </cell>
          <cell r="AA446" t="str">
            <v>-</v>
          </cell>
          <cell r="AB446" t="str">
            <v>-</v>
          </cell>
          <cell r="AC446" t="str">
            <v>-</v>
          </cell>
          <cell r="AD446" t="str">
            <v>-</v>
          </cell>
          <cell r="AE446" t="str">
            <v>-</v>
          </cell>
          <cell r="AF446" t="str">
            <v>-</v>
          </cell>
          <cell r="AG446" t="str">
            <v>-</v>
          </cell>
          <cell r="AH446" t="str">
            <v>-</v>
          </cell>
          <cell r="AI446" t="str">
            <v>-</v>
          </cell>
          <cell r="AJ446" t="str">
            <v>-</v>
          </cell>
          <cell r="AK446" t="str">
            <v>-</v>
          </cell>
          <cell r="AL446" t="str">
            <v>-</v>
          </cell>
          <cell r="AM446" t="str">
            <v>-</v>
          </cell>
          <cell r="AN446" t="str">
            <v>-</v>
          </cell>
          <cell r="AO446" t="str">
            <v>-</v>
          </cell>
          <cell r="AP446" t="str">
            <v>-</v>
          </cell>
          <cell r="AQ446" t="str">
            <v>-</v>
          </cell>
          <cell r="AR446" t="str">
            <v>-</v>
          </cell>
          <cell r="AS446" t="str">
            <v>-</v>
          </cell>
          <cell r="AT446" t="str">
            <v>-</v>
          </cell>
          <cell r="AU446" t="str">
            <v>-</v>
          </cell>
          <cell r="AV446" t="str">
            <v>-</v>
          </cell>
          <cell r="AW446" t="str">
            <v>-</v>
          </cell>
          <cell r="AX446" t="str">
            <v>-</v>
          </cell>
          <cell r="AY446" t="str">
            <v>-</v>
          </cell>
          <cell r="AZ446" t="str">
            <v>-</v>
          </cell>
          <cell r="BA446" t="str">
            <v>-</v>
          </cell>
          <cell r="BB446" t="str">
            <v>-</v>
          </cell>
          <cell r="BC446" t="str">
            <v>-</v>
          </cell>
          <cell r="BD446" t="str">
            <v>-</v>
          </cell>
          <cell r="BE446" t="str">
            <v>-</v>
          </cell>
          <cell r="BF446" t="str">
            <v>-</v>
          </cell>
          <cell r="BG446" t="str">
            <v>-</v>
          </cell>
          <cell r="BH446" t="str">
            <v>-</v>
          </cell>
          <cell r="BI446" t="str">
            <v>-</v>
          </cell>
          <cell r="BJ446" t="str">
            <v>-</v>
          </cell>
          <cell r="BK446" t="str">
            <v>-</v>
          </cell>
          <cell r="BL446" t="str">
            <v>-</v>
          </cell>
          <cell r="BM446">
            <v>0</v>
          </cell>
          <cell r="BN446">
            <v>0</v>
          </cell>
          <cell r="BO446" t="str">
            <v>-</v>
          </cell>
          <cell r="BP446" t="str">
            <v>-</v>
          </cell>
          <cell r="BQ446">
            <v>0</v>
          </cell>
          <cell r="BR446">
            <v>0</v>
          </cell>
          <cell r="BS446">
            <v>0</v>
          </cell>
          <cell r="BT446">
            <v>0</v>
          </cell>
        </row>
        <row r="447">
          <cell r="A447" t="str">
            <v>United Kingdom2021100 / 100</v>
          </cell>
          <cell r="B447" t="str">
            <v>United Kingdom</v>
          </cell>
          <cell r="C447">
            <v>2021</v>
          </cell>
          <cell r="D447" t="str">
            <v>100 / 100</v>
          </cell>
          <cell r="E447">
            <v>41971.347999999998</v>
          </cell>
          <cell r="F447">
            <v>3497.612333333333</v>
          </cell>
          <cell r="G447">
            <v>807.14751651935774</v>
          </cell>
          <cell r="H447">
            <v>161.42950330387154</v>
          </cell>
          <cell r="I447">
            <v>41971.347999999998</v>
          </cell>
          <cell r="J447">
            <v>3497.612333333333</v>
          </cell>
          <cell r="K447">
            <v>807.14751651935774</v>
          </cell>
          <cell r="L447">
            <v>161.42950330387154</v>
          </cell>
          <cell r="M447" t="str">
            <v>..</v>
          </cell>
          <cell r="N447" t="str">
            <v>..</v>
          </cell>
          <cell r="O447" t="str">
            <v>..</v>
          </cell>
          <cell r="P447" t="str">
            <v>..</v>
          </cell>
          <cell r="Q447" t="str">
            <v>..</v>
          </cell>
          <cell r="R447" t="str">
            <v>..</v>
          </cell>
          <cell r="S447" t="str">
            <v>..</v>
          </cell>
          <cell r="T447" t="str">
            <v>..</v>
          </cell>
          <cell r="U447" t="str">
            <v>..</v>
          </cell>
          <cell r="V447">
            <v>18</v>
          </cell>
          <cell r="W447">
            <v>0</v>
          </cell>
          <cell r="X447">
            <v>18</v>
          </cell>
          <cell r="Y447" t="str">
            <v>-</v>
          </cell>
          <cell r="Z447" t="str">
            <v>Parental leave is unpaid</v>
          </cell>
          <cell r="AA447" t="str">
            <v>-</v>
          </cell>
          <cell r="AB447" t="str">
            <v>-</v>
          </cell>
          <cell r="AC447" t="str">
            <v>-</v>
          </cell>
          <cell r="AD447" t="str">
            <v>-</v>
          </cell>
          <cell r="AE447" t="str">
            <v>-</v>
          </cell>
          <cell r="AF447" t="str">
            <v>-</v>
          </cell>
          <cell r="AG447" t="str">
            <v>-</v>
          </cell>
          <cell r="AH447" t="str">
            <v>-</v>
          </cell>
          <cell r="AI447" t="str">
            <v>-</v>
          </cell>
          <cell r="AJ447" t="str">
            <v>-</v>
          </cell>
          <cell r="AK447" t="str">
            <v>-</v>
          </cell>
          <cell r="AL447" t="str">
            <v>-</v>
          </cell>
          <cell r="AM447" t="str">
            <v>-</v>
          </cell>
          <cell r="AN447" t="str">
            <v>-</v>
          </cell>
          <cell r="AO447" t="str">
            <v>-</v>
          </cell>
          <cell r="AP447" t="str">
            <v>-</v>
          </cell>
          <cell r="AQ447" t="str">
            <v>-</v>
          </cell>
          <cell r="AR447" t="str">
            <v>-</v>
          </cell>
          <cell r="AS447" t="str">
            <v>-</v>
          </cell>
          <cell r="AT447" t="str">
            <v>-</v>
          </cell>
          <cell r="AU447" t="str">
            <v>-</v>
          </cell>
          <cell r="AV447" t="str">
            <v>-</v>
          </cell>
          <cell r="AW447" t="str">
            <v>-</v>
          </cell>
          <cell r="AX447" t="str">
            <v>-</v>
          </cell>
          <cell r="AY447" t="str">
            <v>-</v>
          </cell>
          <cell r="AZ447" t="str">
            <v>-</v>
          </cell>
          <cell r="BA447" t="str">
            <v>-</v>
          </cell>
          <cell r="BB447" t="str">
            <v>-</v>
          </cell>
          <cell r="BC447" t="str">
            <v>-</v>
          </cell>
          <cell r="BD447" t="str">
            <v>-</v>
          </cell>
          <cell r="BE447" t="str">
            <v>-</v>
          </cell>
          <cell r="BF447" t="str">
            <v>-</v>
          </cell>
          <cell r="BG447" t="str">
            <v>-</v>
          </cell>
          <cell r="BH447" t="str">
            <v>-</v>
          </cell>
          <cell r="BI447" t="str">
            <v>-</v>
          </cell>
          <cell r="BJ447" t="str">
            <v>-</v>
          </cell>
          <cell r="BK447" t="str">
            <v>-</v>
          </cell>
          <cell r="BL447" t="str">
            <v>-</v>
          </cell>
          <cell r="BM447">
            <v>0</v>
          </cell>
          <cell r="BN447">
            <v>0</v>
          </cell>
          <cell r="BO447" t="str">
            <v>-</v>
          </cell>
          <cell r="BP447" t="str">
            <v>-</v>
          </cell>
          <cell r="BQ447">
            <v>0</v>
          </cell>
          <cell r="BR447">
            <v>0</v>
          </cell>
          <cell r="BS447">
            <v>0</v>
          </cell>
          <cell r="BT447">
            <v>0</v>
          </cell>
        </row>
        <row r="448">
          <cell r="A448" t="str">
            <v>United Kingdom2022100 / 100</v>
          </cell>
          <cell r="B448" t="str">
            <v>United Kingdom</v>
          </cell>
          <cell r="C448">
            <v>2022</v>
          </cell>
          <cell r="D448" t="str">
            <v>100 / 100</v>
          </cell>
          <cell r="E448">
            <v>44600.542999999998</v>
          </cell>
          <cell r="F448">
            <v>3716.7119166666666</v>
          </cell>
          <cell r="G448">
            <v>857.70934776421348</v>
          </cell>
          <cell r="H448">
            <v>171.54186955284268</v>
          </cell>
          <cell r="I448">
            <v>44600.542999999998</v>
          </cell>
          <cell r="J448">
            <v>3716.7119166666666</v>
          </cell>
          <cell r="K448">
            <v>857.70934776421348</v>
          </cell>
          <cell r="L448">
            <v>171.54186955284268</v>
          </cell>
          <cell r="M448" t="str">
            <v>..</v>
          </cell>
          <cell r="N448" t="str">
            <v>..</v>
          </cell>
          <cell r="O448" t="str">
            <v>..</v>
          </cell>
          <cell r="P448" t="str">
            <v>..</v>
          </cell>
          <cell r="Q448" t="str">
            <v>..</v>
          </cell>
          <cell r="R448" t="str">
            <v>..</v>
          </cell>
          <cell r="S448" t="str">
            <v>..</v>
          </cell>
          <cell r="T448" t="str">
            <v>..</v>
          </cell>
          <cell r="U448" t="str">
            <v>..</v>
          </cell>
          <cell r="V448">
            <v>18</v>
          </cell>
          <cell r="W448">
            <v>0</v>
          </cell>
          <cell r="X448">
            <v>18</v>
          </cell>
          <cell r="Y448" t="str">
            <v>-</v>
          </cell>
          <cell r="Z448" t="str">
            <v>Parental leave is unpaid</v>
          </cell>
          <cell r="AA448" t="str">
            <v>-</v>
          </cell>
          <cell r="AB448" t="str">
            <v>-</v>
          </cell>
          <cell r="AC448" t="str">
            <v>-</v>
          </cell>
          <cell r="AD448" t="str">
            <v>-</v>
          </cell>
          <cell r="AE448" t="str">
            <v>-</v>
          </cell>
          <cell r="AF448" t="str">
            <v>-</v>
          </cell>
          <cell r="AG448" t="str">
            <v>-</v>
          </cell>
          <cell r="AH448" t="str">
            <v>-</v>
          </cell>
          <cell r="AI448" t="str">
            <v>-</v>
          </cell>
          <cell r="AJ448" t="str">
            <v>-</v>
          </cell>
          <cell r="AK448" t="str">
            <v>-</v>
          </cell>
          <cell r="AL448" t="str">
            <v>-</v>
          </cell>
          <cell r="AM448" t="str">
            <v>-</v>
          </cell>
          <cell r="AN448" t="str">
            <v>-</v>
          </cell>
          <cell r="AO448" t="str">
            <v>-</v>
          </cell>
          <cell r="AP448" t="str">
            <v>-</v>
          </cell>
          <cell r="AQ448" t="str">
            <v>-</v>
          </cell>
          <cell r="AR448" t="str">
            <v>-</v>
          </cell>
          <cell r="AS448" t="str">
            <v>-</v>
          </cell>
          <cell r="AT448" t="str">
            <v>-</v>
          </cell>
          <cell r="AU448" t="str">
            <v>-</v>
          </cell>
          <cell r="AV448" t="str">
            <v>-</v>
          </cell>
          <cell r="AW448" t="str">
            <v>-</v>
          </cell>
          <cell r="AX448" t="str">
            <v>-</v>
          </cell>
          <cell r="AY448" t="str">
            <v>-</v>
          </cell>
          <cell r="AZ448" t="str">
            <v>-</v>
          </cell>
          <cell r="BA448" t="str">
            <v>-</v>
          </cell>
          <cell r="BB448" t="str">
            <v>-</v>
          </cell>
          <cell r="BC448" t="str">
            <v>-</v>
          </cell>
          <cell r="BD448" t="str">
            <v>-</v>
          </cell>
          <cell r="BE448" t="str">
            <v>-</v>
          </cell>
          <cell r="BF448" t="str">
            <v>-</v>
          </cell>
          <cell r="BG448" t="str">
            <v>-</v>
          </cell>
          <cell r="BH448" t="str">
            <v>-</v>
          </cell>
          <cell r="BI448" t="str">
            <v>-</v>
          </cell>
          <cell r="BJ448" t="str">
            <v>-</v>
          </cell>
          <cell r="BK448" t="str">
            <v>-</v>
          </cell>
          <cell r="BL448" t="str">
            <v>-</v>
          </cell>
          <cell r="BM448">
            <v>0</v>
          </cell>
          <cell r="BN448">
            <v>0</v>
          </cell>
          <cell r="BO448" t="str">
            <v>-</v>
          </cell>
          <cell r="BP448" t="str">
            <v>-</v>
          </cell>
          <cell r="BQ448">
            <v>0</v>
          </cell>
          <cell r="BR448">
            <v>0</v>
          </cell>
          <cell r="BS448">
            <v>0</v>
          </cell>
          <cell r="BT448">
            <v>0</v>
          </cell>
        </row>
        <row r="449">
          <cell r="A449" t="str">
            <v>United Kingdom2023100 / 100</v>
          </cell>
          <cell r="B449" t="str">
            <v>United Kingdom</v>
          </cell>
          <cell r="C449">
            <v>2023</v>
          </cell>
          <cell r="D449" t="str">
            <v>100 / 100</v>
          </cell>
          <cell r="E449">
            <v>46839.569000000003</v>
          </cell>
          <cell r="F449">
            <v>3903.2974166666668</v>
          </cell>
          <cell r="G449">
            <v>900.76787129131753</v>
          </cell>
          <cell r="H449">
            <v>180.15357425826352</v>
          </cell>
          <cell r="I449">
            <v>46839.569000000003</v>
          </cell>
          <cell r="J449">
            <v>3903.2974166666668</v>
          </cell>
          <cell r="K449">
            <v>900.76787129131753</v>
          </cell>
          <cell r="L449">
            <v>180.15357425826352</v>
          </cell>
          <cell r="M449" t="str">
            <v>..</v>
          </cell>
          <cell r="N449" t="str">
            <v>..</v>
          </cell>
          <cell r="O449" t="str">
            <v>..</v>
          </cell>
          <cell r="P449" t="str">
            <v>..</v>
          </cell>
          <cell r="Q449" t="str">
            <v>..</v>
          </cell>
          <cell r="R449" t="str">
            <v>..</v>
          </cell>
          <cell r="S449" t="str">
            <v>..</v>
          </cell>
          <cell r="T449" t="str">
            <v>..</v>
          </cell>
          <cell r="U449" t="str">
            <v>..</v>
          </cell>
          <cell r="V449">
            <v>18</v>
          </cell>
          <cell r="W449">
            <v>0</v>
          </cell>
          <cell r="X449">
            <v>18</v>
          </cell>
          <cell r="Y449" t="str">
            <v>-</v>
          </cell>
          <cell r="Z449" t="str">
            <v>Parental leave is unpaid</v>
          </cell>
          <cell r="AA449" t="str">
            <v>-</v>
          </cell>
          <cell r="AB449" t="str">
            <v>-</v>
          </cell>
          <cell r="AC449" t="str">
            <v>-</v>
          </cell>
          <cell r="AD449" t="str">
            <v>-</v>
          </cell>
          <cell r="AE449" t="str">
            <v>-</v>
          </cell>
          <cell r="AF449" t="str">
            <v>-</v>
          </cell>
          <cell r="AG449" t="str">
            <v>-</v>
          </cell>
          <cell r="AH449" t="str">
            <v>-</v>
          </cell>
          <cell r="AI449" t="str">
            <v>-</v>
          </cell>
          <cell r="AJ449" t="str">
            <v>-</v>
          </cell>
          <cell r="AK449" t="str">
            <v>-</v>
          </cell>
          <cell r="AL449" t="str">
            <v>-</v>
          </cell>
          <cell r="AM449" t="str">
            <v>-</v>
          </cell>
          <cell r="AN449" t="str">
            <v>-</v>
          </cell>
          <cell r="AO449" t="str">
            <v>-</v>
          </cell>
          <cell r="AP449" t="str">
            <v>-</v>
          </cell>
          <cell r="AQ449" t="str">
            <v>-</v>
          </cell>
          <cell r="AR449" t="str">
            <v>-</v>
          </cell>
          <cell r="AS449" t="str">
            <v>-</v>
          </cell>
          <cell r="AT449" t="str">
            <v>-</v>
          </cell>
          <cell r="AU449" t="str">
            <v>-</v>
          </cell>
          <cell r="AV449" t="str">
            <v>-</v>
          </cell>
          <cell r="AW449" t="str">
            <v>-</v>
          </cell>
          <cell r="AX449" t="str">
            <v>-</v>
          </cell>
          <cell r="AY449" t="str">
            <v>-</v>
          </cell>
          <cell r="AZ449" t="str">
            <v>-</v>
          </cell>
          <cell r="BA449" t="str">
            <v>-</v>
          </cell>
          <cell r="BB449" t="str">
            <v>-</v>
          </cell>
          <cell r="BC449" t="str">
            <v>-</v>
          </cell>
          <cell r="BD449" t="str">
            <v>-</v>
          </cell>
          <cell r="BE449" t="str">
            <v>-</v>
          </cell>
          <cell r="BF449" t="str">
            <v>-</v>
          </cell>
          <cell r="BG449" t="str">
            <v>-</v>
          </cell>
          <cell r="BH449" t="str">
            <v>-</v>
          </cell>
          <cell r="BI449" t="str">
            <v>-</v>
          </cell>
          <cell r="BJ449" t="str">
            <v>-</v>
          </cell>
          <cell r="BK449" t="str">
            <v>-</v>
          </cell>
          <cell r="BL449" t="str">
            <v>-</v>
          </cell>
          <cell r="BM449">
            <v>0</v>
          </cell>
          <cell r="BN449">
            <v>0</v>
          </cell>
          <cell r="BO449" t="str">
            <v>-</v>
          </cell>
          <cell r="BP449" t="str">
            <v>-</v>
          </cell>
          <cell r="BQ449">
            <v>0</v>
          </cell>
          <cell r="BR449">
            <v>0</v>
          </cell>
          <cell r="BS449">
            <v>0</v>
          </cell>
          <cell r="BT449">
            <v>0</v>
          </cell>
        </row>
        <row r="450">
          <cell r="A450" t="str">
            <v>United Kingdom2024100 / 100</v>
          </cell>
          <cell r="B450" t="str">
            <v>United Kingdom</v>
          </cell>
          <cell r="C450">
            <v>2024</v>
          </cell>
          <cell r="D450" t="str">
            <v>100 / 100</v>
          </cell>
          <cell r="E450">
            <v>51310.02</v>
          </cell>
          <cell r="F450">
            <v>4275.835</v>
          </cell>
          <cell r="G450">
            <v>986.7387441441856</v>
          </cell>
          <cell r="H450">
            <v>197.34774882883713</v>
          </cell>
          <cell r="I450">
            <v>51310.02</v>
          </cell>
          <cell r="J450">
            <v>4275.835</v>
          </cell>
          <cell r="K450">
            <v>986.7387441441856</v>
          </cell>
          <cell r="L450">
            <v>197.34774882883713</v>
          </cell>
          <cell r="M450" t="str">
            <v>..</v>
          </cell>
          <cell r="N450" t="str">
            <v>..</v>
          </cell>
          <cell r="O450" t="str">
            <v>..</v>
          </cell>
          <cell r="P450" t="str">
            <v>..</v>
          </cell>
          <cell r="Q450" t="str">
            <v>..</v>
          </cell>
          <cell r="R450" t="str">
            <v>..</v>
          </cell>
          <cell r="S450" t="str">
            <v>..</v>
          </cell>
          <cell r="T450" t="str">
            <v>..</v>
          </cell>
          <cell r="U450" t="str">
            <v>..</v>
          </cell>
          <cell r="V450">
            <v>18</v>
          </cell>
          <cell r="W450">
            <v>0</v>
          </cell>
          <cell r="X450">
            <v>18</v>
          </cell>
          <cell r="Y450" t="str">
            <v>-</v>
          </cell>
          <cell r="Z450" t="str">
            <v>Parental leave is unpaid</v>
          </cell>
          <cell r="AA450" t="str">
            <v>-</v>
          </cell>
          <cell r="AB450" t="str">
            <v>-</v>
          </cell>
          <cell r="AC450" t="str">
            <v>-</v>
          </cell>
          <cell r="AD450" t="str">
            <v>-</v>
          </cell>
          <cell r="AE450" t="str">
            <v>-</v>
          </cell>
          <cell r="AF450" t="str">
            <v>-</v>
          </cell>
          <cell r="AG450" t="str">
            <v>-</v>
          </cell>
          <cell r="AH450" t="str">
            <v>-</v>
          </cell>
          <cell r="AI450" t="str">
            <v>-</v>
          </cell>
          <cell r="AJ450" t="str">
            <v>-</v>
          </cell>
          <cell r="AK450" t="str">
            <v>-</v>
          </cell>
          <cell r="AL450" t="str">
            <v>-</v>
          </cell>
          <cell r="AM450" t="str">
            <v>-</v>
          </cell>
          <cell r="AN450" t="str">
            <v>-</v>
          </cell>
          <cell r="AO450" t="str">
            <v>-</v>
          </cell>
          <cell r="AP450" t="str">
            <v>-</v>
          </cell>
          <cell r="AQ450" t="str">
            <v>-</v>
          </cell>
          <cell r="AR450" t="str">
            <v>-</v>
          </cell>
          <cell r="AS450" t="str">
            <v>-</v>
          </cell>
          <cell r="AT450" t="str">
            <v>-</v>
          </cell>
          <cell r="AU450" t="str">
            <v>-</v>
          </cell>
          <cell r="AV450" t="str">
            <v>-</v>
          </cell>
          <cell r="AW450" t="str">
            <v>-</v>
          </cell>
          <cell r="AX450" t="str">
            <v>-</v>
          </cell>
          <cell r="AY450" t="str">
            <v>-</v>
          </cell>
          <cell r="AZ450" t="str">
            <v>-</v>
          </cell>
          <cell r="BA450" t="str">
            <v>-</v>
          </cell>
          <cell r="BB450" t="str">
            <v>-</v>
          </cell>
          <cell r="BC450" t="str">
            <v>-</v>
          </cell>
          <cell r="BD450" t="str">
            <v>-</v>
          </cell>
          <cell r="BE450" t="str">
            <v>-</v>
          </cell>
          <cell r="BF450" t="str">
            <v>-</v>
          </cell>
          <cell r="BG450" t="str">
            <v>-</v>
          </cell>
          <cell r="BH450" t="str">
            <v>-</v>
          </cell>
          <cell r="BI450" t="str">
            <v>-</v>
          </cell>
          <cell r="BJ450" t="str">
            <v>-</v>
          </cell>
          <cell r="BK450" t="str">
            <v>-</v>
          </cell>
          <cell r="BL450" t="str">
            <v>-</v>
          </cell>
          <cell r="BM450">
            <v>0</v>
          </cell>
          <cell r="BN450">
            <v>0</v>
          </cell>
          <cell r="BO450" t="str">
            <v>-</v>
          </cell>
          <cell r="BP450" t="str">
            <v>-</v>
          </cell>
          <cell r="BQ450">
            <v>0</v>
          </cell>
          <cell r="BR450">
            <v>0</v>
          </cell>
          <cell r="BS450">
            <v>0</v>
          </cell>
          <cell r="BT450">
            <v>0</v>
          </cell>
        </row>
        <row r="451">
          <cell r="A451" t="str">
            <v>United Kingdom2025100 / 100</v>
          </cell>
          <cell r="B451" t="str">
            <v>United Kingdom</v>
          </cell>
          <cell r="C451">
            <v>2025</v>
          </cell>
          <cell r="D451" t="str">
            <v>100 / 100</v>
          </cell>
          <cell r="E451">
            <v>51310.02</v>
          </cell>
          <cell r="F451">
            <v>4275.835</v>
          </cell>
          <cell r="G451">
            <v>986.7387441441856</v>
          </cell>
          <cell r="H451">
            <v>197.34774882883713</v>
          </cell>
          <cell r="I451">
            <v>51310.02</v>
          </cell>
          <cell r="J451">
            <v>4275.835</v>
          </cell>
          <cell r="K451">
            <v>986.7387441441856</v>
          </cell>
          <cell r="L451">
            <v>197.34774882883713</v>
          </cell>
          <cell r="M451" t="str">
            <v>..</v>
          </cell>
          <cell r="N451" t="str">
            <v>..</v>
          </cell>
          <cell r="O451" t="str">
            <v>..</v>
          </cell>
          <cell r="P451" t="str">
            <v>..</v>
          </cell>
          <cell r="Q451" t="str">
            <v>..</v>
          </cell>
          <cell r="R451" t="str">
            <v>..</v>
          </cell>
          <cell r="S451" t="str">
            <v>..</v>
          </cell>
          <cell r="T451" t="str">
            <v>..</v>
          </cell>
          <cell r="U451" t="str">
            <v>..</v>
          </cell>
          <cell r="V451">
            <v>18</v>
          </cell>
          <cell r="W451">
            <v>0</v>
          </cell>
          <cell r="X451">
            <v>18</v>
          </cell>
          <cell r="Y451" t="str">
            <v>-</v>
          </cell>
          <cell r="Z451" t="str">
            <v>Parental leave is unpaid</v>
          </cell>
          <cell r="AA451" t="str">
            <v>-</v>
          </cell>
          <cell r="AB451" t="str">
            <v>-</v>
          </cell>
          <cell r="AC451" t="str">
            <v>-</v>
          </cell>
          <cell r="AD451" t="str">
            <v>-</v>
          </cell>
          <cell r="AE451" t="str">
            <v>-</v>
          </cell>
          <cell r="AF451" t="str">
            <v>-</v>
          </cell>
          <cell r="AG451" t="str">
            <v>-</v>
          </cell>
          <cell r="AH451" t="str">
            <v>-</v>
          </cell>
          <cell r="AI451" t="str">
            <v>-</v>
          </cell>
          <cell r="AJ451" t="str">
            <v>-</v>
          </cell>
          <cell r="AK451" t="str">
            <v>-</v>
          </cell>
          <cell r="AL451" t="str">
            <v>-</v>
          </cell>
          <cell r="AM451" t="str">
            <v>-</v>
          </cell>
          <cell r="AN451" t="str">
            <v>-</v>
          </cell>
          <cell r="AO451" t="str">
            <v>-</v>
          </cell>
          <cell r="AP451" t="str">
            <v>-</v>
          </cell>
          <cell r="AQ451" t="str">
            <v>-</v>
          </cell>
          <cell r="AR451" t="str">
            <v>-</v>
          </cell>
          <cell r="AS451" t="str">
            <v>-</v>
          </cell>
          <cell r="AT451" t="str">
            <v>-</v>
          </cell>
          <cell r="AU451" t="str">
            <v>-</v>
          </cell>
          <cell r="AV451" t="str">
            <v>-</v>
          </cell>
          <cell r="AW451" t="str">
            <v>-</v>
          </cell>
          <cell r="AX451" t="str">
            <v>-</v>
          </cell>
          <cell r="AY451" t="str">
            <v>-</v>
          </cell>
          <cell r="AZ451" t="str">
            <v>-</v>
          </cell>
          <cell r="BA451" t="str">
            <v>-</v>
          </cell>
          <cell r="BB451" t="str">
            <v>-</v>
          </cell>
          <cell r="BC451" t="str">
            <v>-</v>
          </cell>
          <cell r="BD451" t="str">
            <v>-</v>
          </cell>
          <cell r="BE451" t="str">
            <v>-</v>
          </cell>
          <cell r="BF451" t="str">
            <v>-</v>
          </cell>
          <cell r="BG451" t="str">
            <v>-</v>
          </cell>
          <cell r="BH451" t="str">
            <v>-</v>
          </cell>
          <cell r="BI451" t="str">
            <v>-</v>
          </cell>
          <cell r="BJ451" t="str">
            <v>-</v>
          </cell>
          <cell r="BK451" t="str">
            <v>-</v>
          </cell>
          <cell r="BL451" t="str">
            <v>-</v>
          </cell>
          <cell r="BM451">
            <v>0</v>
          </cell>
          <cell r="BN451">
            <v>0</v>
          </cell>
          <cell r="BO451" t="str">
            <v>-</v>
          </cell>
          <cell r="BP451" t="str">
            <v>-</v>
          </cell>
          <cell r="BQ451">
            <v>0</v>
          </cell>
          <cell r="BR451">
            <v>0</v>
          </cell>
          <cell r="BS451">
            <v>0</v>
          </cell>
          <cell r="BT451">
            <v>0</v>
          </cell>
        </row>
        <row r="452">
          <cell r="A452" t="str">
            <v>United States2014100 / 100</v>
          </cell>
          <cell r="B452" t="str">
            <v>United States</v>
          </cell>
          <cell r="C452">
            <v>2014</v>
          </cell>
          <cell r="D452" t="str">
            <v>100 / 100</v>
          </cell>
          <cell r="E452">
            <v>50098.95</v>
          </cell>
          <cell r="F452">
            <v>4174.9124999999995</v>
          </cell>
          <cell r="G452">
            <v>963.44875729813282</v>
          </cell>
          <cell r="H452">
            <v>192.68975145962656</v>
          </cell>
          <cell r="I452">
            <v>50098.95</v>
          </cell>
          <cell r="J452">
            <v>4174.9124999999995</v>
          </cell>
          <cell r="K452">
            <v>963.44875729813282</v>
          </cell>
          <cell r="L452">
            <v>192.68975145962656</v>
          </cell>
          <cell r="M452" t="str">
            <v>..</v>
          </cell>
          <cell r="N452" t="str">
            <v>..</v>
          </cell>
          <cell r="O452" t="str">
            <v>..</v>
          </cell>
          <cell r="P452" t="str">
            <v>..</v>
          </cell>
          <cell r="Q452" t="str">
            <v>..</v>
          </cell>
          <cell r="R452" t="str">
            <v>..</v>
          </cell>
          <cell r="S452" t="str">
            <v>..</v>
          </cell>
          <cell r="T452" t="str">
            <v>..</v>
          </cell>
          <cell r="U452" t="str">
            <v>..</v>
          </cell>
          <cell r="V452">
            <v>12</v>
          </cell>
          <cell r="W452">
            <v>0</v>
          </cell>
          <cell r="X452">
            <v>12</v>
          </cell>
          <cell r="Y452" t="str">
            <v>-</v>
          </cell>
          <cell r="Z452" t="str">
            <v>No entitlement to paid paternity leave</v>
          </cell>
          <cell r="AA452" t="str">
            <v>-</v>
          </cell>
          <cell r="AB452" t="str">
            <v>-</v>
          </cell>
          <cell r="AC452" t="str">
            <v>-</v>
          </cell>
          <cell r="AD452" t="str">
            <v>-</v>
          </cell>
          <cell r="AE452" t="str">
            <v>-</v>
          </cell>
          <cell r="AF452" t="str">
            <v>-</v>
          </cell>
          <cell r="AG452" t="str">
            <v>-</v>
          </cell>
          <cell r="AH452" t="str">
            <v>-</v>
          </cell>
          <cell r="AI452" t="str">
            <v>-</v>
          </cell>
          <cell r="AJ452" t="str">
            <v>-</v>
          </cell>
          <cell r="AK452" t="str">
            <v>-</v>
          </cell>
          <cell r="AL452" t="str">
            <v>-</v>
          </cell>
          <cell r="AM452" t="str">
            <v>-</v>
          </cell>
          <cell r="AN452" t="str">
            <v>-</v>
          </cell>
          <cell r="AO452" t="str">
            <v>-</v>
          </cell>
          <cell r="AP452" t="str">
            <v>-</v>
          </cell>
          <cell r="AQ452" t="str">
            <v>-</v>
          </cell>
          <cell r="AR452" t="str">
            <v>-</v>
          </cell>
          <cell r="AS452" t="str">
            <v>-</v>
          </cell>
          <cell r="AT452" t="str">
            <v>-</v>
          </cell>
          <cell r="AU452" t="str">
            <v>-</v>
          </cell>
          <cell r="AV452" t="str">
            <v>-</v>
          </cell>
          <cell r="AW452" t="str">
            <v>-</v>
          </cell>
          <cell r="AX452" t="str">
            <v>-</v>
          </cell>
          <cell r="AY452" t="str">
            <v>-</v>
          </cell>
          <cell r="AZ452" t="str">
            <v>-</v>
          </cell>
          <cell r="BA452" t="str">
            <v>-</v>
          </cell>
          <cell r="BB452" t="str">
            <v>-</v>
          </cell>
          <cell r="BC452" t="str">
            <v>-</v>
          </cell>
          <cell r="BD452" t="str">
            <v>-</v>
          </cell>
          <cell r="BE452" t="str">
            <v>-</v>
          </cell>
          <cell r="BF452" t="str">
            <v>-</v>
          </cell>
          <cell r="BG452" t="str">
            <v>-</v>
          </cell>
          <cell r="BH452" t="str">
            <v>-</v>
          </cell>
          <cell r="BI452" t="str">
            <v>-</v>
          </cell>
          <cell r="BJ452" t="str">
            <v>-</v>
          </cell>
          <cell r="BK452" t="str">
            <v>-</v>
          </cell>
          <cell r="BL452" t="str">
            <v>-</v>
          </cell>
          <cell r="BM452">
            <v>0</v>
          </cell>
          <cell r="BN452">
            <v>0</v>
          </cell>
          <cell r="BO452" t="str">
            <v>-</v>
          </cell>
          <cell r="BP452" t="str">
            <v>-</v>
          </cell>
          <cell r="BQ452">
            <v>0</v>
          </cell>
          <cell r="BR452">
            <v>0</v>
          </cell>
          <cell r="BS452">
            <v>0</v>
          </cell>
          <cell r="BT452">
            <v>0</v>
          </cell>
        </row>
        <row r="453">
          <cell r="A453" t="str">
            <v>United States2015100 / 100</v>
          </cell>
          <cell r="B453" t="str">
            <v>United States</v>
          </cell>
          <cell r="C453">
            <v>2015</v>
          </cell>
          <cell r="D453" t="str">
            <v>100 / 100</v>
          </cell>
          <cell r="E453">
            <v>50963</v>
          </cell>
          <cell r="F453">
            <v>4246.916666666667</v>
          </cell>
          <cell r="G453">
            <v>980.06523127100979</v>
          </cell>
          <cell r="H453">
            <v>196.01304625420195</v>
          </cell>
          <cell r="I453">
            <v>50963</v>
          </cell>
          <cell r="J453">
            <v>4246.916666666667</v>
          </cell>
          <cell r="K453">
            <v>980.06523127100979</v>
          </cell>
          <cell r="L453">
            <v>196.01304625420195</v>
          </cell>
          <cell r="M453" t="str">
            <v>..</v>
          </cell>
          <cell r="N453" t="str">
            <v>..</v>
          </cell>
          <cell r="O453" t="str">
            <v>..</v>
          </cell>
          <cell r="P453" t="str">
            <v>..</v>
          </cell>
          <cell r="Q453" t="str">
            <v>..</v>
          </cell>
          <cell r="R453" t="str">
            <v>..</v>
          </cell>
          <cell r="S453" t="str">
            <v>..</v>
          </cell>
          <cell r="T453" t="str">
            <v>..</v>
          </cell>
          <cell r="U453" t="str">
            <v>..</v>
          </cell>
          <cell r="V453">
            <v>12</v>
          </cell>
          <cell r="W453">
            <v>0</v>
          </cell>
          <cell r="X453">
            <v>12</v>
          </cell>
          <cell r="Y453" t="str">
            <v>-</v>
          </cell>
          <cell r="Z453" t="str">
            <v>No entitlement to paid paternity leave</v>
          </cell>
          <cell r="AA453" t="str">
            <v>-</v>
          </cell>
          <cell r="AB453" t="str">
            <v>-</v>
          </cell>
          <cell r="AC453" t="str">
            <v>-</v>
          </cell>
          <cell r="AD453" t="str">
            <v>-</v>
          </cell>
          <cell r="AE453" t="str">
            <v>-</v>
          </cell>
          <cell r="AF453" t="str">
            <v>-</v>
          </cell>
          <cell r="AG453" t="str">
            <v>-</v>
          </cell>
          <cell r="AH453" t="str">
            <v>-</v>
          </cell>
          <cell r="AI453" t="str">
            <v>-</v>
          </cell>
          <cell r="AJ453" t="str">
            <v>-</v>
          </cell>
          <cell r="AK453" t="str">
            <v>-</v>
          </cell>
          <cell r="AL453" t="str">
            <v>-</v>
          </cell>
          <cell r="AM453" t="str">
            <v>-</v>
          </cell>
          <cell r="AN453" t="str">
            <v>-</v>
          </cell>
          <cell r="AO453" t="str">
            <v>-</v>
          </cell>
          <cell r="AP453" t="str">
            <v>-</v>
          </cell>
          <cell r="AQ453" t="str">
            <v>-</v>
          </cell>
          <cell r="AR453" t="str">
            <v>-</v>
          </cell>
          <cell r="AS453" t="str">
            <v>-</v>
          </cell>
          <cell r="AT453" t="str">
            <v>-</v>
          </cell>
          <cell r="AU453" t="str">
            <v>-</v>
          </cell>
          <cell r="AV453" t="str">
            <v>-</v>
          </cell>
          <cell r="AW453" t="str">
            <v>-</v>
          </cell>
          <cell r="AX453" t="str">
            <v>-</v>
          </cell>
          <cell r="AY453" t="str">
            <v>-</v>
          </cell>
          <cell r="AZ453" t="str">
            <v>-</v>
          </cell>
          <cell r="BA453" t="str">
            <v>-</v>
          </cell>
          <cell r="BB453" t="str">
            <v>-</v>
          </cell>
          <cell r="BC453" t="str">
            <v>-</v>
          </cell>
          <cell r="BD453" t="str">
            <v>-</v>
          </cell>
          <cell r="BE453" t="str">
            <v>-</v>
          </cell>
          <cell r="BF453" t="str">
            <v>-</v>
          </cell>
          <cell r="BG453" t="str">
            <v>-</v>
          </cell>
          <cell r="BH453" t="str">
            <v>-</v>
          </cell>
          <cell r="BI453" t="str">
            <v>-</v>
          </cell>
          <cell r="BJ453" t="str">
            <v>-</v>
          </cell>
          <cell r="BK453" t="str">
            <v>-</v>
          </cell>
          <cell r="BL453" t="str">
            <v>-</v>
          </cell>
          <cell r="BM453">
            <v>0</v>
          </cell>
          <cell r="BN453">
            <v>0</v>
          </cell>
          <cell r="BO453" t="str">
            <v>-</v>
          </cell>
          <cell r="BP453" t="str">
            <v>-</v>
          </cell>
          <cell r="BQ453">
            <v>0</v>
          </cell>
          <cell r="BR453">
            <v>0</v>
          </cell>
          <cell r="BS453">
            <v>0</v>
          </cell>
          <cell r="BT453">
            <v>0</v>
          </cell>
        </row>
        <row r="454">
          <cell r="A454" t="str">
            <v>United States2016100 / 100</v>
          </cell>
          <cell r="B454" t="str">
            <v>United States</v>
          </cell>
          <cell r="C454">
            <v>2016</v>
          </cell>
          <cell r="D454" t="str">
            <v>100 / 100</v>
          </cell>
          <cell r="E454">
            <v>51945</v>
          </cell>
          <cell r="F454">
            <v>4328.75</v>
          </cell>
          <cell r="G454">
            <v>998.94999192301475</v>
          </cell>
          <cell r="H454">
            <v>199.78999838460294</v>
          </cell>
          <cell r="I454">
            <v>51945</v>
          </cell>
          <cell r="J454">
            <v>4328.75</v>
          </cell>
          <cell r="K454">
            <v>998.94999192301475</v>
          </cell>
          <cell r="L454">
            <v>199.78999838460294</v>
          </cell>
          <cell r="M454" t="str">
            <v>..</v>
          </cell>
          <cell r="N454" t="str">
            <v>..</v>
          </cell>
          <cell r="O454" t="str">
            <v>..</v>
          </cell>
          <cell r="P454" t="str">
            <v>..</v>
          </cell>
          <cell r="Q454" t="str">
            <v>..</v>
          </cell>
          <cell r="R454" t="str">
            <v>..</v>
          </cell>
          <cell r="S454" t="str">
            <v>..</v>
          </cell>
          <cell r="T454" t="str">
            <v>..</v>
          </cell>
          <cell r="U454" t="str">
            <v>..</v>
          </cell>
          <cell r="V454">
            <v>12</v>
          </cell>
          <cell r="W454">
            <v>0</v>
          </cell>
          <cell r="X454">
            <v>12</v>
          </cell>
          <cell r="Y454" t="str">
            <v>-</v>
          </cell>
          <cell r="Z454" t="str">
            <v>No entitlement to paid paternity leave</v>
          </cell>
          <cell r="AA454" t="str">
            <v>-</v>
          </cell>
          <cell r="AB454" t="str">
            <v>-</v>
          </cell>
          <cell r="AC454" t="str">
            <v>-</v>
          </cell>
          <cell r="AD454" t="str">
            <v>-</v>
          </cell>
          <cell r="AE454" t="str">
            <v>-</v>
          </cell>
          <cell r="AF454" t="str">
            <v>-</v>
          </cell>
          <cell r="AG454" t="str">
            <v>-</v>
          </cell>
          <cell r="AH454" t="str">
            <v>-</v>
          </cell>
          <cell r="AI454" t="str">
            <v>-</v>
          </cell>
          <cell r="AJ454" t="str">
            <v>-</v>
          </cell>
          <cell r="AK454" t="str">
            <v>-</v>
          </cell>
          <cell r="AL454" t="str">
            <v>-</v>
          </cell>
          <cell r="AM454" t="str">
            <v>-</v>
          </cell>
          <cell r="AN454" t="str">
            <v>-</v>
          </cell>
          <cell r="AO454" t="str">
            <v>-</v>
          </cell>
          <cell r="AP454" t="str">
            <v>-</v>
          </cell>
          <cell r="AQ454" t="str">
            <v>-</v>
          </cell>
          <cell r="AR454" t="str">
            <v>-</v>
          </cell>
          <cell r="AS454" t="str">
            <v>-</v>
          </cell>
          <cell r="AT454" t="str">
            <v>-</v>
          </cell>
          <cell r="AU454" t="str">
            <v>-</v>
          </cell>
          <cell r="AV454" t="str">
            <v>-</v>
          </cell>
          <cell r="AW454" t="str">
            <v>-</v>
          </cell>
          <cell r="AX454" t="str">
            <v>-</v>
          </cell>
          <cell r="AY454" t="str">
            <v>-</v>
          </cell>
          <cell r="AZ454" t="str">
            <v>-</v>
          </cell>
          <cell r="BA454" t="str">
            <v>-</v>
          </cell>
          <cell r="BB454" t="str">
            <v>-</v>
          </cell>
          <cell r="BC454" t="str">
            <v>-</v>
          </cell>
          <cell r="BD454" t="str">
            <v>-</v>
          </cell>
          <cell r="BE454" t="str">
            <v>-</v>
          </cell>
          <cell r="BF454" t="str">
            <v>-</v>
          </cell>
          <cell r="BG454" t="str">
            <v>-</v>
          </cell>
          <cell r="BH454" t="str">
            <v>-</v>
          </cell>
          <cell r="BI454" t="str">
            <v>-</v>
          </cell>
          <cell r="BJ454" t="str">
            <v>-</v>
          </cell>
          <cell r="BK454" t="str">
            <v>-</v>
          </cell>
          <cell r="BL454" t="str">
            <v>-</v>
          </cell>
          <cell r="BM454">
            <v>0</v>
          </cell>
          <cell r="BN454">
            <v>0</v>
          </cell>
          <cell r="BO454" t="str">
            <v>-</v>
          </cell>
          <cell r="BP454" t="str">
            <v>-</v>
          </cell>
          <cell r="BQ454">
            <v>0</v>
          </cell>
          <cell r="BR454">
            <v>0</v>
          </cell>
          <cell r="BS454">
            <v>0</v>
          </cell>
          <cell r="BT454">
            <v>0</v>
          </cell>
        </row>
        <row r="455">
          <cell r="A455" t="str">
            <v>United States2017100 / 100</v>
          </cell>
          <cell r="B455" t="str">
            <v>United States</v>
          </cell>
          <cell r="C455">
            <v>2017</v>
          </cell>
          <cell r="D455" t="str">
            <v>100 / 100</v>
          </cell>
          <cell r="E455">
            <v>53375.89</v>
          </cell>
          <cell r="F455">
            <v>4447.9908333333333</v>
          </cell>
          <cell r="G455">
            <v>1026.4673189793766</v>
          </cell>
          <cell r="H455">
            <v>205.29346379587531</v>
          </cell>
          <cell r="I455">
            <v>53375.89</v>
          </cell>
          <cell r="J455">
            <v>4447.9908333333333</v>
          </cell>
          <cell r="K455">
            <v>1026.4673189793766</v>
          </cell>
          <cell r="L455">
            <v>205.29346379587531</v>
          </cell>
          <cell r="M455" t="str">
            <v>..</v>
          </cell>
          <cell r="N455" t="str">
            <v>..</v>
          </cell>
          <cell r="O455" t="str">
            <v>..</v>
          </cell>
          <cell r="P455" t="str">
            <v>..</v>
          </cell>
          <cell r="Q455" t="str">
            <v>..</v>
          </cell>
          <cell r="R455" t="str">
            <v>..</v>
          </cell>
          <cell r="S455" t="str">
            <v>..</v>
          </cell>
          <cell r="T455" t="str">
            <v>..</v>
          </cell>
          <cell r="U455" t="str">
            <v>..</v>
          </cell>
          <cell r="V455">
            <v>12</v>
          </cell>
          <cell r="W455">
            <v>0</v>
          </cell>
          <cell r="X455">
            <v>12</v>
          </cell>
          <cell r="Y455" t="str">
            <v>-</v>
          </cell>
          <cell r="Z455" t="str">
            <v>No entitlement to paid paternity leave</v>
          </cell>
          <cell r="AA455" t="str">
            <v>-</v>
          </cell>
          <cell r="AB455" t="str">
            <v>-</v>
          </cell>
          <cell r="AC455" t="str">
            <v>-</v>
          </cell>
          <cell r="AD455" t="str">
            <v>-</v>
          </cell>
          <cell r="AE455" t="str">
            <v>-</v>
          </cell>
          <cell r="AF455" t="str">
            <v>-</v>
          </cell>
          <cell r="AG455" t="str">
            <v>-</v>
          </cell>
          <cell r="AH455" t="str">
            <v>-</v>
          </cell>
          <cell r="AI455" t="str">
            <v>-</v>
          </cell>
          <cell r="AJ455" t="str">
            <v>-</v>
          </cell>
          <cell r="AK455" t="str">
            <v>-</v>
          </cell>
          <cell r="AL455" t="str">
            <v>-</v>
          </cell>
          <cell r="AM455" t="str">
            <v>-</v>
          </cell>
          <cell r="AN455" t="str">
            <v>-</v>
          </cell>
          <cell r="AO455" t="str">
            <v>-</v>
          </cell>
          <cell r="AP455" t="str">
            <v>-</v>
          </cell>
          <cell r="AQ455" t="str">
            <v>-</v>
          </cell>
          <cell r="AR455" t="str">
            <v>-</v>
          </cell>
          <cell r="AS455" t="str">
            <v>-</v>
          </cell>
          <cell r="AT455" t="str">
            <v>-</v>
          </cell>
          <cell r="AU455" t="str">
            <v>-</v>
          </cell>
          <cell r="AV455" t="str">
            <v>-</v>
          </cell>
          <cell r="AW455" t="str">
            <v>-</v>
          </cell>
          <cell r="AX455" t="str">
            <v>-</v>
          </cell>
          <cell r="AY455" t="str">
            <v>-</v>
          </cell>
          <cell r="AZ455" t="str">
            <v>-</v>
          </cell>
          <cell r="BA455" t="str">
            <v>-</v>
          </cell>
          <cell r="BB455" t="str">
            <v>-</v>
          </cell>
          <cell r="BC455" t="str">
            <v>-</v>
          </cell>
          <cell r="BD455" t="str">
            <v>-</v>
          </cell>
          <cell r="BE455" t="str">
            <v>-</v>
          </cell>
          <cell r="BF455" t="str">
            <v>-</v>
          </cell>
          <cell r="BG455" t="str">
            <v>-</v>
          </cell>
          <cell r="BH455" t="str">
            <v>-</v>
          </cell>
          <cell r="BI455" t="str">
            <v>-</v>
          </cell>
          <cell r="BJ455" t="str">
            <v>-</v>
          </cell>
          <cell r="BK455" t="str">
            <v>-</v>
          </cell>
          <cell r="BL455" t="str">
            <v>-</v>
          </cell>
          <cell r="BM455">
            <v>0</v>
          </cell>
          <cell r="BN455">
            <v>0</v>
          </cell>
          <cell r="BO455" t="str">
            <v>-</v>
          </cell>
          <cell r="BP455" t="str">
            <v>-</v>
          </cell>
          <cell r="BQ455">
            <v>0</v>
          </cell>
          <cell r="BR455">
            <v>0</v>
          </cell>
          <cell r="BS455">
            <v>0</v>
          </cell>
          <cell r="BT455">
            <v>0</v>
          </cell>
        </row>
        <row r="456">
          <cell r="A456" t="str">
            <v>United States2018100 / 100</v>
          </cell>
          <cell r="B456" t="str">
            <v>United States</v>
          </cell>
          <cell r="C456">
            <v>2018</v>
          </cell>
          <cell r="D456" t="str">
            <v>100 / 100</v>
          </cell>
          <cell r="E456">
            <v>55058</v>
          </cell>
          <cell r="F456">
            <v>4588.166666666667</v>
          </cell>
          <cell r="G456">
            <v>1058.8158370449003</v>
          </cell>
          <cell r="H456">
            <v>211.76316740898005</v>
          </cell>
          <cell r="I456">
            <v>55058</v>
          </cell>
          <cell r="J456">
            <v>4588.166666666667</v>
          </cell>
          <cell r="K456">
            <v>1058.8158370449003</v>
          </cell>
          <cell r="L456">
            <v>211.76316740898005</v>
          </cell>
          <cell r="M456" t="str">
            <v>..</v>
          </cell>
          <cell r="N456" t="str">
            <v>..</v>
          </cell>
          <cell r="O456" t="str">
            <v>..</v>
          </cell>
          <cell r="P456" t="str">
            <v>..</v>
          </cell>
          <cell r="Q456" t="str">
            <v>..</v>
          </cell>
          <cell r="R456" t="str">
            <v>..</v>
          </cell>
          <cell r="S456" t="str">
            <v>..</v>
          </cell>
          <cell r="T456" t="str">
            <v>..</v>
          </cell>
          <cell r="U456" t="str">
            <v>..</v>
          </cell>
          <cell r="V456">
            <v>12</v>
          </cell>
          <cell r="W456">
            <v>0</v>
          </cell>
          <cell r="X456">
            <v>12</v>
          </cell>
          <cell r="Y456" t="str">
            <v>-</v>
          </cell>
          <cell r="Z456" t="str">
            <v>No entitlement to paid paternity leave</v>
          </cell>
          <cell r="AA456" t="str">
            <v>-</v>
          </cell>
          <cell r="AB456" t="str">
            <v>-</v>
          </cell>
          <cell r="AC456" t="str">
            <v>-</v>
          </cell>
          <cell r="AD456" t="str">
            <v>-</v>
          </cell>
          <cell r="AE456" t="str">
            <v>-</v>
          </cell>
          <cell r="AF456" t="str">
            <v>-</v>
          </cell>
          <cell r="AG456" t="str">
            <v>-</v>
          </cell>
          <cell r="AH456" t="str">
            <v>-</v>
          </cell>
          <cell r="AI456" t="str">
            <v>-</v>
          </cell>
          <cell r="AJ456" t="str">
            <v>-</v>
          </cell>
          <cell r="AK456" t="str">
            <v>-</v>
          </cell>
          <cell r="AL456" t="str">
            <v>-</v>
          </cell>
          <cell r="AM456" t="str">
            <v>-</v>
          </cell>
          <cell r="AN456" t="str">
            <v>-</v>
          </cell>
          <cell r="AO456" t="str">
            <v>-</v>
          </cell>
          <cell r="AP456" t="str">
            <v>-</v>
          </cell>
          <cell r="AQ456" t="str">
            <v>-</v>
          </cell>
          <cell r="AR456" t="str">
            <v>-</v>
          </cell>
          <cell r="AS456" t="str">
            <v>-</v>
          </cell>
          <cell r="AT456" t="str">
            <v>-</v>
          </cell>
          <cell r="AU456" t="str">
            <v>-</v>
          </cell>
          <cell r="AV456" t="str">
            <v>-</v>
          </cell>
          <cell r="AW456" t="str">
            <v>-</v>
          </cell>
          <cell r="AX456" t="str">
            <v>-</v>
          </cell>
          <cell r="AY456" t="str">
            <v>-</v>
          </cell>
          <cell r="AZ456" t="str">
            <v>-</v>
          </cell>
          <cell r="BA456" t="str">
            <v>-</v>
          </cell>
          <cell r="BB456" t="str">
            <v>-</v>
          </cell>
          <cell r="BC456" t="str">
            <v>-</v>
          </cell>
          <cell r="BD456" t="str">
            <v>-</v>
          </cell>
          <cell r="BE456" t="str">
            <v>-</v>
          </cell>
          <cell r="BF456" t="str">
            <v>-</v>
          </cell>
          <cell r="BG456" t="str">
            <v>-</v>
          </cell>
          <cell r="BH456" t="str">
            <v>-</v>
          </cell>
          <cell r="BI456" t="str">
            <v>-</v>
          </cell>
          <cell r="BJ456" t="str">
            <v>-</v>
          </cell>
          <cell r="BK456" t="str">
            <v>-</v>
          </cell>
          <cell r="BL456" t="str">
            <v>-</v>
          </cell>
          <cell r="BM456">
            <v>0</v>
          </cell>
          <cell r="BN456">
            <v>0</v>
          </cell>
          <cell r="BO456" t="str">
            <v>-</v>
          </cell>
          <cell r="BP456" t="str">
            <v>-</v>
          </cell>
          <cell r="BQ456">
            <v>0</v>
          </cell>
          <cell r="BR456">
            <v>0</v>
          </cell>
          <cell r="BS456">
            <v>0</v>
          </cell>
          <cell r="BT456">
            <v>0</v>
          </cell>
        </row>
        <row r="457">
          <cell r="A457" t="str">
            <v>United States2019100 / 100</v>
          </cell>
          <cell r="B457" t="str">
            <v>United States</v>
          </cell>
          <cell r="C457">
            <v>2019</v>
          </cell>
          <cell r="D457" t="str">
            <v>100 / 100</v>
          </cell>
          <cell r="E457">
            <v>56577</v>
          </cell>
          <cell r="F457">
            <v>4714.75</v>
          </cell>
          <cell r="G457">
            <v>1088.0276002123092</v>
          </cell>
          <cell r="H457">
            <v>217.60552004246182</v>
          </cell>
          <cell r="I457">
            <v>56577</v>
          </cell>
          <cell r="J457">
            <v>4714.75</v>
          </cell>
          <cell r="K457">
            <v>1088.0276002123092</v>
          </cell>
          <cell r="L457">
            <v>217.60552004246182</v>
          </cell>
          <cell r="M457" t="str">
            <v>..</v>
          </cell>
          <cell r="N457" t="str">
            <v>..</v>
          </cell>
          <cell r="O457" t="str">
            <v>..</v>
          </cell>
          <cell r="P457" t="str">
            <v>..</v>
          </cell>
          <cell r="Q457" t="str">
            <v>..</v>
          </cell>
          <cell r="R457" t="str">
            <v>..</v>
          </cell>
          <cell r="S457" t="str">
            <v>..</v>
          </cell>
          <cell r="T457" t="str">
            <v>..</v>
          </cell>
          <cell r="U457" t="str">
            <v>..</v>
          </cell>
          <cell r="V457">
            <v>12</v>
          </cell>
          <cell r="W457">
            <v>0</v>
          </cell>
          <cell r="X457">
            <v>12</v>
          </cell>
          <cell r="Y457" t="str">
            <v>-</v>
          </cell>
          <cell r="Z457" t="str">
            <v>No entitlement to paid paternity leave</v>
          </cell>
          <cell r="AA457" t="str">
            <v>-</v>
          </cell>
          <cell r="AB457" t="str">
            <v>-</v>
          </cell>
          <cell r="AC457" t="str">
            <v>-</v>
          </cell>
          <cell r="AD457" t="str">
            <v>-</v>
          </cell>
          <cell r="AE457" t="str">
            <v>-</v>
          </cell>
          <cell r="AF457" t="str">
            <v>-</v>
          </cell>
          <cell r="AG457" t="str">
            <v>-</v>
          </cell>
          <cell r="AH457" t="str">
            <v>-</v>
          </cell>
          <cell r="AI457" t="str">
            <v>-</v>
          </cell>
          <cell r="AJ457" t="str">
            <v>-</v>
          </cell>
          <cell r="AK457" t="str">
            <v>-</v>
          </cell>
          <cell r="AL457" t="str">
            <v>-</v>
          </cell>
          <cell r="AM457" t="str">
            <v>-</v>
          </cell>
          <cell r="AN457" t="str">
            <v>-</v>
          </cell>
          <cell r="AO457" t="str">
            <v>-</v>
          </cell>
          <cell r="AP457" t="str">
            <v>-</v>
          </cell>
          <cell r="AQ457" t="str">
            <v>-</v>
          </cell>
          <cell r="AR457" t="str">
            <v>-</v>
          </cell>
          <cell r="AS457" t="str">
            <v>-</v>
          </cell>
          <cell r="AT457" t="str">
            <v>-</v>
          </cell>
          <cell r="AU457" t="str">
            <v>-</v>
          </cell>
          <cell r="AV457" t="str">
            <v>-</v>
          </cell>
          <cell r="AW457" t="str">
            <v>-</v>
          </cell>
          <cell r="AX457" t="str">
            <v>-</v>
          </cell>
          <cell r="AY457" t="str">
            <v>-</v>
          </cell>
          <cell r="AZ457" t="str">
            <v>-</v>
          </cell>
          <cell r="BA457" t="str">
            <v>-</v>
          </cell>
          <cell r="BB457" t="str">
            <v>-</v>
          </cell>
          <cell r="BC457" t="str">
            <v>-</v>
          </cell>
          <cell r="BD457" t="str">
            <v>-</v>
          </cell>
          <cell r="BE457" t="str">
            <v>-</v>
          </cell>
          <cell r="BF457" t="str">
            <v>-</v>
          </cell>
          <cell r="BG457" t="str">
            <v>-</v>
          </cell>
          <cell r="BH457" t="str">
            <v>-</v>
          </cell>
          <cell r="BI457" t="str">
            <v>-</v>
          </cell>
          <cell r="BJ457" t="str">
            <v>-</v>
          </cell>
          <cell r="BK457" t="str">
            <v>-</v>
          </cell>
          <cell r="BL457" t="str">
            <v>-</v>
          </cell>
          <cell r="BM457">
            <v>0</v>
          </cell>
          <cell r="BN457">
            <v>0</v>
          </cell>
          <cell r="BO457" t="str">
            <v>-</v>
          </cell>
          <cell r="BP457" t="str">
            <v>-</v>
          </cell>
          <cell r="BQ457">
            <v>0</v>
          </cell>
          <cell r="BR457">
            <v>0</v>
          </cell>
          <cell r="BS457">
            <v>0</v>
          </cell>
          <cell r="BT457">
            <v>0</v>
          </cell>
        </row>
        <row r="458">
          <cell r="A458" t="str">
            <v>United States2020100 / 100</v>
          </cell>
          <cell r="B458" t="str">
            <v>United States</v>
          </cell>
          <cell r="C458">
            <v>2020</v>
          </cell>
          <cell r="D458" t="str">
            <v>100 / 100</v>
          </cell>
          <cell r="E458">
            <v>59517</v>
          </cell>
          <cell r="F458">
            <v>4959.75</v>
          </cell>
          <cell r="G458">
            <v>1144.566496665359</v>
          </cell>
          <cell r="H458">
            <v>228.91329933307179</v>
          </cell>
          <cell r="I458">
            <v>59517</v>
          </cell>
          <cell r="J458">
            <v>4959.75</v>
          </cell>
          <cell r="K458">
            <v>1144.566496665359</v>
          </cell>
          <cell r="L458">
            <v>228.91329933307179</v>
          </cell>
          <cell r="M458" t="str">
            <v>..</v>
          </cell>
          <cell r="N458" t="str">
            <v>..</v>
          </cell>
          <cell r="O458" t="str">
            <v>..</v>
          </cell>
          <cell r="P458" t="str">
            <v>..</v>
          </cell>
          <cell r="Q458" t="str">
            <v>..</v>
          </cell>
          <cell r="R458" t="str">
            <v>..</v>
          </cell>
          <cell r="S458" t="str">
            <v>..</v>
          </cell>
          <cell r="T458" t="str">
            <v>..</v>
          </cell>
          <cell r="U458" t="str">
            <v>..</v>
          </cell>
          <cell r="V458">
            <v>12</v>
          </cell>
          <cell r="W458">
            <v>0</v>
          </cell>
          <cell r="X458">
            <v>12</v>
          </cell>
          <cell r="Y458" t="str">
            <v>-</v>
          </cell>
          <cell r="Z458" t="str">
            <v>No entitlement to paid paternity leave</v>
          </cell>
          <cell r="AA458" t="str">
            <v>-</v>
          </cell>
          <cell r="AB458" t="str">
            <v>-</v>
          </cell>
          <cell r="AC458" t="str">
            <v>-</v>
          </cell>
          <cell r="AD458" t="str">
            <v>-</v>
          </cell>
          <cell r="AE458" t="str">
            <v>-</v>
          </cell>
          <cell r="AF458" t="str">
            <v>-</v>
          </cell>
          <cell r="AG458" t="str">
            <v>-</v>
          </cell>
          <cell r="AH458" t="str">
            <v>-</v>
          </cell>
          <cell r="AI458" t="str">
            <v>-</v>
          </cell>
          <cell r="AJ458" t="str">
            <v>-</v>
          </cell>
          <cell r="AK458" t="str">
            <v>-</v>
          </cell>
          <cell r="AL458" t="str">
            <v>-</v>
          </cell>
          <cell r="AM458" t="str">
            <v>-</v>
          </cell>
          <cell r="AN458" t="str">
            <v>-</v>
          </cell>
          <cell r="AO458" t="str">
            <v>-</v>
          </cell>
          <cell r="AP458" t="str">
            <v>-</v>
          </cell>
          <cell r="AQ458" t="str">
            <v>-</v>
          </cell>
          <cell r="AR458" t="str">
            <v>-</v>
          </cell>
          <cell r="AS458" t="str">
            <v>-</v>
          </cell>
          <cell r="AT458" t="str">
            <v>-</v>
          </cell>
          <cell r="AU458" t="str">
            <v>-</v>
          </cell>
          <cell r="AV458" t="str">
            <v>-</v>
          </cell>
          <cell r="AW458" t="str">
            <v>-</v>
          </cell>
          <cell r="AX458" t="str">
            <v>-</v>
          </cell>
          <cell r="AY458" t="str">
            <v>-</v>
          </cell>
          <cell r="AZ458" t="str">
            <v>-</v>
          </cell>
          <cell r="BA458" t="str">
            <v>-</v>
          </cell>
          <cell r="BB458" t="str">
            <v>-</v>
          </cell>
          <cell r="BC458" t="str">
            <v>-</v>
          </cell>
          <cell r="BD458" t="str">
            <v>-</v>
          </cell>
          <cell r="BE458" t="str">
            <v>-</v>
          </cell>
          <cell r="BF458" t="str">
            <v>-</v>
          </cell>
          <cell r="BG458" t="str">
            <v>-</v>
          </cell>
          <cell r="BH458" t="str">
            <v>-</v>
          </cell>
          <cell r="BI458" t="str">
            <v>-</v>
          </cell>
          <cell r="BJ458" t="str">
            <v>-</v>
          </cell>
          <cell r="BK458" t="str">
            <v>-</v>
          </cell>
          <cell r="BL458" t="str">
            <v>-</v>
          </cell>
          <cell r="BM458">
            <v>0</v>
          </cell>
          <cell r="BN458">
            <v>0</v>
          </cell>
          <cell r="BO458" t="str">
            <v>-</v>
          </cell>
          <cell r="BP458" t="str">
            <v>-</v>
          </cell>
          <cell r="BQ458">
            <v>0</v>
          </cell>
          <cell r="BR458">
            <v>0</v>
          </cell>
          <cell r="BS458">
            <v>0</v>
          </cell>
          <cell r="BT458">
            <v>0</v>
          </cell>
        </row>
        <row r="459">
          <cell r="A459" t="str">
            <v>United States2021100 / 100</v>
          </cell>
          <cell r="B459" t="str">
            <v>United States</v>
          </cell>
          <cell r="C459">
            <v>2021</v>
          </cell>
          <cell r="D459" t="str">
            <v>100 / 100</v>
          </cell>
          <cell r="E459">
            <v>62172.480000000003</v>
          </cell>
          <cell r="F459">
            <v>5181.04</v>
          </cell>
          <cell r="G459">
            <v>1195.6338125677889</v>
          </cell>
          <cell r="H459">
            <v>239.12676251355779</v>
          </cell>
          <cell r="I459">
            <v>62172.480000000003</v>
          </cell>
          <cell r="J459">
            <v>5181.04</v>
          </cell>
          <cell r="K459">
            <v>1195.6338125677889</v>
          </cell>
          <cell r="L459">
            <v>239.12676251355779</v>
          </cell>
          <cell r="M459" t="str">
            <v>..</v>
          </cell>
          <cell r="N459" t="str">
            <v>..</v>
          </cell>
          <cell r="O459" t="str">
            <v>..</v>
          </cell>
          <cell r="P459" t="str">
            <v>..</v>
          </cell>
          <cell r="Q459" t="str">
            <v>..</v>
          </cell>
          <cell r="R459" t="str">
            <v>..</v>
          </cell>
          <cell r="S459" t="str">
            <v>..</v>
          </cell>
          <cell r="T459" t="str">
            <v>..</v>
          </cell>
          <cell r="U459" t="str">
            <v>..</v>
          </cell>
          <cell r="V459">
            <v>12</v>
          </cell>
          <cell r="W459">
            <v>0</v>
          </cell>
          <cell r="X459">
            <v>12</v>
          </cell>
          <cell r="Y459" t="str">
            <v>-</v>
          </cell>
          <cell r="Z459" t="str">
            <v>No entitlement to paid paternity leave</v>
          </cell>
          <cell r="AA459" t="str">
            <v>-</v>
          </cell>
          <cell r="AB459" t="str">
            <v>-</v>
          </cell>
          <cell r="AC459" t="str">
            <v>-</v>
          </cell>
          <cell r="AD459" t="str">
            <v>-</v>
          </cell>
          <cell r="AE459" t="str">
            <v>-</v>
          </cell>
          <cell r="AF459" t="str">
            <v>-</v>
          </cell>
          <cell r="AG459" t="str">
            <v>-</v>
          </cell>
          <cell r="AH459" t="str">
            <v>-</v>
          </cell>
          <cell r="AI459" t="str">
            <v>-</v>
          </cell>
          <cell r="AJ459" t="str">
            <v>-</v>
          </cell>
          <cell r="AK459" t="str">
            <v>-</v>
          </cell>
          <cell r="AL459" t="str">
            <v>-</v>
          </cell>
          <cell r="AM459" t="str">
            <v>-</v>
          </cell>
          <cell r="AN459" t="str">
            <v>-</v>
          </cell>
          <cell r="AO459" t="str">
            <v>-</v>
          </cell>
          <cell r="AP459" t="str">
            <v>-</v>
          </cell>
          <cell r="AQ459" t="str">
            <v>-</v>
          </cell>
          <cell r="AR459" t="str">
            <v>-</v>
          </cell>
          <cell r="AS459" t="str">
            <v>-</v>
          </cell>
          <cell r="AT459" t="str">
            <v>-</v>
          </cell>
          <cell r="AU459" t="str">
            <v>-</v>
          </cell>
          <cell r="AV459" t="str">
            <v>-</v>
          </cell>
          <cell r="AW459" t="str">
            <v>-</v>
          </cell>
          <cell r="AX459" t="str">
            <v>-</v>
          </cell>
          <cell r="AY459" t="str">
            <v>-</v>
          </cell>
          <cell r="AZ459" t="str">
            <v>-</v>
          </cell>
          <cell r="BA459" t="str">
            <v>-</v>
          </cell>
          <cell r="BB459" t="str">
            <v>-</v>
          </cell>
          <cell r="BC459" t="str">
            <v>-</v>
          </cell>
          <cell r="BD459" t="str">
            <v>-</v>
          </cell>
          <cell r="BE459" t="str">
            <v>-</v>
          </cell>
          <cell r="BF459" t="str">
            <v>-</v>
          </cell>
          <cell r="BG459" t="str">
            <v>-</v>
          </cell>
          <cell r="BH459" t="str">
            <v>-</v>
          </cell>
          <cell r="BI459" t="str">
            <v>-</v>
          </cell>
          <cell r="BJ459" t="str">
            <v>-</v>
          </cell>
          <cell r="BK459" t="str">
            <v>-</v>
          </cell>
          <cell r="BL459" t="str">
            <v>-</v>
          </cell>
          <cell r="BM459">
            <v>0</v>
          </cell>
          <cell r="BN459">
            <v>0</v>
          </cell>
          <cell r="BO459" t="str">
            <v>-</v>
          </cell>
          <cell r="BP459" t="str">
            <v>-</v>
          </cell>
          <cell r="BQ459">
            <v>0</v>
          </cell>
          <cell r="BR459">
            <v>0</v>
          </cell>
          <cell r="BS459">
            <v>0</v>
          </cell>
          <cell r="BT459">
            <v>0</v>
          </cell>
        </row>
        <row r="460">
          <cell r="A460" t="str">
            <v>United States2022100 / 100</v>
          </cell>
          <cell r="B460" t="str">
            <v>United States</v>
          </cell>
          <cell r="C460">
            <v>2022</v>
          </cell>
          <cell r="D460" t="str">
            <v>100 / 100</v>
          </cell>
          <cell r="E460">
            <v>64844.82</v>
          </cell>
          <cell r="F460">
            <v>5403.7349999999997</v>
          </cell>
          <cell r="G460">
            <v>1247.0253617335516</v>
          </cell>
          <cell r="H460">
            <v>249.40507234671031</v>
          </cell>
          <cell r="I460">
            <v>64844.82</v>
          </cell>
          <cell r="J460">
            <v>5403.7349999999997</v>
          </cell>
          <cell r="K460">
            <v>1247.0253617335516</v>
          </cell>
          <cell r="L460">
            <v>249.40507234671031</v>
          </cell>
          <cell r="M460" t="str">
            <v>..</v>
          </cell>
          <cell r="N460" t="str">
            <v>..</v>
          </cell>
          <cell r="O460" t="str">
            <v>..</v>
          </cell>
          <cell r="P460" t="str">
            <v>..</v>
          </cell>
          <cell r="Q460" t="str">
            <v>..</v>
          </cell>
          <cell r="R460" t="str">
            <v>..</v>
          </cell>
          <cell r="S460" t="str">
            <v>..</v>
          </cell>
          <cell r="T460" t="str">
            <v>..</v>
          </cell>
          <cell r="U460" t="str">
            <v>..</v>
          </cell>
          <cell r="V460">
            <v>12</v>
          </cell>
          <cell r="W460">
            <v>0</v>
          </cell>
          <cell r="X460">
            <v>12</v>
          </cell>
          <cell r="Y460" t="str">
            <v>-</v>
          </cell>
          <cell r="Z460" t="str">
            <v>No entitlement to paid paternity leave</v>
          </cell>
          <cell r="AA460" t="str">
            <v>-</v>
          </cell>
          <cell r="AB460" t="str">
            <v>-</v>
          </cell>
          <cell r="AC460" t="str">
            <v>-</v>
          </cell>
          <cell r="AD460" t="str">
            <v>-</v>
          </cell>
          <cell r="AE460" t="str">
            <v>-</v>
          </cell>
          <cell r="AF460" t="str">
            <v>-</v>
          </cell>
          <cell r="AG460" t="str">
            <v>-</v>
          </cell>
          <cell r="AH460" t="str">
            <v>-</v>
          </cell>
          <cell r="AI460" t="str">
            <v>-</v>
          </cell>
          <cell r="AJ460" t="str">
            <v>-</v>
          </cell>
          <cell r="AK460" t="str">
            <v>-</v>
          </cell>
          <cell r="AL460" t="str">
            <v>-</v>
          </cell>
          <cell r="AM460" t="str">
            <v>-</v>
          </cell>
          <cell r="AN460" t="str">
            <v>-</v>
          </cell>
          <cell r="AO460" t="str">
            <v>-</v>
          </cell>
          <cell r="AP460" t="str">
            <v>-</v>
          </cell>
          <cell r="AQ460" t="str">
            <v>-</v>
          </cell>
          <cell r="AR460" t="str">
            <v>-</v>
          </cell>
          <cell r="AS460" t="str">
            <v>-</v>
          </cell>
          <cell r="AT460" t="str">
            <v>-</v>
          </cell>
          <cell r="AU460" t="str">
            <v>-</v>
          </cell>
          <cell r="AV460" t="str">
            <v>-</v>
          </cell>
          <cell r="AW460" t="str">
            <v>-</v>
          </cell>
          <cell r="AX460" t="str">
            <v>-</v>
          </cell>
          <cell r="AY460" t="str">
            <v>-</v>
          </cell>
          <cell r="AZ460" t="str">
            <v>-</v>
          </cell>
          <cell r="BA460" t="str">
            <v>-</v>
          </cell>
          <cell r="BB460" t="str">
            <v>-</v>
          </cell>
          <cell r="BC460" t="str">
            <v>-</v>
          </cell>
          <cell r="BD460" t="str">
            <v>-</v>
          </cell>
          <cell r="BE460" t="str">
            <v>-</v>
          </cell>
          <cell r="BF460" t="str">
            <v>-</v>
          </cell>
          <cell r="BG460" t="str">
            <v>-</v>
          </cell>
          <cell r="BH460" t="str">
            <v>-</v>
          </cell>
          <cell r="BI460" t="str">
            <v>-</v>
          </cell>
          <cell r="BJ460" t="str">
            <v>-</v>
          </cell>
          <cell r="BK460" t="str">
            <v>-</v>
          </cell>
          <cell r="BL460" t="str">
            <v>-</v>
          </cell>
          <cell r="BM460">
            <v>0</v>
          </cell>
          <cell r="BN460">
            <v>0</v>
          </cell>
          <cell r="BO460" t="str">
            <v>-</v>
          </cell>
          <cell r="BP460" t="str">
            <v>-</v>
          </cell>
          <cell r="BQ460">
            <v>0</v>
          </cell>
          <cell r="BR460">
            <v>0</v>
          </cell>
          <cell r="BS460">
            <v>0</v>
          </cell>
          <cell r="BT460">
            <v>0</v>
          </cell>
        </row>
        <row r="461">
          <cell r="A461" t="str">
            <v>United States2023100 / 100</v>
          </cell>
          <cell r="B461" t="str">
            <v>United States</v>
          </cell>
          <cell r="C461">
            <v>2023</v>
          </cell>
          <cell r="D461" t="str">
            <v>100 / 100</v>
          </cell>
          <cell r="E461">
            <v>66715.725999999995</v>
          </cell>
          <cell r="F461">
            <v>5559.6438333333326</v>
          </cell>
          <cell r="G461">
            <v>1283.0046000353846</v>
          </cell>
          <cell r="H461">
            <v>256.60092000707692</v>
          </cell>
          <cell r="I461">
            <v>66715.725999999995</v>
          </cell>
          <cell r="J461">
            <v>5559.6438333333326</v>
          </cell>
          <cell r="K461">
            <v>1283.0046000353846</v>
          </cell>
          <cell r="L461">
            <v>256.60092000707692</v>
          </cell>
          <cell r="M461" t="str">
            <v>..</v>
          </cell>
          <cell r="N461" t="str">
            <v>..</v>
          </cell>
          <cell r="O461" t="str">
            <v>..</v>
          </cell>
          <cell r="P461" t="str">
            <v>..</v>
          </cell>
          <cell r="Q461" t="str">
            <v>..</v>
          </cell>
          <cell r="R461" t="str">
            <v>..</v>
          </cell>
          <cell r="S461" t="str">
            <v>..</v>
          </cell>
          <cell r="T461" t="str">
            <v>..</v>
          </cell>
          <cell r="U461" t="str">
            <v>..</v>
          </cell>
          <cell r="V461">
            <v>12</v>
          </cell>
          <cell r="W461">
            <v>0</v>
          </cell>
          <cell r="X461">
            <v>12</v>
          </cell>
          <cell r="Y461" t="str">
            <v>-</v>
          </cell>
          <cell r="Z461" t="str">
            <v>No entitlement to paid paternity leave</v>
          </cell>
          <cell r="AA461" t="str">
            <v>-</v>
          </cell>
          <cell r="AB461" t="str">
            <v>-</v>
          </cell>
          <cell r="AC461" t="str">
            <v>-</v>
          </cell>
          <cell r="AD461" t="str">
            <v>-</v>
          </cell>
          <cell r="AE461" t="str">
            <v>-</v>
          </cell>
          <cell r="AF461" t="str">
            <v>-</v>
          </cell>
          <cell r="AG461" t="str">
            <v>-</v>
          </cell>
          <cell r="AH461" t="str">
            <v>-</v>
          </cell>
          <cell r="AI461" t="str">
            <v>-</v>
          </cell>
          <cell r="AJ461" t="str">
            <v>-</v>
          </cell>
          <cell r="AK461" t="str">
            <v>-</v>
          </cell>
          <cell r="AL461" t="str">
            <v>-</v>
          </cell>
          <cell r="AM461" t="str">
            <v>-</v>
          </cell>
          <cell r="AN461" t="str">
            <v>-</v>
          </cell>
          <cell r="AO461" t="str">
            <v>-</v>
          </cell>
          <cell r="AP461" t="str">
            <v>-</v>
          </cell>
          <cell r="AQ461" t="str">
            <v>-</v>
          </cell>
          <cell r="AR461" t="str">
            <v>-</v>
          </cell>
          <cell r="AS461" t="str">
            <v>-</v>
          </cell>
          <cell r="AT461" t="str">
            <v>-</v>
          </cell>
          <cell r="AU461" t="str">
            <v>-</v>
          </cell>
          <cell r="AV461" t="str">
            <v>-</v>
          </cell>
          <cell r="AW461" t="str">
            <v>-</v>
          </cell>
          <cell r="AX461" t="str">
            <v>-</v>
          </cell>
          <cell r="AY461" t="str">
            <v>-</v>
          </cell>
          <cell r="AZ461" t="str">
            <v>-</v>
          </cell>
          <cell r="BA461" t="str">
            <v>-</v>
          </cell>
          <cell r="BB461" t="str">
            <v>-</v>
          </cell>
          <cell r="BC461" t="str">
            <v>-</v>
          </cell>
          <cell r="BD461" t="str">
            <v>-</v>
          </cell>
          <cell r="BE461" t="str">
            <v>-</v>
          </cell>
          <cell r="BF461" t="str">
            <v>-</v>
          </cell>
          <cell r="BG461" t="str">
            <v>-</v>
          </cell>
          <cell r="BH461" t="str">
            <v>-</v>
          </cell>
          <cell r="BI461" t="str">
            <v>-</v>
          </cell>
          <cell r="BJ461" t="str">
            <v>-</v>
          </cell>
          <cell r="BK461" t="str">
            <v>-</v>
          </cell>
          <cell r="BL461" t="str">
            <v>-</v>
          </cell>
          <cell r="BM461">
            <v>0</v>
          </cell>
          <cell r="BN461">
            <v>0</v>
          </cell>
          <cell r="BO461" t="str">
            <v>-</v>
          </cell>
          <cell r="BP461" t="str">
            <v>-</v>
          </cell>
          <cell r="BQ461">
            <v>0</v>
          </cell>
          <cell r="BR461">
            <v>0</v>
          </cell>
          <cell r="BS461">
            <v>0</v>
          </cell>
          <cell r="BT461">
            <v>0</v>
          </cell>
        </row>
        <row r="462">
          <cell r="A462" t="str">
            <v>United States2024100 / 100</v>
          </cell>
          <cell r="B462" t="str">
            <v>United States</v>
          </cell>
          <cell r="C462">
            <v>2024</v>
          </cell>
          <cell r="D462" t="str">
            <v>100 / 100</v>
          </cell>
          <cell r="E462">
            <v>70626.89</v>
          </cell>
          <cell r="F462">
            <v>5885.5741666666663</v>
          </cell>
          <cell r="G462">
            <v>1358.2198709220838</v>
          </cell>
          <cell r="H462">
            <v>271.64397418441678</v>
          </cell>
          <cell r="I462">
            <v>70626.89</v>
          </cell>
          <cell r="J462">
            <v>5885.5741666666663</v>
          </cell>
          <cell r="K462">
            <v>1358.2198709220838</v>
          </cell>
          <cell r="L462">
            <v>271.64397418441678</v>
          </cell>
          <cell r="M462" t="str">
            <v>..</v>
          </cell>
          <cell r="N462" t="str">
            <v>..</v>
          </cell>
          <cell r="O462" t="str">
            <v>..</v>
          </cell>
          <cell r="P462" t="str">
            <v>..</v>
          </cell>
          <cell r="Q462" t="str">
            <v>..</v>
          </cell>
          <cell r="R462" t="str">
            <v>..</v>
          </cell>
          <cell r="S462" t="str">
            <v>..</v>
          </cell>
          <cell r="T462" t="str">
            <v>..</v>
          </cell>
          <cell r="U462" t="str">
            <v>..</v>
          </cell>
          <cell r="V462">
            <v>12</v>
          </cell>
          <cell r="W462">
            <v>0</v>
          </cell>
          <cell r="X462">
            <v>12</v>
          </cell>
          <cell r="Y462" t="str">
            <v>-</v>
          </cell>
          <cell r="Z462" t="str">
            <v>No entitlement to paid paternity leave</v>
          </cell>
          <cell r="AA462" t="str">
            <v>-</v>
          </cell>
          <cell r="AB462" t="str">
            <v>-</v>
          </cell>
          <cell r="AC462" t="str">
            <v>-</v>
          </cell>
          <cell r="AD462" t="str">
            <v>-</v>
          </cell>
          <cell r="AE462" t="str">
            <v>-</v>
          </cell>
          <cell r="AF462" t="str">
            <v>-</v>
          </cell>
          <cell r="AG462" t="str">
            <v>-</v>
          </cell>
          <cell r="AH462" t="str">
            <v>-</v>
          </cell>
          <cell r="AI462" t="str">
            <v>-</v>
          </cell>
          <cell r="AJ462" t="str">
            <v>-</v>
          </cell>
          <cell r="AK462" t="str">
            <v>-</v>
          </cell>
          <cell r="AL462" t="str">
            <v>-</v>
          </cell>
          <cell r="AM462" t="str">
            <v>-</v>
          </cell>
          <cell r="AN462" t="str">
            <v>-</v>
          </cell>
          <cell r="AO462" t="str">
            <v>-</v>
          </cell>
          <cell r="AP462" t="str">
            <v>-</v>
          </cell>
          <cell r="AQ462" t="str">
            <v>-</v>
          </cell>
          <cell r="AR462" t="str">
            <v>-</v>
          </cell>
          <cell r="AS462" t="str">
            <v>-</v>
          </cell>
          <cell r="AT462" t="str">
            <v>-</v>
          </cell>
          <cell r="AU462" t="str">
            <v>-</v>
          </cell>
          <cell r="AV462" t="str">
            <v>-</v>
          </cell>
          <cell r="AW462" t="str">
            <v>-</v>
          </cell>
          <cell r="AX462" t="str">
            <v>-</v>
          </cell>
          <cell r="AY462" t="str">
            <v>-</v>
          </cell>
          <cell r="AZ462" t="str">
            <v>-</v>
          </cell>
          <cell r="BA462" t="str">
            <v>-</v>
          </cell>
          <cell r="BB462" t="str">
            <v>-</v>
          </cell>
          <cell r="BC462" t="str">
            <v>-</v>
          </cell>
          <cell r="BD462" t="str">
            <v>-</v>
          </cell>
          <cell r="BE462" t="str">
            <v>-</v>
          </cell>
          <cell r="BF462" t="str">
            <v>-</v>
          </cell>
          <cell r="BG462" t="str">
            <v>-</v>
          </cell>
          <cell r="BH462" t="str">
            <v>-</v>
          </cell>
          <cell r="BI462" t="str">
            <v>-</v>
          </cell>
          <cell r="BJ462" t="str">
            <v>-</v>
          </cell>
          <cell r="BK462" t="str">
            <v>-</v>
          </cell>
          <cell r="BL462" t="str">
            <v>-</v>
          </cell>
          <cell r="BM462">
            <v>0</v>
          </cell>
          <cell r="BN462">
            <v>0</v>
          </cell>
          <cell r="BO462" t="str">
            <v>-</v>
          </cell>
          <cell r="BP462" t="str">
            <v>-</v>
          </cell>
          <cell r="BQ462">
            <v>0</v>
          </cell>
          <cell r="BR462">
            <v>0</v>
          </cell>
          <cell r="BS462">
            <v>0</v>
          </cell>
          <cell r="BT462">
            <v>0</v>
          </cell>
        </row>
        <row r="463">
          <cell r="A463" t="str">
            <v>United States2025100 / 100</v>
          </cell>
          <cell r="B463" t="str">
            <v>United States</v>
          </cell>
          <cell r="C463">
            <v>2025</v>
          </cell>
          <cell r="D463" t="str">
            <v>100 / 100</v>
          </cell>
          <cell r="E463">
            <v>70626.89</v>
          </cell>
          <cell r="F463">
            <v>5885.5741666666663</v>
          </cell>
          <cell r="G463">
            <v>1358.2198709220838</v>
          </cell>
          <cell r="H463">
            <v>271.64397418441678</v>
          </cell>
          <cell r="I463">
            <v>70626.89</v>
          </cell>
          <cell r="J463">
            <v>5885.5741666666663</v>
          </cell>
          <cell r="K463">
            <v>1358.2198709220838</v>
          </cell>
          <cell r="L463">
            <v>271.64397418441678</v>
          </cell>
          <cell r="M463" t="str">
            <v>..</v>
          </cell>
          <cell r="N463" t="str">
            <v>..</v>
          </cell>
          <cell r="O463" t="str">
            <v>..</v>
          </cell>
          <cell r="P463" t="str">
            <v>..</v>
          </cell>
          <cell r="Q463" t="str">
            <v>..</v>
          </cell>
          <cell r="R463" t="str">
            <v>..</v>
          </cell>
          <cell r="S463" t="str">
            <v>..</v>
          </cell>
          <cell r="T463" t="str">
            <v>..</v>
          </cell>
          <cell r="U463" t="str">
            <v>..</v>
          </cell>
          <cell r="V463">
            <v>12</v>
          </cell>
          <cell r="W463">
            <v>0</v>
          </cell>
          <cell r="X463">
            <v>12</v>
          </cell>
          <cell r="Y463" t="str">
            <v>-</v>
          </cell>
          <cell r="Z463" t="str">
            <v>No entitlement to paid paternity leave</v>
          </cell>
          <cell r="AA463" t="str">
            <v>-</v>
          </cell>
          <cell r="AB463" t="str">
            <v>-</v>
          </cell>
          <cell r="AC463" t="str">
            <v>-</v>
          </cell>
          <cell r="AD463" t="str">
            <v>-</v>
          </cell>
          <cell r="AE463" t="str">
            <v>-</v>
          </cell>
          <cell r="AF463" t="str">
            <v>-</v>
          </cell>
          <cell r="AG463" t="str">
            <v>-</v>
          </cell>
          <cell r="AH463" t="str">
            <v>-</v>
          </cell>
          <cell r="AI463" t="str">
            <v>-</v>
          </cell>
          <cell r="AJ463" t="str">
            <v>-</v>
          </cell>
          <cell r="AK463" t="str">
            <v>-</v>
          </cell>
          <cell r="AL463" t="str">
            <v>-</v>
          </cell>
          <cell r="AM463" t="str">
            <v>-</v>
          </cell>
          <cell r="AN463" t="str">
            <v>-</v>
          </cell>
          <cell r="AO463" t="str">
            <v>-</v>
          </cell>
          <cell r="AP463" t="str">
            <v>-</v>
          </cell>
          <cell r="AQ463" t="str">
            <v>-</v>
          </cell>
          <cell r="AR463" t="str">
            <v>-</v>
          </cell>
          <cell r="AS463" t="str">
            <v>-</v>
          </cell>
          <cell r="AT463" t="str">
            <v>-</v>
          </cell>
          <cell r="AU463" t="str">
            <v>-</v>
          </cell>
          <cell r="AV463" t="str">
            <v>-</v>
          </cell>
          <cell r="AW463" t="str">
            <v>-</v>
          </cell>
          <cell r="AX463" t="str">
            <v>-</v>
          </cell>
          <cell r="AY463" t="str">
            <v>-</v>
          </cell>
          <cell r="AZ463" t="str">
            <v>-</v>
          </cell>
          <cell r="BA463" t="str">
            <v>-</v>
          </cell>
          <cell r="BB463" t="str">
            <v>-</v>
          </cell>
          <cell r="BC463" t="str">
            <v>-</v>
          </cell>
          <cell r="BD463" t="str">
            <v>-</v>
          </cell>
          <cell r="BE463" t="str">
            <v>-</v>
          </cell>
          <cell r="BF463" t="str">
            <v>-</v>
          </cell>
          <cell r="BG463" t="str">
            <v>-</v>
          </cell>
          <cell r="BH463" t="str">
            <v>-</v>
          </cell>
          <cell r="BI463" t="str">
            <v>-</v>
          </cell>
          <cell r="BJ463" t="str">
            <v>-</v>
          </cell>
          <cell r="BK463" t="str">
            <v>-</v>
          </cell>
          <cell r="BL463" t="str">
            <v>-</v>
          </cell>
          <cell r="BM463">
            <v>0</v>
          </cell>
          <cell r="BN463">
            <v>0</v>
          </cell>
          <cell r="BO463" t="str">
            <v>-</v>
          </cell>
          <cell r="BP463" t="str">
            <v>-</v>
          </cell>
          <cell r="BQ463">
            <v>0</v>
          </cell>
          <cell r="BR463">
            <v>0</v>
          </cell>
          <cell r="BS463">
            <v>0</v>
          </cell>
          <cell r="BT463">
            <v>0</v>
          </cell>
        </row>
        <row r="464">
          <cell r="A464" t="str">
            <v>Bulgaria2014100 / 100</v>
          </cell>
          <cell r="B464" t="str">
            <v>Bulgaria</v>
          </cell>
          <cell r="C464">
            <v>2014</v>
          </cell>
          <cell r="D464" t="str">
            <v>100 / 100</v>
          </cell>
          <cell r="E464">
            <v>10064</v>
          </cell>
          <cell r="F464">
            <v>838.66666666666663</v>
          </cell>
          <cell r="G464">
            <v>193.53995030731002</v>
          </cell>
          <cell r="H464">
            <v>38.707990061462006</v>
          </cell>
          <cell r="I464">
            <v>10064</v>
          </cell>
          <cell r="J464">
            <v>838.66666666666663</v>
          </cell>
          <cell r="K464">
            <v>193.53995030731002</v>
          </cell>
          <cell r="L464">
            <v>38.707990061462006</v>
          </cell>
          <cell r="M464" t="str">
            <v>..</v>
          </cell>
          <cell r="N464" t="str">
            <v>..</v>
          </cell>
          <cell r="O464" t="str">
            <v>..</v>
          </cell>
          <cell r="P464" t="str">
            <v>..</v>
          </cell>
          <cell r="Q464" t="str">
            <v>..</v>
          </cell>
          <cell r="R464" t="str">
            <v>..</v>
          </cell>
          <cell r="S464" t="str">
            <v>..</v>
          </cell>
          <cell r="T464" t="str">
            <v>..</v>
          </cell>
          <cell r="U464" t="str">
            <v>..</v>
          </cell>
          <cell r="V464" t="str">
            <v>?</v>
          </cell>
          <cell r="W464">
            <v>0</v>
          </cell>
          <cell r="X464" t="str">
            <v>?</v>
          </cell>
          <cell r="Y464" t="str">
            <v>-</v>
          </cell>
          <cell r="Z464" t="str">
            <v>No statutory entitlement</v>
          </cell>
          <cell r="AA464" t="str">
            <v>-</v>
          </cell>
          <cell r="AB464" t="str">
            <v>-</v>
          </cell>
          <cell r="AC464" t="str">
            <v>-</v>
          </cell>
          <cell r="AD464" t="str">
            <v>-</v>
          </cell>
          <cell r="AE464" t="str">
            <v>-</v>
          </cell>
          <cell r="AF464" t="str">
            <v>-</v>
          </cell>
          <cell r="AG464" t="str">
            <v>-</v>
          </cell>
          <cell r="AH464" t="str">
            <v>-</v>
          </cell>
          <cell r="AI464" t="str">
            <v>-</v>
          </cell>
          <cell r="AJ464" t="str">
            <v>-</v>
          </cell>
          <cell r="AK464" t="str">
            <v>-</v>
          </cell>
          <cell r="AL464" t="str">
            <v>-</v>
          </cell>
          <cell r="AM464" t="str">
            <v>-</v>
          </cell>
          <cell r="AN464" t="str">
            <v>-</v>
          </cell>
          <cell r="AO464" t="str">
            <v>-</v>
          </cell>
          <cell r="AP464" t="str">
            <v>-</v>
          </cell>
          <cell r="AQ464" t="str">
            <v>-</v>
          </cell>
          <cell r="AR464" t="str">
            <v>-</v>
          </cell>
          <cell r="AS464" t="str">
            <v>-</v>
          </cell>
          <cell r="AT464" t="str">
            <v>-</v>
          </cell>
          <cell r="AU464" t="str">
            <v>-</v>
          </cell>
          <cell r="AV464" t="str">
            <v>-</v>
          </cell>
          <cell r="AW464" t="str">
            <v>-</v>
          </cell>
          <cell r="AX464" t="str">
            <v>-</v>
          </cell>
          <cell r="AY464" t="str">
            <v>-</v>
          </cell>
          <cell r="AZ464" t="str">
            <v>-</v>
          </cell>
          <cell r="BA464" t="str">
            <v>-</v>
          </cell>
          <cell r="BB464" t="str">
            <v>-</v>
          </cell>
          <cell r="BC464" t="str">
            <v>-</v>
          </cell>
          <cell r="BD464" t="str">
            <v>-</v>
          </cell>
          <cell r="BE464" t="str">
            <v>-</v>
          </cell>
          <cell r="BF464" t="str">
            <v>-</v>
          </cell>
          <cell r="BG464" t="str">
            <v>-</v>
          </cell>
          <cell r="BH464" t="str">
            <v>-</v>
          </cell>
          <cell r="BI464" t="str">
            <v>-</v>
          </cell>
          <cell r="BJ464" t="str">
            <v>-</v>
          </cell>
          <cell r="BK464" t="str">
            <v>-</v>
          </cell>
          <cell r="BL464" t="str">
            <v>-</v>
          </cell>
          <cell r="BM464">
            <v>0</v>
          </cell>
          <cell r="BN464">
            <v>0</v>
          </cell>
          <cell r="BO464" t="str">
            <v>-</v>
          </cell>
          <cell r="BP464" t="str">
            <v>-</v>
          </cell>
          <cell r="BQ464">
            <v>0</v>
          </cell>
          <cell r="BR464">
            <v>0</v>
          </cell>
          <cell r="BS464">
            <v>0</v>
          </cell>
          <cell r="BT464">
            <v>0</v>
          </cell>
        </row>
        <row r="465">
          <cell r="A465" t="str">
            <v>Bulgaria2015100 / 100</v>
          </cell>
          <cell r="B465" t="str">
            <v>Bulgaria</v>
          </cell>
          <cell r="C465">
            <v>2015</v>
          </cell>
          <cell r="D465" t="str">
            <v>100 / 100</v>
          </cell>
          <cell r="E465">
            <v>10826</v>
          </cell>
          <cell r="F465">
            <v>902.16666666666663</v>
          </cell>
          <cell r="G465">
            <v>208.19390918391676</v>
          </cell>
          <cell r="H465">
            <v>41.638781836783352</v>
          </cell>
          <cell r="I465">
            <v>10826</v>
          </cell>
          <cell r="J465">
            <v>902.16666666666663</v>
          </cell>
          <cell r="K465">
            <v>208.19390918391676</v>
          </cell>
          <cell r="L465">
            <v>41.638781836783352</v>
          </cell>
          <cell r="M465" t="str">
            <v>..</v>
          </cell>
          <cell r="N465" t="str">
            <v>..</v>
          </cell>
          <cell r="O465" t="str">
            <v>..</v>
          </cell>
          <cell r="P465" t="str">
            <v>..</v>
          </cell>
          <cell r="Q465" t="str">
            <v>..</v>
          </cell>
          <cell r="R465" t="str">
            <v>..</v>
          </cell>
          <cell r="S465" t="str">
            <v>..</v>
          </cell>
          <cell r="T465" t="str">
            <v>..</v>
          </cell>
          <cell r="U465" t="str">
            <v>..</v>
          </cell>
          <cell r="V465" t="str">
            <v>?</v>
          </cell>
          <cell r="W465">
            <v>0</v>
          </cell>
          <cell r="X465" t="str">
            <v>?</v>
          </cell>
          <cell r="Y465" t="str">
            <v>-</v>
          </cell>
          <cell r="Z465" t="str">
            <v>No statutory entitlement</v>
          </cell>
          <cell r="AA465" t="str">
            <v>-</v>
          </cell>
          <cell r="AB465" t="str">
            <v>-</v>
          </cell>
          <cell r="AC465" t="str">
            <v>-</v>
          </cell>
          <cell r="AD465" t="str">
            <v>-</v>
          </cell>
          <cell r="AE465" t="str">
            <v>-</v>
          </cell>
          <cell r="AF465" t="str">
            <v>-</v>
          </cell>
          <cell r="AG465" t="str">
            <v>-</v>
          </cell>
          <cell r="AH465" t="str">
            <v>-</v>
          </cell>
          <cell r="AI465" t="str">
            <v>-</v>
          </cell>
          <cell r="AJ465" t="str">
            <v>-</v>
          </cell>
          <cell r="AK465" t="str">
            <v>-</v>
          </cell>
          <cell r="AL465" t="str">
            <v>-</v>
          </cell>
          <cell r="AM465" t="str">
            <v>-</v>
          </cell>
          <cell r="AN465" t="str">
            <v>-</v>
          </cell>
          <cell r="AO465" t="str">
            <v>-</v>
          </cell>
          <cell r="AP465" t="str">
            <v>-</v>
          </cell>
          <cell r="AQ465" t="str">
            <v>-</v>
          </cell>
          <cell r="AR465" t="str">
            <v>-</v>
          </cell>
          <cell r="AS465" t="str">
            <v>-</v>
          </cell>
          <cell r="AT465" t="str">
            <v>-</v>
          </cell>
          <cell r="AU465" t="str">
            <v>-</v>
          </cell>
          <cell r="AV465" t="str">
            <v>-</v>
          </cell>
          <cell r="AW465" t="str">
            <v>-</v>
          </cell>
          <cell r="AX465" t="str">
            <v>-</v>
          </cell>
          <cell r="AY465" t="str">
            <v>-</v>
          </cell>
          <cell r="AZ465" t="str">
            <v>-</v>
          </cell>
          <cell r="BA465" t="str">
            <v>-</v>
          </cell>
          <cell r="BB465" t="str">
            <v>-</v>
          </cell>
          <cell r="BC465" t="str">
            <v>-</v>
          </cell>
          <cell r="BD465" t="str">
            <v>-</v>
          </cell>
          <cell r="BE465" t="str">
            <v>-</v>
          </cell>
          <cell r="BF465" t="str">
            <v>-</v>
          </cell>
          <cell r="BG465" t="str">
            <v>-</v>
          </cell>
          <cell r="BH465" t="str">
            <v>-</v>
          </cell>
          <cell r="BI465" t="str">
            <v>-</v>
          </cell>
          <cell r="BJ465" t="str">
            <v>-</v>
          </cell>
          <cell r="BK465" t="str">
            <v>-</v>
          </cell>
          <cell r="BL465" t="str">
            <v>-</v>
          </cell>
          <cell r="BM465">
            <v>0</v>
          </cell>
          <cell r="BN465">
            <v>0</v>
          </cell>
          <cell r="BO465" t="str">
            <v>-</v>
          </cell>
          <cell r="BP465" t="str">
            <v>-</v>
          </cell>
          <cell r="BQ465">
            <v>0</v>
          </cell>
          <cell r="BR465">
            <v>0</v>
          </cell>
          <cell r="BS465">
            <v>0</v>
          </cell>
          <cell r="BT465">
            <v>0</v>
          </cell>
        </row>
        <row r="466">
          <cell r="A466" t="str">
            <v>Bulgaria2016100 / 100</v>
          </cell>
          <cell r="B466" t="str">
            <v>Bulgaria</v>
          </cell>
          <cell r="C466">
            <v>2016</v>
          </cell>
          <cell r="D466" t="str">
            <v>100 / 100</v>
          </cell>
          <cell r="E466">
            <v>11699</v>
          </cell>
          <cell r="F466">
            <v>974.91666666666663</v>
          </cell>
          <cell r="G466">
            <v>224.98249986538355</v>
          </cell>
          <cell r="H466">
            <v>44.996499973076709</v>
          </cell>
          <cell r="I466">
            <v>11699</v>
          </cell>
          <cell r="J466">
            <v>974.91666666666663</v>
          </cell>
          <cell r="K466">
            <v>224.98249986538355</v>
          </cell>
          <cell r="L466">
            <v>44.996499973076709</v>
          </cell>
          <cell r="M466" t="str">
            <v>..</v>
          </cell>
          <cell r="N466" t="str">
            <v>..</v>
          </cell>
          <cell r="O466" t="str">
            <v>..</v>
          </cell>
          <cell r="P466" t="str">
            <v>..</v>
          </cell>
          <cell r="Q466" t="str">
            <v>..</v>
          </cell>
          <cell r="R466" t="str">
            <v>..</v>
          </cell>
          <cell r="S466" t="str">
            <v>..</v>
          </cell>
          <cell r="T466" t="str">
            <v>..</v>
          </cell>
          <cell r="U466" t="str">
            <v>..</v>
          </cell>
          <cell r="V466" t="str">
            <v>?</v>
          </cell>
          <cell r="W466">
            <v>0</v>
          </cell>
          <cell r="X466" t="str">
            <v>?</v>
          </cell>
          <cell r="Y466" t="str">
            <v>-</v>
          </cell>
          <cell r="Z466" t="str">
            <v>No statutory entitlement</v>
          </cell>
          <cell r="AA466" t="str">
            <v>-</v>
          </cell>
          <cell r="AB466" t="str">
            <v>-</v>
          </cell>
          <cell r="AC466" t="str">
            <v>-</v>
          </cell>
          <cell r="AD466" t="str">
            <v>-</v>
          </cell>
          <cell r="AE466" t="str">
            <v>-</v>
          </cell>
          <cell r="AF466" t="str">
            <v>-</v>
          </cell>
          <cell r="AG466" t="str">
            <v>-</v>
          </cell>
          <cell r="AH466" t="str">
            <v>-</v>
          </cell>
          <cell r="AI466" t="str">
            <v>-</v>
          </cell>
          <cell r="AJ466" t="str">
            <v>-</v>
          </cell>
          <cell r="AK466" t="str">
            <v>-</v>
          </cell>
          <cell r="AL466" t="str">
            <v>-</v>
          </cell>
          <cell r="AM466" t="str">
            <v>-</v>
          </cell>
          <cell r="AN466" t="str">
            <v>-</v>
          </cell>
          <cell r="AO466" t="str">
            <v>-</v>
          </cell>
          <cell r="AP466" t="str">
            <v>-</v>
          </cell>
          <cell r="AQ466" t="str">
            <v>-</v>
          </cell>
          <cell r="AR466" t="str">
            <v>-</v>
          </cell>
          <cell r="AS466" t="str">
            <v>-</v>
          </cell>
          <cell r="AT466" t="str">
            <v>-</v>
          </cell>
          <cell r="AU466" t="str">
            <v>-</v>
          </cell>
          <cell r="AV466" t="str">
            <v>-</v>
          </cell>
          <cell r="AW466" t="str">
            <v>-</v>
          </cell>
          <cell r="AX466" t="str">
            <v>-</v>
          </cell>
          <cell r="AY466" t="str">
            <v>-</v>
          </cell>
          <cell r="AZ466" t="str">
            <v>-</v>
          </cell>
          <cell r="BA466" t="str">
            <v>-</v>
          </cell>
          <cell r="BB466" t="str">
            <v>-</v>
          </cell>
          <cell r="BC466" t="str">
            <v>-</v>
          </cell>
          <cell r="BD466" t="str">
            <v>-</v>
          </cell>
          <cell r="BE466" t="str">
            <v>-</v>
          </cell>
          <cell r="BF466" t="str">
            <v>-</v>
          </cell>
          <cell r="BG466" t="str">
            <v>-</v>
          </cell>
          <cell r="BH466" t="str">
            <v>-</v>
          </cell>
          <cell r="BI466" t="str">
            <v>-</v>
          </cell>
          <cell r="BJ466" t="str">
            <v>-</v>
          </cell>
          <cell r="BK466" t="str">
            <v>-</v>
          </cell>
          <cell r="BL466" t="str">
            <v>-</v>
          </cell>
          <cell r="BM466">
            <v>0</v>
          </cell>
          <cell r="BN466">
            <v>0</v>
          </cell>
          <cell r="BO466" t="str">
            <v>-</v>
          </cell>
          <cell r="BP466" t="str">
            <v>-</v>
          </cell>
          <cell r="BQ466">
            <v>0</v>
          </cell>
          <cell r="BR466">
            <v>0</v>
          </cell>
          <cell r="BS466">
            <v>0</v>
          </cell>
          <cell r="BT466">
            <v>0</v>
          </cell>
        </row>
        <row r="467">
          <cell r="A467" t="str">
            <v>Bulgaria2017100 / 100</v>
          </cell>
          <cell r="B467" t="str">
            <v>Bulgaria</v>
          </cell>
          <cell r="C467">
            <v>2017</v>
          </cell>
          <cell r="D467" t="str">
            <v>100 / 100</v>
          </cell>
          <cell r="E467">
            <v>12871</v>
          </cell>
          <cell r="F467">
            <v>1072.5833333333333</v>
          </cell>
          <cell r="G467">
            <v>247.52113477795979</v>
          </cell>
          <cell r="H467">
            <v>49.50422695559196</v>
          </cell>
          <cell r="I467">
            <v>12871</v>
          </cell>
          <cell r="J467">
            <v>1072.5833333333333</v>
          </cell>
          <cell r="K467">
            <v>247.52113477795979</v>
          </cell>
          <cell r="L467">
            <v>49.50422695559196</v>
          </cell>
          <cell r="M467" t="str">
            <v>..</v>
          </cell>
          <cell r="N467" t="str">
            <v>..</v>
          </cell>
          <cell r="O467" t="str">
            <v>..</v>
          </cell>
          <cell r="P467" t="str">
            <v>..</v>
          </cell>
          <cell r="Q467" t="str">
            <v>..</v>
          </cell>
          <cell r="R467" t="str">
            <v>..</v>
          </cell>
          <cell r="S467" t="str">
            <v>..</v>
          </cell>
          <cell r="T467" t="str">
            <v>..</v>
          </cell>
          <cell r="U467" t="str">
            <v>..</v>
          </cell>
          <cell r="V467" t="str">
            <v>?</v>
          </cell>
          <cell r="W467">
            <v>0</v>
          </cell>
          <cell r="X467" t="str">
            <v>?</v>
          </cell>
          <cell r="Y467" t="str">
            <v>-</v>
          </cell>
          <cell r="Z467" t="str">
            <v>No statutory entitlement</v>
          </cell>
          <cell r="AA467" t="str">
            <v>-</v>
          </cell>
          <cell r="AB467" t="str">
            <v>-</v>
          </cell>
          <cell r="AC467" t="str">
            <v>-</v>
          </cell>
          <cell r="AD467" t="str">
            <v>-</v>
          </cell>
          <cell r="AE467" t="str">
            <v>-</v>
          </cell>
          <cell r="AF467" t="str">
            <v>-</v>
          </cell>
          <cell r="AG467" t="str">
            <v>-</v>
          </cell>
          <cell r="AH467" t="str">
            <v>-</v>
          </cell>
          <cell r="AI467" t="str">
            <v>-</v>
          </cell>
          <cell r="AJ467" t="str">
            <v>-</v>
          </cell>
          <cell r="AK467" t="str">
            <v>-</v>
          </cell>
          <cell r="AL467" t="str">
            <v>-</v>
          </cell>
          <cell r="AM467" t="str">
            <v>-</v>
          </cell>
          <cell r="AN467" t="str">
            <v>-</v>
          </cell>
          <cell r="AO467" t="str">
            <v>-</v>
          </cell>
          <cell r="AP467" t="str">
            <v>-</v>
          </cell>
          <cell r="AQ467" t="str">
            <v>-</v>
          </cell>
          <cell r="AR467" t="str">
            <v>-</v>
          </cell>
          <cell r="AS467" t="str">
            <v>-</v>
          </cell>
          <cell r="AT467" t="str">
            <v>-</v>
          </cell>
          <cell r="AU467" t="str">
            <v>-</v>
          </cell>
          <cell r="AV467" t="str">
            <v>-</v>
          </cell>
          <cell r="AW467" t="str">
            <v>-</v>
          </cell>
          <cell r="AX467" t="str">
            <v>-</v>
          </cell>
          <cell r="AY467" t="str">
            <v>-</v>
          </cell>
          <cell r="AZ467" t="str">
            <v>-</v>
          </cell>
          <cell r="BA467" t="str">
            <v>-</v>
          </cell>
          <cell r="BB467" t="str">
            <v>-</v>
          </cell>
          <cell r="BC467" t="str">
            <v>-</v>
          </cell>
          <cell r="BD467" t="str">
            <v>-</v>
          </cell>
          <cell r="BE467" t="str">
            <v>-</v>
          </cell>
          <cell r="BF467" t="str">
            <v>-</v>
          </cell>
          <cell r="BG467" t="str">
            <v>-</v>
          </cell>
          <cell r="BH467" t="str">
            <v>-</v>
          </cell>
          <cell r="BI467" t="str">
            <v>-</v>
          </cell>
          <cell r="BJ467" t="str">
            <v>-</v>
          </cell>
          <cell r="BK467" t="str">
            <v>-</v>
          </cell>
          <cell r="BL467" t="str">
            <v>-</v>
          </cell>
          <cell r="BM467">
            <v>0</v>
          </cell>
          <cell r="BN467">
            <v>0</v>
          </cell>
          <cell r="BO467" t="str">
            <v>-</v>
          </cell>
          <cell r="BP467" t="str">
            <v>-</v>
          </cell>
          <cell r="BQ467">
            <v>0</v>
          </cell>
          <cell r="BR467">
            <v>0</v>
          </cell>
          <cell r="BS467">
            <v>0</v>
          </cell>
          <cell r="BT467">
            <v>0</v>
          </cell>
        </row>
        <row r="468">
          <cell r="A468" t="str">
            <v>Bulgaria2018100 / 100</v>
          </cell>
          <cell r="B468" t="str">
            <v>Bulgaria</v>
          </cell>
          <cell r="C468">
            <v>2018</v>
          </cell>
          <cell r="D468" t="str">
            <v>100 / 100</v>
          </cell>
          <cell r="E468">
            <v>13729</v>
          </cell>
          <cell r="F468">
            <v>1144.0833333333333</v>
          </cell>
          <cell r="G468">
            <v>264.02126170201308</v>
          </cell>
          <cell r="H468">
            <v>52.804252340402613</v>
          </cell>
          <cell r="I468">
            <v>13729</v>
          </cell>
          <cell r="J468">
            <v>1144.0833333333333</v>
          </cell>
          <cell r="K468">
            <v>264.02126170201308</v>
          </cell>
          <cell r="L468">
            <v>52.804252340402613</v>
          </cell>
          <cell r="M468" t="str">
            <v>..</v>
          </cell>
          <cell r="N468" t="str">
            <v>..</v>
          </cell>
          <cell r="O468" t="str">
            <v>..</v>
          </cell>
          <cell r="P468" t="str">
            <v>..</v>
          </cell>
          <cell r="Q468" t="str">
            <v>..</v>
          </cell>
          <cell r="R468" t="str">
            <v>..</v>
          </cell>
          <cell r="S468" t="str">
            <v>..</v>
          </cell>
          <cell r="T468" t="str">
            <v>..</v>
          </cell>
          <cell r="U468" t="str">
            <v>..</v>
          </cell>
          <cell r="V468">
            <v>4.33</v>
          </cell>
          <cell r="W468">
            <v>0</v>
          </cell>
          <cell r="X468">
            <v>4.33</v>
          </cell>
          <cell r="Y468" t="str">
            <v>-</v>
          </cell>
          <cell r="Z468" t="str">
            <v>No statutory entitlement</v>
          </cell>
          <cell r="AA468" t="str">
            <v>-</v>
          </cell>
          <cell r="AB468" t="str">
            <v>-</v>
          </cell>
          <cell r="AC468" t="str">
            <v>-</v>
          </cell>
          <cell r="AD468" t="str">
            <v>-</v>
          </cell>
          <cell r="AE468" t="str">
            <v>-</v>
          </cell>
          <cell r="AF468" t="str">
            <v>-</v>
          </cell>
          <cell r="AG468" t="str">
            <v>-</v>
          </cell>
          <cell r="AH468" t="str">
            <v>-</v>
          </cell>
          <cell r="AI468" t="str">
            <v>-</v>
          </cell>
          <cell r="AJ468" t="str">
            <v>-</v>
          </cell>
          <cell r="AK468" t="str">
            <v>-</v>
          </cell>
          <cell r="AL468" t="str">
            <v>-</v>
          </cell>
          <cell r="AM468" t="str">
            <v>-</v>
          </cell>
          <cell r="AN468" t="str">
            <v>-</v>
          </cell>
          <cell r="AO468" t="str">
            <v>-</v>
          </cell>
          <cell r="AP468" t="str">
            <v>-</v>
          </cell>
          <cell r="AQ468" t="str">
            <v>-</v>
          </cell>
          <cell r="AR468" t="str">
            <v>-</v>
          </cell>
          <cell r="AS468" t="str">
            <v>-</v>
          </cell>
          <cell r="AT468" t="str">
            <v>-</v>
          </cell>
          <cell r="AU468" t="str">
            <v>-</v>
          </cell>
          <cell r="AV468" t="str">
            <v>-</v>
          </cell>
          <cell r="AW468" t="str">
            <v>-</v>
          </cell>
          <cell r="AX468" t="str">
            <v>-</v>
          </cell>
          <cell r="AY468" t="str">
            <v>-</v>
          </cell>
          <cell r="AZ468" t="str">
            <v>-</v>
          </cell>
          <cell r="BA468" t="str">
            <v>-</v>
          </cell>
          <cell r="BB468" t="str">
            <v>-</v>
          </cell>
          <cell r="BC468" t="str">
            <v>-</v>
          </cell>
          <cell r="BD468" t="str">
            <v>-</v>
          </cell>
          <cell r="BE468" t="str">
            <v>-</v>
          </cell>
          <cell r="BF468" t="str">
            <v>-</v>
          </cell>
          <cell r="BG468" t="str">
            <v>-</v>
          </cell>
          <cell r="BH468" t="str">
            <v>-</v>
          </cell>
          <cell r="BI468" t="str">
            <v>-</v>
          </cell>
          <cell r="BJ468" t="str">
            <v>-</v>
          </cell>
          <cell r="BK468" t="str">
            <v>-</v>
          </cell>
          <cell r="BL468" t="str">
            <v>-</v>
          </cell>
          <cell r="BM468">
            <v>0</v>
          </cell>
          <cell r="BN468">
            <v>0</v>
          </cell>
          <cell r="BO468" t="str">
            <v>-</v>
          </cell>
          <cell r="BP468" t="str">
            <v>-</v>
          </cell>
          <cell r="BQ468">
            <v>0</v>
          </cell>
          <cell r="BR468">
            <v>0</v>
          </cell>
          <cell r="BS468">
            <v>0</v>
          </cell>
          <cell r="BT468">
            <v>0</v>
          </cell>
        </row>
        <row r="469">
          <cell r="A469" t="str">
            <v>Bulgaria2019100 / 100</v>
          </cell>
          <cell r="B469" t="str">
            <v>Bulgaria</v>
          </cell>
          <cell r="C469">
            <v>2019</v>
          </cell>
          <cell r="D469" t="str">
            <v>100 / 100</v>
          </cell>
          <cell r="E469">
            <v>15357</v>
          </cell>
          <cell r="F469">
            <v>1279.75</v>
          </cell>
          <cell r="G469">
            <v>295.32919483996028</v>
          </cell>
          <cell r="H469">
            <v>59.065838967992057</v>
          </cell>
          <cell r="I469">
            <v>15357</v>
          </cell>
          <cell r="J469">
            <v>1279.75</v>
          </cell>
          <cell r="K469">
            <v>295.32919483996028</v>
          </cell>
          <cell r="L469">
            <v>59.065838967992057</v>
          </cell>
          <cell r="M469" t="str">
            <v>..</v>
          </cell>
          <cell r="N469" t="str">
            <v>..</v>
          </cell>
          <cell r="O469" t="str">
            <v>..</v>
          </cell>
          <cell r="P469" t="str">
            <v>..</v>
          </cell>
          <cell r="Q469" t="str">
            <v>..</v>
          </cell>
          <cell r="R469" t="str">
            <v>..</v>
          </cell>
          <cell r="S469" t="str">
            <v>..</v>
          </cell>
          <cell r="T469" t="str">
            <v>..</v>
          </cell>
          <cell r="U469" t="str">
            <v>..</v>
          </cell>
          <cell r="V469">
            <v>4.33</v>
          </cell>
          <cell r="W469">
            <v>0</v>
          </cell>
          <cell r="X469">
            <v>4.33</v>
          </cell>
          <cell r="Y469" t="str">
            <v>-</v>
          </cell>
          <cell r="Z469" t="str">
            <v>No statutory entitlement</v>
          </cell>
          <cell r="AA469" t="str">
            <v>-</v>
          </cell>
          <cell r="AB469" t="str">
            <v>-</v>
          </cell>
          <cell r="AC469" t="str">
            <v>-</v>
          </cell>
          <cell r="AD469" t="str">
            <v>-</v>
          </cell>
          <cell r="AE469" t="str">
            <v>-</v>
          </cell>
          <cell r="AF469" t="str">
            <v>-</v>
          </cell>
          <cell r="AG469" t="str">
            <v>-</v>
          </cell>
          <cell r="AH469" t="str">
            <v>-</v>
          </cell>
          <cell r="AI469" t="str">
            <v>-</v>
          </cell>
          <cell r="AJ469" t="str">
            <v>-</v>
          </cell>
          <cell r="AK469" t="str">
            <v>-</v>
          </cell>
          <cell r="AL469" t="str">
            <v>-</v>
          </cell>
          <cell r="AM469" t="str">
            <v>-</v>
          </cell>
          <cell r="AN469" t="str">
            <v>-</v>
          </cell>
          <cell r="AO469" t="str">
            <v>-</v>
          </cell>
          <cell r="AP469" t="str">
            <v>-</v>
          </cell>
          <cell r="AQ469" t="str">
            <v>-</v>
          </cell>
          <cell r="AR469" t="str">
            <v>-</v>
          </cell>
          <cell r="AS469" t="str">
            <v>-</v>
          </cell>
          <cell r="AT469" t="str">
            <v>-</v>
          </cell>
          <cell r="AU469" t="str">
            <v>-</v>
          </cell>
          <cell r="AV469" t="str">
            <v>-</v>
          </cell>
          <cell r="AW469" t="str">
            <v>-</v>
          </cell>
          <cell r="AX469" t="str">
            <v>-</v>
          </cell>
          <cell r="AY469" t="str">
            <v>-</v>
          </cell>
          <cell r="AZ469" t="str">
            <v>-</v>
          </cell>
          <cell r="BA469" t="str">
            <v>-</v>
          </cell>
          <cell r="BB469" t="str">
            <v>-</v>
          </cell>
          <cell r="BC469" t="str">
            <v>-</v>
          </cell>
          <cell r="BD469" t="str">
            <v>-</v>
          </cell>
          <cell r="BE469" t="str">
            <v>-</v>
          </cell>
          <cell r="BF469" t="str">
            <v>-</v>
          </cell>
          <cell r="BG469" t="str">
            <v>-</v>
          </cell>
          <cell r="BH469" t="str">
            <v>-</v>
          </cell>
          <cell r="BI469" t="str">
            <v>-</v>
          </cell>
          <cell r="BJ469" t="str">
            <v>-</v>
          </cell>
          <cell r="BK469" t="str">
            <v>-</v>
          </cell>
          <cell r="BL469" t="str">
            <v>-</v>
          </cell>
          <cell r="BM469">
            <v>0</v>
          </cell>
          <cell r="BN469">
            <v>0</v>
          </cell>
          <cell r="BO469" t="str">
            <v>-</v>
          </cell>
          <cell r="BP469" t="str">
            <v>-</v>
          </cell>
          <cell r="BQ469">
            <v>0</v>
          </cell>
          <cell r="BR469">
            <v>0</v>
          </cell>
          <cell r="BS469">
            <v>0</v>
          </cell>
          <cell r="BT469">
            <v>0</v>
          </cell>
        </row>
        <row r="470">
          <cell r="A470" t="str">
            <v>Bulgaria2020100 / 100</v>
          </cell>
          <cell r="B470" t="str">
            <v>Bulgaria</v>
          </cell>
          <cell r="C470">
            <v>2020</v>
          </cell>
          <cell r="D470" t="str">
            <v>100 / 100</v>
          </cell>
          <cell r="E470">
            <v>16667</v>
          </cell>
          <cell r="F470">
            <v>1388.9166666666667</v>
          </cell>
          <cell r="G470">
            <v>320.52169632074094</v>
          </cell>
          <cell r="H470">
            <v>64.104339264148194</v>
          </cell>
          <cell r="I470">
            <v>16667</v>
          </cell>
          <cell r="J470">
            <v>1388.9166666666667</v>
          </cell>
          <cell r="K470">
            <v>320.52169632074094</v>
          </cell>
          <cell r="L470">
            <v>64.104339264148194</v>
          </cell>
          <cell r="M470" t="str">
            <v>..</v>
          </cell>
          <cell r="N470" t="str">
            <v>..</v>
          </cell>
          <cell r="O470" t="str">
            <v>..</v>
          </cell>
          <cell r="P470" t="str">
            <v>..</v>
          </cell>
          <cell r="Q470" t="str">
            <v>..</v>
          </cell>
          <cell r="R470" t="str">
            <v>..</v>
          </cell>
          <cell r="S470" t="str">
            <v>..</v>
          </cell>
          <cell r="T470" t="str">
            <v>..</v>
          </cell>
          <cell r="U470" t="str">
            <v>..</v>
          </cell>
          <cell r="V470">
            <v>4.33</v>
          </cell>
          <cell r="W470">
            <v>0</v>
          </cell>
          <cell r="X470">
            <v>4.33</v>
          </cell>
          <cell r="Y470" t="str">
            <v>-</v>
          </cell>
          <cell r="Z470" t="str">
            <v>No statutory entitlement</v>
          </cell>
          <cell r="AA470" t="str">
            <v>-</v>
          </cell>
          <cell r="AB470" t="str">
            <v>-</v>
          </cell>
          <cell r="AC470" t="str">
            <v>-</v>
          </cell>
          <cell r="AD470" t="str">
            <v>-</v>
          </cell>
          <cell r="AE470" t="str">
            <v>-</v>
          </cell>
          <cell r="AF470" t="str">
            <v>-</v>
          </cell>
          <cell r="AG470" t="str">
            <v>-</v>
          </cell>
          <cell r="AH470" t="str">
            <v>-</v>
          </cell>
          <cell r="AI470" t="str">
            <v>-</v>
          </cell>
          <cell r="AJ470" t="str">
            <v>-</v>
          </cell>
          <cell r="AK470" t="str">
            <v>-</v>
          </cell>
          <cell r="AL470" t="str">
            <v>-</v>
          </cell>
          <cell r="AM470" t="str">
            <v>-</v>
          </cell>
          <cell r="AN470" t="str">
            <v>-</v>
          </cell>
          <cell r="AO470" t="str">
            <v>-</v>
          </cell>
          <cell r="AP470" t="str">
            <v>-</v>
          </cell>
          <cell r="AQ470" t="str">
            <v>-</v>
          </cell>
          <cell r="AR470" t="str">
            <v>-</v>
          </cell>
          <cell r="AS470" t="str">
            <v>-</v>
          </cell>
          <cell r="AT470" t="str">
            <v>-</v>
          </cell>
          <cell r="AU470" t="str">
            <v>-</v>
          </cell>
          <cell r="AV470" t="str">
            <v>-</v>
          </cell>
          <cell r="AW470" t="str">
            <v>-</v>
          </cell>
          <cell r="AX470" t="str">
            <v>-</v>
          </cell>
          <cell r="AY470" t="str">
            <v>-</v>
          </cell>
          <cell r="AZ470" t="str">
            <v>-</v>
          </cell>
          <cell r="BA470" t="str">
            <v>-</v>
          </cell>
          <cell r="BB470" t="str">
            <v>-</v>
          </cell>
          <cell r="BC470" t="str">
            <v>-</v>
          </cell>
          <cell r="BD470" t="str">
            <v>-</v>
          </cell>
          <cell r="BE470" t="str">
            <v>-</v>
          </cell>
          <cell r="BF470" t="str">
            <v>-</v>
          </cell>
          <cell r="BG470" t="str">
            <v>-</v>
          </cell>
          <cell r="BH470" t="str">
            <v>-</v>
          </cell>
          <cell r="BI470" t="str">
            <v>-</v>
          </cell>
          <cell r="BJ470" t="str">
            <v>-</v>
          </cell>
          <cell r="BK470" t="str">
            <v>-</v>
          </cell>
          <cell r="BL470" t="str">
            <v>-</v>
          </cell>
          <cell r="BM470">
            <v>0</v>
          </cell>
          <cell r="BN470">
            <v>0</v>
          </cell>
          <cell r="BO470" t="str">
            <v>-</v>
          </cell>
          <cell r="BP470" t="str">
            <v>-</v>
          </cell>
          <cell r="BQ470">
            <v>0</v>
          </cell>
          <cell r="BR470">
            <v>0</v>
          </cell>
          <cell r="BS470">
            <v>0</v>
          </cell>
          <cell r="BT470">
            <v>0</v>
          </cell>
        </row>
        <row r="471">
          <cell r="A471" t="str">
            <v>Bulgaria2021100 / 100</v>
          </cell>
          <cell r="B471" t="str">
            <v>Bulgaria</v>
          </cell>
          <cell r="C471">
            <v>2021</v>
          </cell>
          <cell r="D471" t="str">
            <v>100 / 100</v>
          </cell>
          <cell r="E471">
            <v>18329</v>
          </cell>
          <cell r="F471">
            <v>1527.4166666666667</v>
          </cell>
          <cell r="G471">
            <v>352.48348064215878</v>
          </cell>
          <cell r="H471">
            <v>70.496696128431751</v>
          </cell>
          <cell r="I471">
            <v>18329</v>
          </cell>
          <cell r="J471">
            <v>1527.4166666666667</v>
          </cell>
          <cell r="K471">
            <v>352.48348064215878</v>
          </cell>
          <cell r="L471">
            <v>70.496696128431751</v>
          </cell>
          <cell r="M471" t="str">
            <v>..</v>
          </cell>
          <cell r="N471" t="str">
            <v>..</v>
          </cell>
          <cell r="O471" t="str">
            <v>..</v>
          </cell>
          <cell r="P471" t="str">
            <v>..</v>
          </cell>
          <cell r="Q471" t="str">
            <v>..</v>
          </cell>
          <cell r="R471" t="str">
            <v>..</v>
          </cell>
          <cell r="S471" t="str">
            <v>..</v>
          </cell>
          <cell r="T471" t="str">
            <v>..</v>
          </cell>
          <cell r="U471" t="str">
            <v>..</v>
          </cell>
          <cell r="V471">
            <v>4.33</v>
          </cell>
          <cell r="W471">
            <v>0</v>
          </cell>
          <cell r="X471">
            <v>4.33</v>
          </cell>
          <cell r="Y471" t="str">
            <v>-</v>
          </cell>
          <cell r="Z471" t="str">
            <v>No statutory entitlement</v>
          </cell>
          <cell r="AA471" t="str">
            <v>-</v>
          </cell>
          <cell r="AB471" t="str">
            <v>-</v>
          </cell>
          <cell r="AC471" t="str">
            <v>-</v>
          </cell>
          <cell r="AD471" t="str">
            <v>-</v>
          </cell>
          <cell r="AE471" t="str">
            <v>-</v>
          </cell>
          <cell r="AF471" t="str">
            <v>-</v>
          </cell>
          <cell r="AG471" t="str">
            <v>-</v>
          </cell>
          <cell r="AH471" t="str">
            <v>-</v>
          </cell>
          <cell r="AI471" t="str">
            <v>-</v>
          </cell>
          <cell r="AJ471" t="str">
            <v>-</v>
          </cell>
          <cell r="AK471" t="str">
            <v>-</v>
          </cell>
          <cell r="AL471" t="str">
            <v>-</v>
          </cell>
          <cell r="AM471" t="str">
            <v>-</v>
          </cell>
          <cell r="AN471" t="str">
            <v>-</v>
          </cell>
          <cell r="AO471" t="str">
            <v>-</v>
          </cell>
          <cell r="AP471" t="str">
            <v>-</v>
          </cell>
          <cell r="AQ471" t="str">
            <v>-</v>
          </cell>
          <cell r="AR471" t="str">
            <v>-</v>
          </cell>
          <cell r="AS471" t="str">
            <v>-</v>
          </cell>
          <cell r="AT471" t="str">
            <v>-</v>
          </cell>
          <cell r="AU471" t="str">
            <v>-</v>
          </cell>
          <cell r="AV471" t="str">
            <v>-</v>
          </cell>
          <cell r="AW471" t="str">
            <v>-</v>
          </cell>
          <cell r="AX471" t="str">
            <v>-</v>
          </cell>
          <cell r="AY471" t="str">
            <v>-</v>
          </cell>
          <cell r="AZ471" t="str">
            <v>-</v>
          </cell>
          <cell r="BA471" t="str">
            <v>-</v>
          </cell>
          <cell r="BB471" t="str">
            <v>-</v>
          </cell>
          <cell r="BC471" t="str">
            <v>-</v>
          </cell>
          <cell r="BD471" t="str">
            <v>-</v>
          </cell>
          <cell r="BE471" t="str">
            <v>-</v>
          </cell>
          <cell r="BF471" t="str">
            <v>-</v>
          </cell>
          <cell r="BG471" t="str">
            <v>-</v>
          </cell>
          <cell r="BH471" t="str">
            <v>-</v>
          </cell>
          <cell r="BI471" t="str">
            <v>-</v>
          </cell>
          <cell r="BJ471" t="str">
            <v>-</v>
          </cell>
          <cell r="BK471" t="str">
            <v>-</v>
          </cell>
          <cell r="BL471" t="str">
            <v>-</v>
          </cell>
          <cell r="BM471">
            <v>0</v>
          </cell>
          <cell r="BN471">
            <v>0</v>
          </cell>
          <cell r="BO471" t="str">
            <v>-</v>
          </cell>
          <cell r="BP471" t="str">
            <v>-</v>
          </cell>
          <cell r="BQ471">
            <v>0</v>
          </cell>
          <cell r="BR471">
            <v>0</v>
          </cell>
          <cell r="BS471">
            <v>0</v>
          </cell>
          <cell r="BT471">
            <v>0</v>
          </cell>
        </row>
        <row r="472">
          <cell r="A472" t="str">
            <v>Bulgaria2022100 / 100</v>
          </cell>
          <cell r="B472" t="str">
            <v>Bulgaria</v>
          </cell>
          <cell r="C472">
            <v>2022</v>
          </cell>
          <cell r="D472" t="str">
            <v>100 / 100</v>
          </cell>
          <cell r="E472">
            <v>21340.128000000001</v>
          </cell>
          <cell r="F472">
            <v>1778.3440000000001</v>
          </cell>
          <cell r="G472">
            <v>410.39023377102899</v>
          </cell>
          <cell r="H472">
            <v>82.078046754205801</v>
          </cell>
          <cell r="I472">
            <v>21340.128000000001</v>
          </cell>
          <cell r="J472">
            <v>1778.3440000000001</v>
          </cell>
          <cell r="K472">
            <v>410.39023377102899</v>
          </cell>
          <cell r="L472">
            <v>82.078046754205801</v>
          </cell>
          <cell r="M472" t="str">
            <v>..</v>
          </cell>
          <cell r="N472" t="str">
            <v>..</v>
          </cell>
          <cell r="O472" t="str">
            <v>..</v>
          </cell>
          <cell r="P472" t="str">
            <v>..</v>
          </cell>
          <cell r="Q472" t="str">
            <v>..</v>
          </cell>
          <cell r="R472" t="str">
            <v>..</v>
          </cell>
          <cell r="S472" t="str">
            <v>..</v>
          </cell>
          <cell r="T472" t="str">
            <v>..</v>
          </cell>
          <cell r="U472" t="str">
            <v>..</v>
          </cell>
          <cell r="V472">
            <v>4.33</v>
          </cell>
          <cell r="W472">
            <v>0</v>
          </cell>
          <cell r="X472">
            <v>4.33</v>
          </cell>
          <cell r="Y472" t="str">
            <v>-</v>
          </cell>
          <cell r="Z472" t="str">
            <v>No statutory entitlement</v>
          </cell>
          <cell r="AA472" t="str">
            <v>-</v>
          </cell>
          <cell r="AB472" t="str">
            <v>-</v>
          </cell>
          <cell r="AC472" t="str">
            <v>-</v>
          </cell>
          <cell r="AD472" t="str">
            <v>-</v>
          </cell>
          <cell r="AE472" t="str">
            <v>-</v>
          </cell>
          <cell r="AF472" t="str">
            <v>-</v>
          </cell>
          <cell r="AG472" t="str">
            <v>-</v>
          </cell>
          <cell r="AH472" t="str">
            <v>-</v>
          </cell>
          <cell r="AI472" t="str">
            <v>-</v>
          </cell>
          <cell r="AJ472" t="str">
            <v>-</v>
          </cell>
          <cell r="AK472" t="str">
            <v>-</v>
          </cell>
          <cell r="AL472" t="str">
            <v>-</v>
          </cell>
          <cell r="AM472" t="str">
            <v>-</v>
          </cell>
          <cell r="AN472" t="str">
            <v>-</v>
          </cell>
          <cell r="AO472" t="str">
            <v>-</v>
          </cell>
          <cell r="AP472" t="str">
            <v>-</v>
          </cell>
          <cell r="AQ472" t="str">
            <v>-</v>
          </cell>
          <cell r="AR472" t="str">
            <v>-</v>
          </cell>
          <cell r="AS472" t="str">
            <v>-</v>
          </cell>
          <cell r="AT472" t="str">
            <v>-</v>
          </cell>
          <cell r="AU472" t="str">
            <v>-</v>
          </cell>
          <cell r="AV472" t="str">
            <v>-</v>
          </cell>
          <cell r="AW472" t="str">
            <v>-</v>
          </cell>
          <cell r="AX472" t="str">
            <v>-</v>
          </cell>
          <cell r="AY472" t="str">
            <v>-</v>
          </cell>
          <cell r="AZ472" t="str">
            <v>-</v>
          </cell>
          <cell r="BA472" t="str">
            <v>-</v>
          </cell>
          <cell r="BB472" t="str">
            <v>-</v>
          </cell>
          <cell r="BC472" t="str">
            <v>-</v>
          </cell>
          <cell r="BD472" t="str">
            <v>-</v>
          </cell>
          <cell r="BE472" t="str">
            <v>-</v>
          </cell>
          <cell r="BF472" t="str">
            <v>-</v>
          </cell>
          <cell r="BG472" t="str">
            <v>-</v>
          </cell>
          <cell r="BH472" t="str">
            <v>-</v>
          </cell>
          <cell r="BI472" t="str">
            <v>-</v>
          </cell>
          <cell r="BJ472" t="str">
            <v>-</v>
          </cell>
          <cell r="BK472" t="str">
            <v>-</v>
          </cell>
          <cell r="BL472" t="str">
            <v>-</v>
          </cell>
          <cell r="BM472">
            <v>0</v>
          </cell>
          <cell r="BN472">
            <v>0</v>
          </cell>
          <cell r="BO472" t="str">
            <v>-</v>
          </cell>
          <cell r="BP472" t="str">
            <v>-</v>
          </cell>
          <cell r="BQ472">
            <v>0</v>
          </cell>
          <cell r="BR472">
            <v>0</v>
          </cell>
          <cell r="BS472">
            <v>0</v>
          </cell>
          <cell r="BT472">
            <v>0</v>
          </cell>
        </row>
        <row r="473">
          <cell r="A473" t="str">
            <v>Bulgaria2023100 / 100</v>
          </cell>
          <cell r="B473" t="str">
            <v>Bulgaria</v>
          </cell>
          <cell r="C473">
            <v>2023</v>
          </cell>
          <cell r="D473" t="str">
            <v>100 / 100</v>
          </cell>
          <cell r="E473">
            <v>23763.876</v>
          </cell>
          <cell r="F473">
            <v>1980.3230000000001</v>
          </cell>
          <cell r="G473">
            <v>457.00113077792906</v>
          </cell>
          <cell r="H473">
            <v>91.400226155585813</v>
          </cell>
          <cell r="I473">
            <v>23763.876</v>
          </cell>
          <cell r="J473">
            <v>1980.3230000000001</v>
          </cell>
          <cell r="K473">
            <v>457.00113077792906</v>
          </cell>
          <cell r="L473">
            <v>91.400226155585813</v>
          </cell>
          <cell r="M473" t="str">
            <v>..</v>
          </cell>
          <cell r="N473" t="str">
            <v>..</v>
          </cell>
          <cell r="O473" t="str">
            <v>..</v>
          </cell>
          <cell r="P473" t="str">
            <v>..</v>
          </cell>
          <cell r="Q473" t="str">
            <v>..</v>
          </cell>
          <cell r="R473" t="str">
            <v>..</v>
          </cell>
          <cell r="S473" t="str">
            <v>..</v>
          </cell>
          <cell r="T473" t="str">
            <v>..</v>
          </cell>
          <cell r="U473" t="str">
            <v>..</v>
          </cell>
          <cell r="V473">
            <v>4.33</v>
          </cell>
          <cell r="W473">
            <v>0</v>
          </cell>
          <cell r="X473">
            <v>4.33</v>
          </cell>
          <cell r="Y473" t="str">
            <v>-</v>
          </cell>
          <cell r="Z473" t="str">
            <v>No statutory entitlement</v>
          </cell>
          <cell r="AA473" t="str">
            <v>-</v>
          </cell>
          <cell r="AB473" t="str">
            <v>-</v>
          </cell>
          <cell r="AC473" t="str">
            <v>-</v>
          </cell>
          <cell r="AD473" t="str">
            <v>-</v>
          </cell>
          <cell r="AE473" t="str">
            <v>-</v>
          </cell>
          <cell r="AF473" t="str">
            <v>-</v>
          </cell>
          <cell r="AG473" t="str">
            <v>-</v>
          </cell>
          <cell r="AH473" t="str">
            <v>-</v>
          </cell>
          <cell r="AI473" t="str">
            <v>-</v>
          </cell>
          <cell r="AJ473" t="str">
            <v>-</v>
          </cell>
          <cell r="AK473" t="str">
            <v>-</v>
          </cell>
          <cell r="AL473" t="str">
            <v>-</v>
          </cell>
          <cell r="AM473" t="str">
            <v>-</v>
          </cell>
          <cell r="AN473" t="str">
            <v>-</v>
          </cell>
          <cell r="AO473" t="str">
            <v>-</v>
          </cell>
          <cell r="AP473" t="str">
            <v>-</v>
          </cell>
          <cell r="AQ473" t="str">
            <v>-</v>
          </cell>
          <cell r="AR473" t="str">
            <v>-</v>
          </cell>
          <cell r="AS473" t="str">
            <v>-</v>
          </cell>
          <cell r="AT473" t="str">
            <v>-</v>
          </cell>
          <cell r="AU473" t="str">
            <v>-</v>
          </cell>
          <cell r="AV473" t="str">
            <v>-</v>
          </cell>
          <cell r="AW473" t="str">
            <v>-</v>
          </cell>
          <cell r="AX473" t="str">
            <v>-</v>
          </cell>
          <cell r="AY473" t="str">
            <v>-</v>
          </cell>
          <cell r="AZ473" t="str">
            <v>-</v>
          </cell>
          <cell r="BA473" t="str">
            <v>-</v>
          </cell>
          <cell r="BB473" t="str">
            <v>-</v>
          </cell>
          <cell r="BC473" t="str">
            <v>-</v>
          </cell>
          <cell r="BD473" t="str">
            <v>-</v>
          </cell>
          <cell r="BE473" t="str">
            <v>-</v>
          </cell>
          <cell r="BF473" t="str">
            <v>-</v>
          </cell>
          <cell r="BG473" t="str">
            <v>-</v>
          </cell>
          <cell r="BH473" t="str">
            <v>-</v>
          </cell>
          <cell r="BI473" t="str">
            <v>-</v>
          </cell>
          <cell r="BJ473" t="str">
            <v>-</v>
          </cell>
          <cell r="BK473" t="str">
            <v>-</v>
          </cell>
          <cell r="BL473" t="str">
            <v>-</v>
          </cell>
          <cell r="BM473">
            <v>0</v>
          </cell>
          <cell r="BN473">
            <v>0</v>
          </cell>
          <cell r="BO473" t="str">
            <v>-</v>
          </cell>
          <cell r="BP473" t="str">
            <v>-</v>
          </cell>
          <cell r="BQ473">
            <v>0</v>
          </cell>
          <cell r="BR473">
            <v>0</v>
          </cell>
          <cell r="BS473">
            <v>0</v>
          </cell>
          <cell r="BT473">
            <v>0</v>
          </cell>
        </row>
        <row r="474">
          <cell r="A474" t="str">
            <v>Bulgaria2024100 / 100</v>
          </cell>
          <cell r="B474" t="str">
            <v>Bulgaria</v>
          </cell>
          <cell r="C474">
            <v>2024</v>
          </cell>
          <cell r="D474" t="str">
            <v>100 / 100</v>
          </cell>
          <cell r="E474">
            <v>27910.94</v>
          </cell>
          <cell r="F474">
            <v>2325.9116666666664</v>
          </cell>
          <cell r="G474">
            <v>536.7529750228847</v>
          </cell>
          <cell r="H474">
            <v>107.35059500457695</v>
          </cell>
          <cell r="I474">
            <v>27910.94</v>
          </cell>
          <cell r="J474">
            <v>2325.9116666666664</v>
          </cell>
          <cell r="K474">
            <v>536.7529750228847</v>
          </cell>
          <cell r="L474">
            <v>107.35059500457695</v>
          </cell>
          <cell r="M474" t="str">
            <v>..</v>
          </cell>
          <cell r="N474" t="str">
            <v>..</v>
          </cell>
          <cell r="O474" t="str">
            <v>..</v>
          </cell>
          <cell r="P474" t="str">
            <v>..</v>
          </cell>
          <cell r="Q474" t="str">
            <v>..</v>
          </cell>
          <cell r="R474" t="str">
            <v>..</v>
          </cell>
          <cell r="S474" t="str">
            <v>..</v>
          </cell>
          <cell r="T474" t="str">
            <v>..</v>
          </cell>
          <cell r="U474" t="str">
            <v>..</v>
          </cell>
          <cell r="V474">
            <v>4.33</v>
          </cell>
          <cell r="W474">
            <v>0</v>
          </cell>
          <cell r="X474">
            <v>4.33</v>
          </cell>
          <cell r="Y474" t="str">
            <v>-</v>
          </cell>
          <cell r="Z474" t="str">
            <v>No statutory entitlement</v>
          </cell>
          <cell r="AA474" t="str">
            <v>-</v>
          </cell>
          <cell r="AB474" t="str">
            <v>-</v>
          </cell>
          <cell r="AC474" t="str">
            <v>-</v>
          </cell>
          <cell r="AD474" t="str">
            <v>-</v>
          </cell>
          <cell r="AE474" t="str">
            <v>-</v>
          </cell>
          <cell r="AF474" t="str">
            <v>-</v>
          </cell>
          <cell r="AG474" t="str">
            <v>-</v>
          </cell>
          <cell r="AH474" t="str">
            <v>-</v>
          </cell>
          <cell r="AI474" t="str">
            <v>-</v>
          </cell>
          <cell r="AJ474" t="str">
            <v>-</v>
          </cell>
          <cell r="AK474" t="str">
            <v>-</v>
          </cell>
          <cell r="AL474" t="str">
            <v>-</v>
          </cell>
          <cell r="AM474" t="str">
            <v>-</v>
          </cell>
          <cell r="AN474" t="str">
            <v>-</v>
          </cell>
          <cell r="AO474" t="str">
            <v>-</v>
          </cell>
          <cell r="AP474" t="str">
            <v>-</v>
          </cell>
          <cell r="AQ474" t="str">
            <v>-</v>
          </cell>
          <cell r="AR474" t="str">
            <v>-</v>
          </cell>
          <cell r="AS474" t="str">
            <v>-</v>
          </cell>
          <cell r="AT474" t="str">
            <v>-</v>
          </cell>
          <cell r="AU474" t="str">
            <v>-</v>
          </cell>
          <cell r="AV474" t="str">
            <v>-</v>
          </cell>
          <cell r="AW474" t="str">
            <v>-</v>
          </cell>
          <cell r="AX474" t="str">
            <v>-</v>
          </cell>
          <cell r="AY474" t="str">
            <v>-</v>
          </cell>
          <cell r="AZ474" t="str">
            <v>-</v>
          </cell>
          <cell r="BA474" t="str">
            <v>-</v>
          </cell>
          <cell r="BB474" t="str">
            <v>-</v>
          </cell>
          <cell r="BC474" t="str">
            <v>-</v>
          </cell>
          <cell r="BD474" t="str">
            <v>-</v>
          </cell>
          <cell r="BE474" t="str">
            <v>-</v>
          </cell>
          <cell r="BF474" t="str">
            <v>-</v>
          </cell>
          <cell r="BG474" t="str">
            <v>-</v>
          </cell>
          <cell r="BH474" t="str">
            <v>-</v>
          </cell>
          <cell r="BI474" t="str">
            <v>-</v>
          </cell>
          <cell r="BJ474" t="str">
            <v>-</v>
          </cell>
          <cell r="BK474" t="str">
            <v>-</v>
          </cell>
          <cell r="BL474" t="str">
            <v>-</v>
          </cell>
          <cell r="BM474">
            <v>0</v>
          </cell>
          <cell r="BN474">
            <v>0</v>
          </cell>
          <cell r="BO474" t="str">
            <v>-</v>
          </cell>
          <cell r="BP474" t="str">
            <v>-</v>
          </cell>
          <cell r="BQ474">
            <v>0</v>
          </cell>
          <cell r="BR474">
            <v>0</v>
          </cell>
          <cell r="BS474">
            <v>0</v>
          </cell>
          <cell r="BT474">
            <v>0</v>
          </cell>
        </row>
        <row r="475">
          <cell r="A475" t="str">
            <v>Bulgaria2025100 / 100</v>
          </cell>
          <cell r="B475" t="str">
            <v>Bulgaria</v>
          </cell>
          <cell r="C475">
            <v>2025</v>
          </cell>
          <cell r="D475" t="str">
            <v>100 / 100</v>
          </cell>
          <cell r="O475" t="str">
            <v>..</v>
          </cell>
          <cell r="P475" t="str">
            <v>..</v>
          </cell>
          <cell r="Q475" t="str">
            <v>..</v>
          </cell>
          <cell r="R475" t="str">
            <v>..</v>
          </cell>
          <cell r="S475" t="str">
            <v>..</v>
          </cell>
          <cell r="T475" t="str">
            <v>..</v>
          </cell>
          <cell r="U475" t="str">
            <v>..</v>
          </cell>
          <cell r="V475">
            <v>4.33</v>
          </cell>
          <cell r="W475">
            <v>0</v>
          </cell>
          <cell r="X475">
            <v>4.33</v>
          </cell>
          <cell r="Y475" t="str">
            <v>-</v>
          </cell>
          <cell r="Z475" t="str">
            <v>No statutory entitlement</v>
          </cell>
          <cell r="AA475" t="str">
            <v>-</v>
          </cell>
          <cell r="AB475" t="str">
            <v>-</v>
          </cell>
          <cell r="AC475" t="str">
            <v>-</v>
          </cell>
          <cell r="AD475" t="str">
            <v>-</v>
          </cell>
          <cell r="AE475" t="str">
            <v>-</v>
          </cell>
          <cell r="AF475" t="str">
            <v>-</v>
          </cell>
          <cell r="AG475" t="str">
            <v>-</v>
          </cell>
          <cell r="AH475" t="str">
            <v>-</v>
          </cell>
          <cell r="AI475" t="str">
            <v>-</v>
          </cell>
          <cell r="AJ475" t="str">
            <v>-</v>
          </cell>
          <cell r="AK475" t="str">
            <v>-</v>
          </cell>
          <cell r="AL475" t="str">
            <v>-</v>
          </cell>
          <cell r="AM475" t="str">
            <v>-</v>
          </cell>
          <cell r="AN475" t="str">
            <v>-</v>
          </cell>
          <cell r="AO475" t="str">
            <v>-</v>
          </cell>
          <cell r="AP475" t="str">
            <v>-</v>
          </cell>
          <cell r="AQ475" t="str">
            <v>-</v>
          </cell>
          <cell r="AR475" t="str">
            <v>-</v>
          </cell>
          <cell r="AS475" t="str">
            <v>-</v>
          </cell>
          <cell r="AT475" t="str">
            <v>-</v>
          </cell>
          <cell r="AU475" t="str">
            <v>-</v>
          </cell>
          <cell r="AV475" t="str">
            <v>-</v>
          </cell>
          <cell r="AW475" t="str">
            <v>-</v>
          </cell>
          <cell r="AX475" t="str">
            <v>-</v>
          </cell>
          <cell r="AY475" t="str">
            <v>-</v>
          </cell>
          <cell r="AZ475" t="str">
            <v>-</v>
          </cell>
          <cell r="BA475" t="str">
            <v>-</v>
          </cell>
          <cell r="BB475" t="str">
            <v>-</v>
          </cell>
          <cell r="BC475" t="str">
            <v>-</v>
          </cell>
          <cell r="BD475" t="str">
            <v>-</v>
          </cell>
          <cell r="BE475" t="str">
            <v>-</v>
          </cell>
          <cell r="BF475" t="str">
            <v>-</v>
          </cell>
          <cell r="BG475" t="str">
            <v>-</v>
          </cell>
          <cell r="BH475" t="str">
            <v>-</v>
          </cell>
          <cell r="BI475" t="str">
            <v>-</v>
          </cell>
          <cell r="BJ475" t="str">
            <v>-</v>
          </cell>
          <cell r="BK475" t="str">
            <v>-</v>
          </cell>
          <cell r="BL475" t="str">
            <v>-</v>
          </cell>
          <cell r="BM475">
            <v>0</v>
          </cell>
          <cell r="BN475">
            <v>0</v>
          </cell>
          <cell r="BO475" t="str">
            <v>-</v>
          </cell>
          <cell r="BP475" t="str">
            <v>-</v>
          </cell>
          <cell r="BQ475">
            <v>0</v>
          </cell>
          <cell r="BR475">
            <v>0</v>
          </cell>
          <cell r="BS475">
            <v>0</v>
          </cell>
          <cell r="BT475">
            <v>0</v>
          </cell>
        </row>
        <row r="476">
          <cell r="A476" t="str">
            <v>Croatia2014100 / 100</v>
          </cell>
          <cell r="B476" t="str">
            <v>Croatia</v>
          </cell>
          <cell r="C476">
            <v>2014</v>
          </cell>
          <cell r="D476" t="str">
            <v>100 / 100</v>
          </cell>
          <cell r="E476">
            <v>85488</v>
          </cell>
          <cell r="F476">
            <v>7124</v>
          </cell>
          <cell r="G476">
            <v>1644.0126462511248</v>
          </cell>
          <cell r="H476">
            <v>328.80252925022495</v>
          </cell>
          <cell r="I476">
            <v>85488</v>
          </cell>
          <cell r="J476">
            <v>7124</v>
          </cell>
          <cell r="K476">
            <v>1644.0126462511248</v>
          </cell>
          <cell r="L476">
            <v>328.80252925022495</v>
          </cell>
          <cell r="M476" t="str">
            <v>..</v>
          </cell>
          <cell r="N476" t="str">
            <v>..</v>
          </cell>
          <cell r="O476" t="str">
            <v>..</v>
          </cell>
          <cell r="P476" t="str">
            <v>..</v>
          </cell>
          <cell r="Q476" t="str">
            <v>..</v>
          </cell>
          <cell r="R476" t="str">
            <v>..</v>
          </cell>
          <cell r="S476" t="str">
            <v>..</v>
          </cell>
          <cell r="T476" t="str">
            <v>..</v>
          </cell>
          <cell r="U476" t="str">
            <v>..</v>
          </cell>
          <cell r="V476">
            <v>8.6666000000000007</v>
          </cell>
          <cell r="W476">
            <v>8.6666000000000007</v>
          </cell>
          <cell r="X476">
            <v>0</v>
          </cell>
          <cell r="Y476" t="str">
            <v>-</v>
          </cell>
          <cell r="Z476" t="str">
            <v>Two months. Technically fathers have a four month individual entitlement, but two are 'transferable' and are considered sharable and available to the mother. Paid at 100 per cent of average earnings, with a ceiling of 80 per cent of the budgetary base rate. In 2014, the budgetary base rate = 3326HRK so the ceiling on payments = 0.8*3326 = 2660.80</v>
          </cell>
          <cell r="AA476" t="str">
            <v>Gross</v>
          </cell>
          <cell r="AB476" t="str">
            <v>N</v>
          </cell>
          <cell r="AC476">
            <v>8.6666000000000007</v>
          </cell>
          <cell r="AD476">
            <v>1</v>
          </cell>
          <cell r="AE476">
            <v>2660.8</v>
          </cell>
          <cell r="AF476" t="str">
            <v>month</v>
          </cell>
          <cell r="AG476" t="str">
            <v>-</v>
          </cell>
          <cell r="AH476" t="str">
            <v>-</v>
          </cell>
          <cell r="AI476" t="str">
            <v>-</v>
          </cell>
          <cell r="AJ476" t="str">
            <v>-</v>
          </cell>
          <cell r="AK476" t="str">
            <v>-</v>
          </cell>
          <cell r="AL476" t="str">
            <v>-</v>
          </cell>
          <cell r="AM476" t="str">
            <v>-</v>
          </cell>
          <cell r="AN476" t="str">
            <v>-</v>
          </cell>
          <cell r="AO476" t="str">
            <v>-</v>
          </cell>
          <cell r="AP476" t="str">
            <v>-</v>
          </cell>
          <cell r="AQ476" t="str">
            <v>-</v>
          </cell>
          <cell r="AR476" t="str">
            <v>-</v>
          </cell>
          <cell r="AS476" t="str">
            <v>-</v>
          </cell>
          <cell r="AT476" t="str">
            <v>-</v>
          </cell>
          <cell r="AU476" t="str">
            <v>-</v>
          </cell>
          <cell r="AV476" t="str">
            <v>-</v>
          </cell>
          <cell r="AW476" t="str">
            <v>-</v>
          </cell>
          <cell r="AX476" t="str">
            <v>-</v>
          </cell>
          <cell r="AY476" t="str">
            <v>-</v>
          </cell>
          <cell r="AZ476" t="str">
            <v>-</v>
          </cell>
          <cell r="BA476" t="str">
            <v>-</v>
          </cell>
          <cell r="BB476" t="str">
            <v>-</v>
          </cell>
          <cell r="BC476" t="str">
            <v>-</v>
          </cell>
          <cell r="BD476" t="str">
            <v>-</v>
          </cell>
          <cell r="BE476" t="str">
            <v>-</v>
          </cell>
          <cell r="BF476" t="str">
            <v>-</v>
          </cell>
          <cell r="BG476" t="str">
            <v>-</v>
          </cell>
          <cell r="BH476" t="str">
            <v>-</v>
          </cell>
          <cell r="BI476" t="str">
            <v>-</v>
          </cell>
          <cell r="BJ476" t="str">
            <v>-</v>
          </cell>
          <cell r="BK476" t="str">
            <v>-</v>
          </cell>
          <cell r="BL476" t="str">
            <v>-</v>
          </cell>
          <cell r="BM476">
            <v>0.37349803481190347</v>
          </cell>
          <cell r="BN476">
            <v>0.37349803481190347</v>
          </cell>
          <cell r="BO476" t="str">
            <v>-</v>
          </cell>
          <cell r="BP476" t="str">
            <v>-</v>
          </cell>
          <cell r="BQ476">
            <v>31929.600000000002</v>
          </cell>
          <cell r="BR476">
            <v>2660.8</v>
          </cell>
          <cell r="BS476">
            <v>614.03549258071212</v>
          </cell>
          <cell r="BT476">
            <v>122.80709851614243</v>
          </cell>
        </row>
        <row r="477">
          <cell r="A477" t="str">
            <v>Croatia2015100 / 100</v>
          </cell>
          <cell r="B477" t="str">
            <v>Croatia</v>
          </cell>
          <cell r="C477">
            <v>2015</v>
          </cell>
          <cell r="D477" t="str">
            <v>100 / 100</v>
          </cell>
          <cell r="E477">
            <v>87336</v>
          </cell>
          <cell r="F477">
            <v>7278</v>
          </cell>
          <cell r="G477">
            <v>1679.5513811644703</v>
          </cell>
          <cell r="H477">
            <v>335.91027623289403</v>
          </cell>
          <cell r="I477">
            <v>87336</v>
          </cell>
          <cell r="J477">
            <v>7278</v>
          </cell>
          <cell r="K477">
            <v>1679.5513811644703</v>
          </cell>
          <cell r="L477">
            <v>335.91027623289403</v>
          </cell>
          <cell r="M477" t="str">
            <v>..</v>
          </cell>
          <cell r="N477" t="str">
            <v>..</v>
          </cell>
          <cell r="O477" t="str">
            <v>..</v>
          </cell>
          <cell r="P477" t="str">
            <v>..</v>
          </cell>
          <cell r="Q477" t="str">
            <v>..</v>
          </cell>
          <cell r="R477" t="str">
            <v>..</v>
          </cell>
          <cell r="S477" t="str">
            <v>..</v>
          </cell>
          <cell r="T477" t="str">
            <v>..</v>
          </cell>
          <cell r="U477" t="str">
            <v>..</v>
          </cell>
          <cell r="V477">
            <v>8.6666000000000007</v>
          </cell>
          <cell r="W477">
            <v>8.6666000000000007</v>
          </cell>
          <cell r="X477">
            <v>0</v>
          </cell>
          <cell r="Y477" t="str">
            <v>-</v>
          </cell>
          <cell r="Z477" t="str">
            <v>Two months. Technically fathers have a four month individual entitlement, but two are 'transferable' and are considered sharable and available to the mother. Paid at 100 per cent of average earnings, with a ceiling of 80 per cent of the budgetary base rate. In 2015, the budgetary base rate = 3326HRK so the ceiling on payments = 0.8*3326 = 2660.80</v>
          </cell>
          <cell r="AA477" t="str">
            <v>Gross</v>
          </cell>
          <cell r="AB477" t="str">
            <v>N</v>
          </cell>
          <cell r="AC477">
            <v>8.6666000000000007</v>
          </cell>
          <cell r="AD477">
            <v>1</v>
          </cell>
          <cell r="AE477">
            <v>2660.8</v>
          </cell>
          <cell r="AF477" t="str">
            <v>month</v>
          </cell>
          <cell r="AG477" t="str">
            <v>-</v>
          </cell>
          <cell r="AH477" t="str">
            <v>-</v>
          </cell>
          <cell r="AI477" t="str">
            <v>-</v>
          </cell>
          <cell r="AJ477" t="str">
            <v>-</v>
          </cell>
          <cell r="AK477" t="str">
            <v>-</v>
          </cell>
          <cell r="AL477" t="str">
            <v>-</v>
          </cell>
          <cell r="AM477" t="str">
            <v>-</v>
          </cell>
          <cell r="AN477" t="str">
            <v>-</v>
          </cell>
          <cell r="AO477" t="str">
            <v>-</v>
          </cell>
          <cell r="AP477" t="str">
            <v>-</v>
          </cell>
          <cell r="AQ477" t="str">
            <v>-</v>
          </cell>
          <cell r="AR477" t="str">
            <v>-</v>
          </cell>
          <cell r="AS477" t="str">
            <v>-</v>
          </cell>
          <cell r="AT477" t="str">
            <v>-</v>
          </cell>
          <cell r="AU477" t="str">
            <v>-</v>
          </cell>
          <cell r="AV477" t="str">
            <v>-</v>
          </cell>
          <cell r="AW477" t="str">
            <v>-</v>
          </cell>
          <cell r="AX477" t="str">
            <v>-</v>
          </cell>
          <cell r="AY477" t="str">
            <v>-</v>
          </cell>
          <cell r="AZ477" t="str">
            <v>-</v>
          </cell>
          <cell r="BA477" t="str">
            <v>-</v>
          </cell>
          <cell r="BB477" t="str">
            <v>-</v>
          </cell>
          <cell r="BC477" t="str">
            <v>-</v>
          </cell>
          <cell r="BD477" t="str">
            <v>-</v>
          </cell>
          <cell r="BE477" t="str">
            <v>-</v>
          </cell>
          <cell r="BF477" t="str">
            <v>-</v>
          </cell>
          <cell r="BG477" t="str">
            <v>-</v>
          </cell>
          <cell r="BH477" t="str">
            <v>-</v>
          </cell>
          <cell r="BI477" t="str">
            <v>-</v>
          </cell>
          <cell r="BJ477" t="str">
            <v>-</v>
          </cell>
          <cell r="BK477" t="str">
            <v>-</v>
          </cell>
          <cell r="BL477" t="str">
            <v>-</v>
          </cell>
          <cell r="BM477">
            <v>0.36559494366584228</v>
          </cell>
          <cell r="BN477">
            <v>0.36559494366584228</v>
          </cell>
          <cell r="BO477" t="str">
            <v>-</v>
          </cell>
          <cell r="BP477" t="str">
            <v>-</v>
          </cell>
          <cell r="BQ477">
            <v>31929.600000000002</v>
          </cell>
          <cell r="BR477">
            <v>2660.8</v>
          </cell>
          <cell r="BS477">
            <v>614.03549258071212</v>
          </cell>
          <cell r="BT477">
            <v>122.80709851614242</v>
          </cell>
        </row>
        <row r="478">
          <cell r="A478" t="str">
            <v>Croatia2016100 / 100</v>
          </cell>
          <cell r="B478" t="str">
            <v>Croatia</v>
          </cell>
          <cell r="C478">
            <v>2016</v>
          </cell>
          <cell r="D478" t="str">
            <v>100 / 100</v>
          </cell>
          <cell r="E478">
            <v>89304</v>
          </cell>
          <cell r="F478">
            <v>7442</v>
          </cell>
          <cell r="G478">
            <v>1717.397826137124</v>
          </cell>
          <cell r="H478">
            <v>343.47956522742481</v>
          </cell>
          <cell r="I478">
            <v>89304</v>
          </cell>
          <cell r="J478">
            <v>7442</v>
          </cell>
          <cell r="K478">
            <v>1717.397826137124</v>
          </cell>
          <cell r="L478">
            <v>343.47956522742481</v>
          </cell>
          <cell r="M478" t="str">
            <v>..</v>
          </cell>
          <cell r="N478" t="str">
            <v>..</v>
          </cell>
          <cell r="O478" t="str">
            <v>..</v>
          </cell>
          <cell r="P478" t="str">
            <v>..</v>
          </cell>
          <cell r="Q478" t="str">
            <v>..</v>
          </cell>
          <cell r="R478" t="str">
            <v>..</v>
          </cell>
          <cell r="S478" t="str">
            <v>..</v>
          </cell>
          <cell r="T478" t="str">
            <v>..</v>
          </cell>
          <cell r="U478" t="str">
            <v>..</v>
          </cell>
          <cell r="V478">
            <v>8.6666000000000007</v>
          </cell>
          <cell r="W478">
            <v>8.6666000000000007</v>
          </cell>
          <cell r="X478">
            <v>0</v>
          </cell>
          <cell r="Y478" t="str">
            <v>-</v>
          </cell>
          <cell r="Z478" t="str">
            <v>Two months. Technically fathers have a four month individual entitlement, but two are 'transferable' and are considered sharable and available to the mother.  Paid at 100 per cent of average earnings with a ceiling of HRK 2,660.80 (€353)</v>
          </cell>
          <cell r="AA478" t="str">
            <v>Gross</v>
          </cell>
          <cell r="AB478" t="str">
            <v>N</v>
          </cell>
          <cell r="AC478">
            <v>8.6666000000000007</v>
          </cell>
          <cell r="AD478">
            <v>1</v>
          </cell>
          <cell r="AE478">
            <v>2660.8</v>
          </cell>
          <cell r="AF478" t="str">
            <v>month</v>
          </cell>
          <cell r="AG478" t="str">
            <v>-</v>
          </cell>
          <cell r="AH478" t="str">
            <v>-</v>
          </cell>
          <cell r="AI478" t="str">
            <v>-</v>
          </cell>
          <cell r="AJ478" t="str">
            <v>-</v>
          </cell>
          <cell r="AK478" t="str">
            <v>-</v>
          </cell>
          <cell r="AL478" t="str">
            <v>-</v>
          </cell>
          <cell r="AM478" t="str">
            <v>-</v>
          </cell>
          <cell r="AN478" t="str">
            <v>-</v>
          </cell>
          <cell r="AO478" t="str">
            <v>-</v>
          </cell>
          <cell r="AP478" t="str">
            <v>-</v>
          </cell>
          <cell r="AQ478" t="str">
            <v>-</v>
          </cell>
          <cell r="AR478" t="str">
            <v>-</v>
          </cell>
          <cell r="AS478" t="str">
            <v>-</v>
          </cell>
          <cell r="AT478" t="str">
            <v>-</v>
          </cell>
          <cell r="AU478" t="str">
            <v>-</v>
          </cell>
          <cell r="AV478" t="str">
            <v>-</v>
          </cell>
          <cell r="AW478" t="str">
            <v>-</v>
          </cell>
          <cell r="AX478" t="str">
            <v>-</v>
          </cell>
          <cell r="AY478" t="str">
            <v>-</v>
          </cell>
          <cell r="AZ478" t="str">
            <v>-</v>
          </cell>
          <cell r="BA478" t="str">
            <v>-</v>
          </cell>
          <cell r="BB478" t="str">
            <v>-</v>
          </cell>
          <cell r="BC478" t="str">
            <v>-</v>
          </cell>
          <cell r="BD478" t="str">
            <v>-</v>
          </cell>
          <cell r="BE478" t="str">
            <v>-</v>
          </cell>
          <cell r="BF478" t="str">
            <v>-</v>
          </cell>
          <cell r="BG478" t="str">
            <v>-</v>
          </cell>
          <cell r="BH478" t="str">
            <v>-</v>
          </cell>
          <cell r="BI478" t="str">
            <v>-</v>
          </cell>
          <cell r="BJ478" t="str">
            <v>-</v>
          </cell>
          <cell r="BK478" t="str">
            <v>-</v>
          </cell>
          <cell r="BL478" t="str">
            <v>-</v>
          </cell>
          <cell r="BM478">
            <v>0.3575382961569471</v>
          </cell>
          <cell r="BN478">
            <v>0.3575382961569471</v>
          </cell>
          <cell r="BO478" t="str">
            <v>-</v>
          </cell>
          <cell r="BP478" t="str">
            <v>-</v>
          </cell>
          <cell r="BQ478">
            <v>31929.600000000002</v>
          </cell>
          <cell r="BR478">
            <v>2660.8</v>
          </cell>
          <cell r="BS478">
            <v>614.03549258071212</v>
          </cell>
          <cell r="BT478">
            <v>122.80709851614245</v>
          </cell>
        </row>
        <row r="479">
          <cell r="A479" t="str">
            <v>Croatia2017100 / 100</v>
          </cell>
          <cell r="B479" t="str">
            <v>Croatia</v>
          </cell>
          <cell r="C479">
            <v>2017</v>
          </cell>
          <cell r="D479" t="str">
            <v>100 / 100</v>
          </cell>
          <cell r="E479">
            <v>92955</v>
          </cell>
          <cell r="F479">
            <v>7746.25</v>
          </cell>
          <cell r="G479">
            <v>1787.6099046915745</v>
          </cell>
          <cell r="H479">
            <v>357.52198093831487</v>
          </cell>
          <cell r="I479">
            <v>92955</v>
          </cell>
          <cell r="J479">
            <v>7746.25</v>
          </cell>
          <cell r="K479">
            <v>1787.6099046915745</v>
          </cell>
          <cell r="L479">
            <v>357.52198093831487</v>
          </cell>
          <cell r="M479" t="str">
            <v>..</v>
          </cell>
          <cell r="N479" t="str">
            <v>..</v>
          </cell>
          <cell r="O479" t="str">
            <v>..</v>
          </cell>
          <cell r="P479" t="str">
            <v>..</v>
          </cell>
          <cell r="Q479" t="str">
            <v>..</v>
          </cell>
          <cell r="R479" t="str">
            <v>..</v>
          </cell>
          <cell r="S479" t="str">
            <v>..</v>
          </cell>
          <cell r="T479" t="str">
            <v>..</v>
          </cell>
          <cell r="U479" t="str">
            <v>..</v>
          </cell>
          <cell r="V479">
            <v>8.6666000000000007</v>
          </cell>
          <cell r="W479">
            <v>8.6666000000000007</v>
          </cell>
          <cell r="X479">
            <v>0</v>
          </cell>
          <cell r="Y479" t="str">
            <v>-</v>
          </cell>
          <cell r="Z479" t="str">
            <v>Two months. Technically fathers have a four month individual entitlement, but two are 'transferable' and are considered sharable and available to the mother.  Paid at 100 per cent of average earnings with a ceiling of HRK 2,660.80 (€353)</v>
          </cell>
          <cell r="AA479" t="str">
            <v>Gross</v>
          </cell>
          <cell r="AB479" t="str">
            <v>N</v>
          </cell>
          <cell r="AC479">
            <v>8.6666000000000007</v>
          </cell>
          <cell r="AD479">
            <v>1</v>
          </cell>
          <cell r="AE479">
            <v>2660.8</v>
          </cell>
          <cell r="AF479" t="str">
            <v>month</v>
          </cell>
          <cell r="AG479" t="str">
            <v>-</v>
          </cell>
          <cell r="AH479" t="str">
            <v>-</v>
          </cell>
          <cell r="AI479" t="str">
            <v>-</v>
          </cell>
          <cell r="AJ479" t="str">
            <v>-</v>
          </cell>
          <cell r="AK479" t="str">
            <v>-</v>
          </cell>
          <cell r="AL479" t="str">
            <v>-</v>
          </cell>
          <cell r="AM479" t="str">
            <v>-</v>
          </cell>
          <cell r="AN479" t="str">
            <v>-</v>
          </cell>
          <cell r="AO479" t="str">
            <v>-</v>
          </cell>
          <cell r="AP479" t="str">
            <v>-</v>
          </cell>
          <cell r="AQ479" t="str">
            <v>-</v>
          </cell>
          <cell r="AR479" t="str">
            <v>-</v>
          </cell>
          <cell r="AS479" t="str">
            <v>-</v>
          </cell>
          <cell r="AT479" t="str">
            <v>-</v>
          </cell>
          <cell r="AU479" t="str">
            <v>-</v>
          </cell>
          <cell r="AV479" t="str">
            <v>-</v>
          </cell>
          <cell r="AW479" t="str">
            <v>-</v>
          </cell>
          <cell r="AX479" t="str">
            <v>-</v>
          </cell>
          <cell r="AY479" t="str">
            <v>-</v>
          </cell>
          <cell r="AZ479" t="str">
            <v>-</v>
          </cell>
          <cell r="BA479" t="str">
            <v>-</v>
          </cell>
          <cell r="BB479" t="str">
            <v>-</v>
          </cell>
          <cell r="BC479" t="str">
            <v>-</v>
          </cell>
          <cell r="BD479" t="str">
            <v>-</v>
          </cell>
          <cell r="BE479" t="str">
            <v>-</v>
          </cell>
          <cell r="BF479" t="str">
            <v>-</v>
          </cell>
          <cell r="BG479" t="str">
            <v>-</v>
          </cell>
          <cell r="BH479" t="str">
            <v>-</v>
          </cell>
          <cell r="BI479" t="str">
            <v>-</v>
          </cell>
          <cell r="BJ479" t="str">
            <v>-</v>
          </cell>
          <cell r="BK479" t="str">
            <v>-</v>
          </cell>
          <cell r="BL479" t="str">
            <v>-</v>
          </cell>
          <cell r="BM479">
            <v>0.34349523963208006</v>
          </cell>
          <cell r="BN479">
            <v>0.34349523963208006</v>
          </cell>
          <cell r="BO479" t="str">
            <v>-</v>
          </cell>
          <cell r="BP479" t="str">
            <v>-</v>
          </cell>
          <cell r="BQ479">
            <v>31929.600000000002</v>
          </cell>
          <cell r="BR479">
            <v>2660.8</v>
          </cell>
          <cell r="BS479">
            <v>614.03549258071212</v>
          </cell>
          <cell r="BT479">
            <v>122.80709851614243</v>
          </cell>
        </row>
        <row r="480">
          <cell r="A480" t="str">
            <v>Croatia2018100 / 100</v>
          </cell>
          <cell r="B480" t="str">
            <v>Croatia</v>
          </cell>
          <cell r="C480">
            <v>2018</v>
          </cell>
          <cell r="D480" t="str">
            <v>100 / 100</v>
          </cell>
          <cell r="E480">
            <v>97944</v>
          </cell>
          <cell r="F480">
            <v>8162</v>
          </cell>
          <cell r="G480">
            <v>1883.5529504073106</v>
          </cell>
          <cell r="H480">
            <v>376.7105900814621</v>
          </cell>
          <cell r="I480">
            <v>97944</v>
          </cell>
          <cell r="J480">
            <v>8162</v>
          </cell>
          <cell r="K480">
            <v>1883.5529504073106</v>
          </cell>
          <cell r="L480">
            <v>376.7105900814621</v>
          </cell>
          <cell r="M480" t="str">
            <v>..</v>
          </cell>
          <cell r="N480" t="str">
            <v>..</v>
          </cell>
          <cell r="O480" t="str">
            <v>..</v>
          </cell>
          <cell r="P480" t="str">
            <v>..</v>
          </cell>
          <cell r="Q480" t="str">
            <v>..</v>
          </cell>
          <cell r="R480" t="str">
            <v>..</v>
          </cell>
          <cell r="S480" t="str">
            <v>..</v>
          </cell>
          <cell r="T480" t="str">
            <v>..</v>
          </cell>
          <cell r="U480" t="str">
            <v>..</v>
          </cell>
          <cell r="V480">
            <v>8.6666000000000007</v>
          </cell>
          <cell r="W480">
            <v>8.6666000000000007</v>
          </cell>
          <cell r="X480">
            <v>0</v>
          </cell>
          <cell r="Y480" t="str">
            <v>-</v>
          </cell>
          <cell r="Z480" t="str">
            <v>Two months. Technically fathers have a four month individual entitlement, but two are 'transferable' and are considered sharable and available to the mother.  Paid at 100 per cent of average earnings with a ceiling of HRK 3991.2</v>
          </cell>
          <cell r="AA480" t="str">
            <v>Gross</v>
          </cell>
          <cell r="AB480" t="str">
            <v>N</v>
          </cell>
          <cell r="AC480">
            <v>8.6666000000000007</v>
          </cell>
          <cell r="AD480">
            <v>1</v>
          </cell>
          <cell r="AE480">
            <v>3991.2</v>
          </cell>
          <cell r="AF480" t="str">
            <v>month</v>
          </cell>
          <cell r="AG480" t="str">
            <v>-</v>
          </cell>
          <cell r="AH480" t="str">
            <v>-</v>
          </cell>
          <cell r="AI480" t="str">
            <v>-</v>
          </cell>
          <cell r="AJ480" t="str">
            <v>-</v>
          </cell>
          <cell r="AK480" t="str">
            <v>-</v>
          </cell>
          <cell r="AL480" t="str">
            <v>-</v>
          </cell>
          <cell r="AM480" t="str">
            <v>-</v>
          </cell>
          <cell r="AN480" t="str">
            <v>-</v>
          </cell>
          <cell r="AO480" t="str">
            <v>-</v>
          </cell>
          <cell r="AP480" t="str">
            <v>-</v>
          </cell>
          <cell r="AQ480" t="str">
            <v>-</v>
          </cell>
          <cell r="AR480" t="str">
            <v>-</v>
          </cell>
          <cell r="AS480" t="str">
            <v>-</v>
          </cell>
          <cell r="AT480" t="str">
            <v>-</v>
          </cell>
          <cell r="AU480" t="str">
            <v>-</v>
          </cell>
          <cell r="AV480" t="str">
            <v>-</v>
          </cell>
          <cell r="AW480" t="str">
            <v>-</v>
          </cell>
          <cell r="AX480" t="str">
            <v>-</v>
          </cell>
          <cell r="AY480" t="str">
            <v>-</v>
          </cell>
          <cell r="AZ480" t="str">
            <v>-</v>
          </cell>
          <cell r="BA480" t="str">
            <v>-</v>
          </cell>
          <cell r="BB480" t="str">
            <v>-</v>
          </cell>
          <cell r="BC480" t="str">
            <v>-</v>
          </cell>
          <cell r="BD480" t="str">
            <v>-</v>
          </cell>
          <cell r="BE480" t="str">
            <v>-</v>
          </cell>
          <cell r="BF480" t="str">
            <v>-</v>
          </cell>
          <cell r="BG480" t="str">
            <v>-</v>
          </cell>
          <cell r="BH480" t="str">
            <v>-</v>
          </cell>
          <cell r="BI480" t="str">
            <v>-</v>
          </cell>
          <cell r="BJ480" t="str">
            <v>-</v>
          </cell>
          <cell r="BK480" t="str">
            <v>-</v>
          </cell>
          <cell r="BL480" t="str">
            <v>-</v>
          </cell>
          <cell r="BM480">
            <v>0.488997794658172</v>
          </cell>
          <cell r="BN480">
            <v>0.488997794658172</v>
          </cell>
          <cell r="BO480" t="str">
            <v>-</v>
          </cell>
          <cell r="BP480" t="str">
            <v>-</v>
          </cell>
          <cell r="BQ480">
            <v>47894.400000000001</v>
          </cell>
          <cell r="BR480">
            <v>3991.2</v>
          </cell>
          <cell r="BS480">
            <v>921.05323887106806</v>
          </cell>
          <cell r="BT480">
            <v>184.21064777421361</v>
          </cell>
        </row>
        <row r="481">
          <cell r="A481" t="str">
            <v>Croatia2019100 / 100</v>
          </cell>
          <cell r="B481" t="str">
            <v>Croatia</v>
          </cell>
          <cell r="C481">
            <v>2019</v>
          </cell>
          <cell r="D481" t="str">
            <v>100 / 100</v>
          </cell>
          <cell r="E481">
            <v>101362</v>
          </cell>
          <cell r="F481">
            <v>8446.8333333333339</v>
          </cell>
          <cell r="G481">
            <v>1949.2842252632713</v>
          </cell>
          <cell r="H481">
            <v>389.85684505265425</v>
          </cell>
          <cell r="I481">
            <v>101362</v>
          </cell>
          <cell r="J481">
            <v>8446.8333333333339</v>
          </cell>
          <cell r="K481">
            <v>1949.2842252632713</v>
          </cell>
          <cell r="L481">
            <v>389.85684505265425</v>
          </cell>
          <cell r="M481" t="str">
            <v>..</v>
          </cell>
          <cell r="N481" t="str">
            <v>..</v>
          </cell>
          <cell r="O481" t="str">
            <v>..</v>
          </cell>
          <cell r="P481" t="str">
            <v>..</v>
          </cell>
          <cell r="Q481" t="str">
            <v>..</v>
          </cell>
          <cell r="R481" t="str">
            <v>..</v>
          </cell>
          <cell r="S481" t="str">
            <v>..</v>
          </cell>
          <cell r="T481" t="str">
            <v>..</v>
          </cell>
          <cell r="U481" t="str">
            <v>..</v>
          </cell>
          <cell r="V481">
            <v>8.6666000000000007</v>
          </cell>
          <cell r="W481">
            <v>8.6666000000000007</v>
          </cell>
          <cell r="X481">
            <v>0</v>
          </cell>
          <cell r="Y481" t="str">
            <v>-</v>
          </cell>
          <cell r="Z481" t="str">
            <v>Two months. Technically fathers have a four month individual entitlement, but two are 'transferable' and are considered sharable and available to the mother.  Paid at 100 per cent of average earnings with a ceiling of HRK 3991.2</v>
          </cell>
          <cell r="AA481" t="str">
            <v>Gross</v>
          </cell>
          <cell r="AB481" t="str">
            <v>N</v>
          </cell>
          <cell r="AC481">
            <v>8.6666000000000007</v>
          </cell>
          <cell r="AD481">
            <v>1</v>
          </cell>
          <cell r="AE481">
            <v>3991.2</v>
          </cell>
          <cell r="AF481" t="str">
            <v>month</v>
          </cell>
          <cell r="AG481" t="str">
            <v>-</v>
          </cell>
          <cell r="AH481" t="str">
            <v>-</v>
          </cell>
          <cell r="AI481" t="str">
            <v>-</v>
          </cell>
          <cell r="AJ481" t="str">
            <v>-</v>
          </cell>
          <cell r="AK481" t="str">
            <v>-</v>
          </cell>
          <cell r="AL481" t="str">
            <v>-</v>
          </cell>
          <cell r="AM481" t="str">
            <v>-</v>
          </cell>
          <cell r="AN481" t="str">
            <v>-</v>
          </cell>
          <cell r="AO481" t="str">
            <v>-</v>
          </cell>
          <cell r="AP481" t="str">
            <v>-</v>
          </cell>
          <cell r="AQ481" t="str">
            <v>-</v>
          </cell>
          <cell r="AR481" t="str">
            <v>-</v>
          </cell>
          <cell r="AS481" t="str">
            <v>-</v>
          </cell>
          <cell r="AT481" t="str">
            <v>-</v>
          </cell>
          <cell r="AU481" t="str">
            <v>-</v>
          </cell>
          <cell r="AV481" t="str">
            <v>-</v>
          </cell>
          <cell r="AW481" t="str">
            <v>-</v>
          </cell>
          <cell r="AX481" t="str">
            <v>-</v>
          </cell>
          <cell r="AY481" t="str">
            <v>-</v>
          </cell>
          <cell r="AZ481" t="str">
            <v>-</v>
          </cell>
          <cell r="BA481" t="str">
            <v>-</v>
          </cell>
          <cell r="BB481" t="str">
            <v>-</v>
          </cell>
          <cell r="BC481" t="str">
            <v>-</v>
          </cell>
          <cell r="BD481" t="str">
            <v>-</v>
          </cell>
          <cell r="BE481" t="str">
            <v>-</v>
          </cell>
          <cell r="BF481" t="str">
            <v>-</v>
          </cell>
          <cell r="BG481" t="str">
            <v>-</v>
          </cell>
          <cell r="BH481" t="str">
            <v>-</v>
          </cell>
          <cell r="BI481" t="str">
            <v>-</v>
          </cell>
          <cell r="BJ481" t="str">
            <v>-</v>
          </cell>
          <cell r="BK481" t="str">
            <v>-</v>
          </cell>
          <cell r="BL481" t="str">
            <v>-</v>
          </cell>
          <cell r="BM481">
            <v>0.47250843511375074</v>
          </cell>
          <cell r="BN481">
            <v>0.47250843511375074</v>
          </cell>
          <cell r="BO481" t="str">
            <v>-</v>
          </cell>
          <cell r="BP481" t="str">
            <v>-</v>
          </cell>
          <cell r="BQ481">
            <v>47894.400000000001</v>
          </cell>
          <cell r="BR481">
            <v>3991.2000000000003</v>
          </cell>
          <cell r="BS481">
            <v>921.05323887106829</v>
          </cell>
          <cell r="BT481">
            <v>184.21064777421367</v>
          </cell>
        </row>
        <row r="482">
          <cell r="A482" t="str">
            <v>Croatia2020100 / 100</v>
          </cell>
          <cell r="B482" t="str">
            <v>Croatia</v>
          </cell>
          <cell r="C482">
            <v>2020</v>
          </cell>
          <cell r="D482" t="str">
            <v>100 / 100</v>
          </cell>
          <cell r="E482">
            <v>105268</v>
          </cell>
          <cell r="F482">
            <v>8772.3333333333339</v>
          </cell>
          <cell r="G482">
            <v>2024.4001876937514</v>
          </cell>
          <cell r="H482">
            <v>404.88003753875029</v>
          </cell>
          <cell r="I482">
            <v>105268</v>
          </cell>
          <cell r="J482">
            <v>8772.3333333333339</v>
          </cell>
          <cell r="K482">
            <v>2024.4001876937514</v>
          </cell>
          <cell r="L482">
            <v>404.88003753875029</v>
          </cell>
          <cell r="M482" t="str">
            <v>..</v>
          </cell>
          <cell r="N482" t="str">
            <v>..</v>
          </cell>
          <cell r="O482" t="str">
            <v>..</v>
          </cell>
          <cell r="P482" t="str">
            <v>..</v>
          </cell>
          <cell r="Q482" t="str">
            <v>..</v>
          </cell>
          <cell r="R482" t="str">
            <v>..</v>
          </cell>
          <cell r="S482" t="str">
            <v>..</v>
          </cell>
          <cell r="T482" t="str">
            <v>..</v>
          </cell>
          <cell r="U482" t="str">
            <v>..</v>
          </cell>
          <cell r="V482">
            <v>8.6666000000000007</v>
          </cell>
          <cell r="W482">
            <v>8.6666000000000007</v>
          </cell>
          <cell r="X482">
            <v>0</v>
          </cell>
          <cell r="Y482" t="str">
            <v>-</v>
          </cell>
          <cell r="Z482" t="str">
            <v>Two months. Technically fathers have a four month individual entitlement, but two are 'transferable' and are considered sharable and available to the mother.  Paid at 100 per cent of average earnings with a ceiling of HRK 5654.2</v>
          </cell>
          <cell r="AA482" t="str">
            <v>Gross</v>
          </cell>
          <cell r="AB482" t="str">
            <v>N</v>
          </cell>
          <cell r="AC482">
            <v>8.6666000000000007</v>
          </cell>
          <cell r="AD482">
            <v>1</v>
          </cell>
          <cell r="AE482">
            <v>5654.2</v>
          </cell>
          <cell r="AF482" t="str">
            <v>month</v>
          </cell>
          <cell r="AG482" t="str">
            <v>-</v>
          </cell>
          <cell r="AH482" t="str">
            <v>-</v>
          </cell>
          <cell r="AI482" t="str">
            <v>-</v>
          </cell>
          <cell r="AJ482" t="str">
            <v>-</v>
          </cell>
          <cell r="AK482" t="str">
            <v>-</v>
          </cell>
          <cell r="AL482" t="str">
            <v>-</v>
          </cell>
          <cell r="AM482" t="str">
            <v>-</v>
          </cell>
          <cell r="AN482" t="str">
            <v>-</v>
          </cell>
          <cell r="AO482" t="str">
            <v>-</v>
          </cell>
          <cell r="AP482" t="str">
            <v>-</v>
          </cell>
          <cell r="AQ482" t="str">
            <v>-</v>
          </cell>
          <cell r="AR482" t="str">
            <v>-</v>
          </cell>
          <cell r="AS482" t="str">
            <v>-</v>
          </cell>
          <cell r="AT482" t="str">
            <v>-</v>
          </cell>
          <cell r="AU482" t="str">
            <v>-</v>
          </cell>
          <cell r="AV482" t="str">
            <v>-</v>
          </cell>
          <cell r="AW482" t="str">
            <v>-</v>
          </cell>
          <cell r="AX482" t="str">
            <v>-</v>
          </cell>
          <cell r="AY482" t="str">
            <v>-</v>
          </cell>
          <cell r="AZ482" t="str">
            <v>-</v>
          </cell>
          <cell r="BA482" t="str">
            <v>-</v>
          </cell>
          <cell r="BB482" t="str">
            <v>-</v>
          </cell>
          <cell r="BC482" t="str">
            <v>-</v>
          </cell>
          <cell r="BD482" t="str">
            <v>-</v>
          </cell>
          <cell r="BE482" t="str">
            <v>-</v>
          </cell>
          <cell r="BF482" t="str">
            <v>-</v>
          </cell>
          <cell r="BG482" t="str">
            <v>-</v>
          </cell>
          <cell r="BH482" t="str">
            <v>-</v>
          </cell>
          <cell r="BI482" t="str">
            <v>-</v>
          </cell>
          <cell r="BJ482" t="str">
            <v>-</v>
          </cell>
          <cell r="BK482" t="str">
            <v>-</v>
          </cell>
          <cell r="BL482" t="str">
            <v>-</v>
          </cell>
          <cell r="BM482">
            <v>0.64454915073906593</v>
          </cell>
          <cell r="BN482">
            <v>0.64454915073906593</v>
          </cell>
          <cell r="BO482" t="str">
            <v>-</v>
          </cell>
          <cell r="BP482" t="str">
            <v>-</v>
          </cell>
          <cell r="BQ482">
            <v>67850.399999999994</v>
          </cell>
          <cell r="BR482">
            <v>5654.2</v>
          </cell>
          <cell r="BS482">
            <v>1304.8254217340132</v>
          </cell>
          <cell r="BT482">
            <v>260.96508434680266</v>
          </cell>
        </row>
        <row r="483">
          <cell r="A483" t="str">
            <v>Croatia2021100 / 100</v>
          </cell>
          <cell r="B483" t="str">
            <v>Croatia</v>
          </cell>
          <cell r="C483">
            <v>2021</v>
          </cell>
          <cell r="D483" t="str">
            <v>100 / 100</v>
          </cell>
          <cell r="E483">
            <v>109457</v>
          </cell>
          <cell r="F483">
            <v>9121.4166666666661</v>
          </cell>
          <cell r="G483">
            <v>2104.9584996807666</v>
          </cell>
          <cell r="H483">
            <v>420.99169993615334</v>
          </cell>
          <cell r="I483">
            <v>109457</v>
          </cell>
          <cell r="J483">
            <v>9121.4166666666661</v>
          </cell>
          <cell r="K483">
            <v>2104.9584996807666</v>
          </cell>
          <cell r="L483">
            <v>420.99169993615334</v>
          </cell>
          <cell r="M483" t="str">
            <v>..</v>
          </cell>
          <cell r="N483" t="str">
            <v>..</v>
          </cell>
          <cell r="O483" t="str">
            <v>..</v>
          </cell>
          <cell r="P483" t="str">
            <v>..</v>
          </cell>
          <cell r="Q483" t="str">
            <v>..</v>
          </cell>
          <cell r="R483" t="str">
            <v>..</v>
          </cell>
          <cell r="S483" t="str">
            <v>..</v>
          </cell>
          <cell r="T483" t="str">
            <v>..</v>
          </cell>
          <cell r="U483" t="str">
            <v>..</v>
          </cell>
          <cell r="V483">
            <v>8.6666000000000007</v>
          </cell>
          <cell r="W483">
            <v>8.6666000000000007</v>
          </cell>
          <cell r="X483">
            <v>0</v>
          </cell>
          <cell r="Y483" t="str">
            <v>-</v>
          </cell>
          <cell r="Z483" t="str">
            <v>Two months. Technically fathers have a four month individual entitlement, but two are 'transferable' and are considered sharable and available to the mother.  Paid at 100 per cent of average earnings with a ceiling of HRK 5654.2</v>
          </cell>
          <cell r="AA483" t="str">
            <v>Gross</v>
          </cell>
          <cell r="AB483" t="str">
            <v>N</v>
          </cell>
          <cell r="AC483">
            <v>8.6666000000000007</v>
          </cell>
          <cell r="AD483">
            <v>1</v>
          </cell>
          <cell r="AE483">
            <v>5654.2</v>
          </cell>
          <cell r="AF483" t="str">
            <v>month</v>
          </cell>
          <cell r="AG483" t="str">
            <v>-</v>
          </cell>
          <cell r="AH483" t="str">
            <v>-</v>
          </cell>
          <cell r="AI483" t="str">
            <v>-</v>
          </cell>
          <cell r="AJ483" t="str">
            <v>-</v>
          </cell>
          <cell r="AK483" t="str">
            <v>-</v>
          </cell>
          <cell r="AL483" t="str">
            <v>-</v>
          </cell>
          <cell r="AM483" t="str">
            <v>-</v>
          </cell>
          <cell r="AN483" t="str">
            <v>-</v>
          </cell>
          <cell r="AO483" t="str">
            <v>-</v>
          </cell>
          <cell r="AP483" t="str">
            <v>-</v>
          </cell>
          <cell r="AQ483" t="str">
            <v>-</v>
          </cell>
          <cell r="AR483" t="str">
            <v>-</v>
          </cell>
          <cell r="AS483" t="str">
            <v>-</v>
          </cell>
          <cell r="AT483" t="str">
            <v>-</v>
          </cell>
          <cell r="AU483" t="str">
            <v>-</v>
          </cell>
          <cell r="AV483" t="str">
            <v>-</v>
          </cell>
          <cell r="AW483" t="str">
            <v>-</v>
          </cell>
          <cell r="AX483" t="str">
            <v>-</v>
          </cell>
          <cell r="AY483" t="str">
            <v>-</v>
          </cell>
          <cell r="AZ483" t="str">
            <v>-</v>
          </cell>
          <cell r="BA483" t="str">
            <v>-</v>
          </cell>
          <cell r="BB483" t="str">
            <v>-</v>
          </cell>
          <cell r="BC483" t="str">
            <v>-</v>
          </cell>
          <cell r="BD483" t="str">
            <v>-</v>
          </cell>
          <cell r="BE483" t="str">
            <v>-</v>
          </cell>
          <cell r="BF483" t="str">
            <v>-</v>
          </cell>
          <cell r="BG483" t="str">
            <v>-</v>
          </cell>
          <cell r="BH483" t="str">
            <v>-</v>
          </cell>
          <cell r="BI483" t="str">
            <v>-</v>
          </cell>
          <cell r="BJ483" t="str">
            <v>-</v>
          </cell>
          <cell r="BK483" t="str">
            <v>-</v>
          </cell>
          <cell r="BL483" t="str">
            <v>-</v>
          </cell>
          <cell r="BM483">
            <v>0.61988178005974948</v>
          </cell>
          <cell r="BN483">
            <v>0.61988178005974948</v>
          </cell>
          <cell r="BO483" t="str">
            <v>-</v>
          </cell>
          <cell r="BP483" t="str">
            <v>-</v>
          </cell>
          <cell r="BQ483">
            <v>67850.399999999994</v>
          </cell>
          <cell r="BR483">
            <v>5654.2</v>
          </cell>
          <cell r="BS483">
            <v>1304.8254217340132</v>
          </cell>
          <cell r="BT483">
            <v>260.96508434680266</v>
          </cell>
        </row>
        <row r="484">
          <cell r="A484" t="str">
            <v>Croatia2022100 / 100</v>
          </cell>
          <cell r="B484" t="str">
            <v>Croatia</v>
          </cell>
          <cell r="C484">
            <v>2022</v>
          </cell>
          <cell r="D484" t="str">
            <v>100 / 100</v>
          </cell>
          <cell r="E484">
            <v>119835</v>
          </cell>
          <cell r="F484">
            <v>9986.25</v>
          </cell>
          <cell r="G484">
            <v>2304.5369579765998</v>
          </cell>
          <cell r="H484">
            <v>460.90739159531995</v>
          </cell>
          <cell r="I484">
            <v>119835</v>
          </cell>
          <cell r="J484">
            <v>9986.25</v>
          </cell>
          <cell r="K484">
            <v>2304.5369579765998</v>
          </cell>
          <cell r="L484">
            <v>460.90739159531995</v>
          </cell>
          <cell r="M484" t="str">
            <v>..</v>
          </cell>
          <cell r="N484" t="str">
            <v>..</v>
          </cell>
          <cell r="O484" t="str">
            <v>..</v>
          </cell>
          <cell r="P484" t="str">
            <v>..</v>
          </cell>
          <cell r="Q484" t="str">
            <v>..</v>
          </cell>
          <cell r="R484" t="str">
            <v>..</v>
          </cell>
          <cell r="S484" t="str">
            <v>..</v>
          </cell>
          <cell r="T484" t="str">
            <v>..</v>
          </cell>
          <cell r="U484" t="str">
            <v>..</v>
          </cell>
          <cell r="V484">
            <v>8.6666000000000007</v>
          </cell>
          <cell r="W484">
            <v>8.6666000000000007</v>
          </cell>
          <cell r="X484">
            <v>0</v>
          </cell>
          <cell r="Y484" t="str">
            <v>-</v>
          </cell>
          <cell r="Z484" t="str">
            <v>Two months. Technically fathers have a four month individual entitlement, but two are 'transferable' and are considered sharable and available to the mother.  Paid at 100 per cent of average earnings with a ceiling of HRK 5654.3</v>
          </cell>
          <cell r="AA484" t="str">
            <v>Gross</v>
          </cell>
          <cell r="AB484" t="str">
            <v>N</v>
          </cell>
          <cell r="AC484">
            <v>8.6666000000000007</v>
          </cell>
          <cell r="AD484">
            <v>1</v>
          </cell>
          <cell r="AE484">
            <v>5654.2</v>
          </cell>
          <cell r="AF484" t="str">
            <v>month</v>
          </cell>
          <cell r="AG484" t="str">
            <v>-</v>
          </cell>
          <cell r="AH484" t="str">
            <v>-</v>
          </cell>
          <cell r="AI484" t="str">
            <v>-</v>
          </cell>
          <cell r="AJ484" t="str">
            <v>-</v>
          </cell>
          <cell r="AK484" t="str">
            <v>-</v>
          </cell>
          <cell r="AL484" t="str">
            <v>-</v>
          </cell>
          <cell r="AM484" t="str">
            <v>-</v>
          </cell>
          <cell r="AN484" t="str">
            <v>-</v>
          </cell>
          <cell r="AO484" t="str">
            <v>-</v>
          </cell>
          <cell r="AP484" t="str">
            <v>-</v>
          </cell>
          <cell r="AQ484" t="str">
            <v>-</v>
          </cell>
          <cell r="AR484" t="str">
            <v>-</v>
          </cell>
          <cell r="AS484" t="str">
            <v>-</v>
          </cell>
          <cell r="AT484" t="str">
            <v>-</v>
          </cell>
          <cell r="AU484" t="str">
            <v>-</v>
          </cell>
          <cell r="AV484" t="str">
            <v>-</v>
          </cell>
          <cell r="AW484" t="str">
            <v>-</v>
          </cell>
          <cell r="AX484" t="str">
            <v>-</v>
          </cell>
          <cell r="AY484" t="str">
            <v>-</v>
          </cell>
          <cell r="AZ484" t="str">
            <v>-</v>
          </cell>
          <cell r="BA484" t="str">
            <v>-</v>
          </cell>
          <cell r="BB484" t="str">
            <v>-</v>
          </cell>
          <cell r="BC484" t="str">
            <v>-</v>
          </cell>
          <cell r="BD484" t="str">
            <v>-</v>
          </cell>
          <cell r="BE484" t="str">
            <v>-</v>
          </cell>
          <cell r="BF484" t="str">
            <v>-</v>
          </cell>
          <cell r="BG484" t="str">
            <v>-</v>
          </cell>
          <cell r="BH484" t="str">
            <v>-</v>
          </cell>
          <cell r="BI484" t="str">
            <v>-</v>
          </cell>
          <cell r="BJ484" t="str">
            <v>-</v>
          </cell>
          <cell r="BK484" t="str">
            <v>-</v>
          </cell>
          <cell r="BL484" t="str">
            <v>-</v>
          </cell>
          <cell r="BM484">
            <v>0.56619852296908246</v>
          </cell>
          <cell r="BN484">
            <v>0.56619852296908246</v>
          </cell>
          <cell r="BO484" t="str">
            <v>-</v>
          </cell>
          <cell r="BP484" t="str">
            <v>-</v>
          </cell>
          <cell r="BQ484">
            <v>67850.399999999994</v>
          </cell>
          <cell r="BR484">
            <v>5654.2</v>
          </cell>
          <cell r="BS484">
            <v>1304.8254217340132</v>
          </cell>
          <cell r="BT484">
            <v>260.96508434680266</v>
          </cell>
        </row>
        <row r="485">
          <cell r="A485" t="str">
            <v>Croatia2023100 / 100</v>
          </cell>
          <cell r="B485" t="str">
            <v>Croatia</v>
          </cell>
          <cell r="C485">
            <v>2023</v>
          </cell>
          <cell r="D485" t="str">
            <v>100 / 100</v>
          </cell>
          <cell r="E485">
            <v>17630.527999999998</v>
          </cell>
          <cell r="F485">
            <v>1469.2106666666666</v>
          </cell>
          <cell r="G485">
            <v>339.05122347094971</v>
          </cell>
          <cell r="H485">
            <v>67.810244694189947</v>
          </cell>
          <cell r="I485">
            <v>17630.527999999998</v>
          </cell>
          <cell r="J485">
            <v>1469.2106666666666</v>
          </cell>
          <cell r="K485">
            <v>339.05122347094971</v>
          </cell>
          <cell r="L485">
            <v>67.810244694189947</v>
          </cell>
          <cell r="M485" t="str">
            <v>..</v>
          </cell>
          <cell r="N485" t="str">
            <v>..</v>
          </cell>
          <cell r="O485" t="str">
            <v>..</v>
          </cell>
          <cell r="P485" t="str">
            <v>..</v>
          </cell>
          <cell r="Q485" t="str">
            <v>..</v>
          </cell>
          <cell r="R485" t="str">
            <v>..</v>
          </cell>
          <cell r="S485" t="str">
            <v>..</v>
          </cell>
          <cell r="T485" t="str">
            <v>..</v>
          </cell>
          <cell r="U485" t="str">
            <v>..</v>
          </cell>
          <cell r="V485">
            <v>8.6666000000000007</v>
          </cell>
          <cell r="W485">
            <v>8.6666000000000007</v>
          </cell>
          <cell r="X485">
            <v>0</v>
          </cell>
          <cell r="Y485" t="str">
            <v>-</v>
          </cell>
          <cell r="Z485" t="str">
            <v>Two months. Technically fathers have a four month individual entitlement, but two are 'transferable' and are considered sharable and available to the mother.  Paid at 100 per cent of average earnings with a ceiling of EUR 993.24</v>
          </cell>
          <cell r="AA485" t="str">
            <v>Gross</v>
          </cell>
          <cell r="AB485" t="str">
            <v>N</v>
          </cell>
          <cell r="AC485">
            <v>8.6666000000000007</v>
          </cell>
          <cell r="AD485">
            <v>1</v>
          </cell>
          <cell r="AE485">
            <v>993.24</v>
          </cell>
          <cell r="AF485" t="str">
            <v>month</v>
          </cell>
          <cell r="AG485" t="str">
            <v>-</v>
          </cell>
          <cell r="AH485" t="str">
            <v>-</v>
          </cell>
          <cell r="AI485" t="str">
            <v>-</v>
          </cell>
          <cell r="AJ485" t="str">
            <v>-</v>
          </cell>
          <cell r="AK485" t="str">
            <v>-</v>
          </cell>
          <cell r="AL485" t="str">
            <v>-</v>
          </cell>
          <cell r="AM485" t="str">
            <v>-</v>
          </cell>
          <cell r="AN485" t="str">
            <v>-</v>
          </cell>
          <cell r="AO485" t="str">
            <v>-</v>
          </cell>
          <cell r="AP485" t="str">
            <v>-</v>
          </cell>
          <cell r="AQ485" t="str">
            <v>-</v>
          </cell>
          <cell r="AR485" t="str">
            <v>-</v>
          </cell>
          <cell r="AS485" t="str">
            <v>-</v>
          </cell>
          <cell r="AT485" t="str">
            <v>-</v>
          </cell>
          <cell r="AU485" t="str">
            <v>-</v>
          </cell>
          <cell r="AV485" t="str">
            <v>-</v>
          </cell>
          <cell r="AW485" t="str">
            <v>-</v>
          </cell>
          <cell r="AX485" t="str">
            <v>-</v>
          </cell>
          <cell r="AY485" t="str">
            <v>-</v>
          </cell>
          <cell r="AZ485" t="str">
            <v>-</v>
          </cell>
          <cell r="BA485" t="str">
            <v>-</v>
          </cell>
          <cell r="BB485" t="str">
            <v>-</v>
          </cell>
          <cell r="BC485" t="str">
            <v>-</v>
          </cell>
          <cell r="BD485" t="str">
            <v>-</v>
          </cell>
          <cell r="BE485" t="str">
            <v>-</v>
          </cell>
          <cell r="BF485" t="str">
            <v>-</v>
          </cell>
          <cell r="BG485" t="str">
            <v>-</v>
          </cell>
          <cell r="BH485" t="str">
            <v>-</v>
          </cell>
          <cell r="BI485" t="str">
            <v>-</v>
          </cell>
          <cell r="BJ485" t="str">
            <v>-</v>
          </cell>
          <cell r="BK485" t="str">
            <v>-</v>
          </cell>
          <cell r="BL485" t="str">
            <v>-</v>
          </cell>
          <cell r="BM485">
            <v>0.6760364749144212</v>
          </cell>
          <cell r="BN485">
            <v>0.6760364749144212</v>
          </cell>
          <cell r="BO485" t="str">
            <v>-</v>
          </cell>
          <cell r="BP485" t="str">
            <v>-</v>
          </cell>
          <cell r="BQ485">
            <v>11918.88</v>
          </cell>
          <cell r="BR485">
            <v>993.24</v>
          </cell>
          <cell r="BS485">
            <v>229.21099393072251</v>
          </cell>
          <cell r="BT485">
            <v>45.842198786144507</v>
          </cell>
        </row>
        <row r="486">
          <cell r="A486" t="str">
            <v>Croatia2024100 / 100</v>
          </cell>
          <cell r="B486" t="str">
            <v>Croatia</v>
          </cell>
          <cell r="C486">
            <v>2024</v>
          </cell>
          <cell r="D486" t="str">
            <v>100 / 100</v>
          </cell>
          <cell r="E486">
            <v>19999.93</v>
          </cell>
          <cell r="F486">
            <v>1666.6608333333334</v>
          </cell>
          <cell r="G486">
            <v>384.61699705382347</v>
          </cell>
          <cell r="H486">
            <v>76.923399410764688</v>
          </cell>
          <cell r="I486">
            <v>19999.93</v>
          </cell>
          <cell r="J486">
            <v>1666.6608333333334</v>
          </cell>
          <cell r="K486">
            <v>384.61699705382347</v>
          </cell>
          <cell r="L486">
            <v>76.923399410764688</v>
          </cell>
          <cell r="M486" t="str">
            <v>..</v>
          </cell>
          <cell r="N486" t="str">
            <v>..</v>
          </cell>
          <cell r="O486" t="str">
            <v>..</v>
          </cell>
          <cell r="P486" t="str">
            <v>..</v>
          </cell>
          <cell r="Q486" t="str">
            <v>..</v>
          </cell>
          <cell r="R486" t="str">
            <v>..</v>
          </cell>
          <cell r="S486" t="str">
            <v>..</v>
          </cell>
          <cell r="T486" t="str">
            <v>..</v>
          </cell>
          <cell r="U486" t="str">
            <v>..</v>
          </cell>
          <cell r="V486">
            <v>8.6666000000000007</v>
          </cell>
          <cell r="W486">
            <v>8.6666000000000007</v>
          </cell>
          <cell r="X486">
            <v>0</v>
          </cell>
          <cell r="Y486" t="str">
            <v>-</v>
          </cell>
          <cell r="Z486" t="str">
            <v>Two months. Technically fathers have a four month individual entitlement, but two are 'transferable' and are considered sharable and available to the mother.  Paid at 100 per cent of average earnings with a ceiling of EUR 995.45</v>
          </cell>
          <cell r="AA486" t="str">
            <v>Gross</v>
          </cell>
          <cell r="AB486" t="str">
            <v>N</v>
          </cell>
          <cell r="AC486">
            <v>8.6666000000000007</v>
          </cell>
          <cell r="AD486">
            <v>1</v>
          </cell>
          <cell r="AE486">
            <v>995.45</v>
          </cell>
          <cell r="AF486" t="str">
            <v>month</v>
          </cell>
          <cell r="AG486" t="str">
            <v>-</v>
          </cell>
          <cell r="AH486" t="str">
            <v>-</v>
          </cell>
          <cell r="AI486" t="str">
            <v>-</v>
          </cell>
          <cell r="AJ486" t="str">
            <v>-</v>
          </cell>
          <cell r="AK486" t="str">
            <v>-</v>
          </cell>
          <cell r="AL486" t="str">
            <v>-</v>
          </cell>
          <cell r="AM486" t="str">
            <v>-</v>
          </cell>
          <cell r="AN486" t="str">
            <v>-</v>
          </cell>
          <cell r="AO486" t="str">
            <v>-</v>
          </cell>
          <cell r="AP486" t="str">
            <v>-</v>
          </cell>
          <cell r="AQ486" t="str">
            <v>-</v>
          </cell>
          <cell r="AR486" t="str">
            <v>-</v>
          </cell>
          <cell r="AS486" t="str">
            <v>-</v>
          </cell>
          <cell r="AT486" t="str">
            <v>-</v>
          </cell>
          <cell r="AU486" t="str">
            <v>-</v>
          </cell>
          <cell r="AV486" t="str">
            <v>-</v>
          </cell>
          <cell r="AW486" t="str">
            <v>-</v>
          </cell>
          <cell r="AX486" t="str">
            <v>-</v>
          </cell>
          <cell r="AY486" t="str">
            <v>-</v>
          </cell>
          <cell r="AZ486" t="str">
            <v>-</v>
          </cell>
          <cell r="BA486" t="str">
            <v>-</v>
          </cell>
          <cell r="BB486" t="str">
            <v>-</v>
          </cell>
          <cell r="BC486" t="str">
            <v>-</v>
          </cell>
          <cell r="BD486" t="str">
            <v>-</v>
          </cell>
          <cell r="BE486" t="str">
            <v>-</v>
          </cell>
          <cell r="BF486" t="str">
            <v>-</v>
          </cell>
          <cell r="BG486" t="str">
            <v>-</v>
          </cell>
          <cell r="BH486" t="str">
            <v>-</v>
          </cell>
          <cell r="BI486" t="str">
            <v>-</v>
          </cell>
          <cell r="BJ486" t="str">
            <v>-</v>
          </cell>
          <cell r="BK486" t="str">
            <v>-</v>
          </cell>
          <cell r="BL486" t="str">
            <v>-</v>
          </cell>
          <cell r="BM486">
            <v>0.59727209045231655</v>
          </cell>
          <cell r="BN486">
            <v>0.59727209045231655</v>
          </cell>
          <cell r="BO486" t="str">
            <v>-</v>
          </cell>
          <cell r="BP486" t="str">
            <v>-</v>
          </cell>
          <cell r="BQ486">
            <v>11945.4</v>
          </cell>
          <cell r="BR486">
            <v>995.44999999999993</v>
          </cell>
          <cell r="BS486">
            <v>229.72099785382963</v>
          </cell>
          <cell r="BT486">
            <v>45.944199570765917</v>
          </cell>
        </row>
        <row r="487">
          <cell r="A487" t="str">
            <v>Croatia2025100 / 100</v>
          </cell>
          <cell r="B487" t="str">
            <v>Croatia</v>
          </cell>
          <cell r="C487">
            <v>2025</v>
          </cell>
          <cell r="D487" t="str">
            <v>100 / 100</v>
          </cell>
          <cell r="E487">
            <v>19999.93</v>
          </cell>
          <cell r="F487">
            <v>1666.6608333333334</v>
          </cell>
          <cell r="G487">
            <v>384.61699705382347</v>
          </cell>
          <cell r="H487">
            <v>76.923399410764688</v>
          </cell>
          <cell r="I487">
            <v>19999.93</v>
          </cell>
          <cell r="J487">
            <v>1666.6608333333334</v>
          </cell>
          <cell r="K487">
            <v>384.61699705382347</v>
          </cell>
          <cell r="L487">
            <v>76.923399410764688</v>
          </cell>
          <cell r="M487" t="str">
            <v>..</v>
          </cell>
          <cell r="N487" t="str">
            <v>..</v>
          </cell>
          <cell r="O487" t="str">
            <v>..</v>
          </cell>
          <cell r="P487" t="str">
            <v>..</v>
          </cell>
          <cell r="Q487" t="str">
            <v>..</v>
          </cell>
          <cell r="R487" t="str">
            <v>..</v>
          </cell>
          <cell r="S487" t="str">
            <v>..</v>
          </cell>
          <cell r="T487" t="str">
            <v>..</v>
          </cell>
          <cell r="U487" t="str">
            <v>..</v>
          </cell>
          <cell r="V487">
            <v>8.6666000000000007</v>
          </cell>
          <cell r="W487">
            <v>8.6666000000000007</v>
          </cell>
          <cell r="X487">
            <v>0</v>
          </cell>
          <cell r="Y487" t="str">
            <v>-</v>
          </cell>
          <cell r="Z487" t="str">
            <v>Two months. Technically fathers have a four month individual entitlement, but two are 'transferable' and are considered sharable and available to the mother.  Paid at 100 per cent of average earnings with a ceiling of EUR 3001.80</v>
          </cell>
          <cell r="AA487" t="str">
            <v>Gross</v>
          </cell>
          <cell r="AB487" t="str">
            <v>N</v>
          </cell>
          <cell r="AC487">
            <v>8.6666000000000007</v>
          </cell>
          <cell r="AD487">
            <v>1</v>
          </cell>
          <cell r="AE487">
            <v>3001.8</v>
          </cell>
          <cell r="AF487" t="str">
            <v>month</v>
          </cell>
          <cell r="AG487" t="str">
            <v>-</v>
          </cell>
          <cell r="AH487" t="str">
            <v>-</v>
          </cell>
          <cell r="AI487" t="str">
            <v>-</v>
          </cell>
          <cell r="AJ487" t="str">
            <v>-</v>
          </cell>
          <cell r="AK487" t="str">
            <v>-</v>
          </cell>
          <cell r="AL487" t="str">
            <v>-</v>
          </cell>
          <cell r="AM487" t="str">
            <v>-</v>
          </cell>
          <cell r="AN487" t="str">
            <v>-</v>
          </cell>
          <cell r="AO487" t="str">
            <v>-</v>
          </cell>
          <cell r="AP487" t="str">
            <v>-</v>
          </cell>
          <cell r="AQ487" t="str">
            <v>-</v>
          </cell>
          <cell r="AR487" t="str">
            <v>-</v>
          </cell>
          <cell r="AS487" t="str">
            <v>-</v>
          </cell>
          <cell r="AT487" t="str">
            <v>-</v>
          </cell>
          <cell r="AU487" t="str">
            <v>-</v>
          </cell>
          <cell r="AV487" t="str">
            <v>-</v>
          </cell>
          <cell r="AW487" t="str">
            <v>-</v>
          </cell>
          <cell r="AX487" t="str">
            <v>-</v>
          </cell>
          <cell r="AY487" t="str">
            <v>-</v>
          </cell>
          <cell r="AZ487" t="str">
            <v>-</v>
          </cell>
          <cell r="BA487" t="str">
            <v>-</v>
          </cell>
          <cell r="BB487" t="str">
            <v>-</v>
          </cell>
          <cell r="BC487" t="str">
            <v>-</v>
          </cell>
          <cell r="BD487" t="str">
            <v>-</v>
          </cell>
          <cell r="BE487" t="str">
            <v>-</v>
          </cell>
          <cell r="BF487" t="str">
            <v>-</v>
          </cell>
          <cell r="BG487" t="str">
            <v>-</v>
          </cell>
          <cell r="BH487" t="str">
            <v>-</v>
          </cell>
          <cell r="BI487" t="str">
            <v>-</v>
          </cell>
          <cell r="BJ487" t="str">
            <v>-</v>
          </cell>
          <cell r="BK487" t="str">
            <v>-</v>
          </cell>
          <cell r="BL487" t="str">
            <v>-</v>
          </cell>
          <cell r="BM487">
            <v>1</v>
          </cell>
          <cell r="BN487">
            <v>1</v>
          </cell>
          <cell r="BO487" t="str">
            <v>-</v>
          </cell>
          <cell r="BP487" t="str">
            <v>-</v>
          </cell>
          <cell r="BQ487">
            <v>19999.93</v>
          </cell>
          <cell r="BR487">
            <v>1666.6608333333334</v>
          </cell>
          <cell r="BS487">
            <v>384.61699705382347</v>
          </cell>
          <cell r="BT487">
            <v>76.923399410764688</v>
          </cell>
        </row>
        <row r="488">
          <cell r="A488" t="str">
            <v>Cyprus2014100 / 100</v>
          </cell>
          <cell r="B488" t="str">
            <v>Cyprus</v>
          </cell>
          <cell r="C488">
            <v>2014</v>
          </cell>
          <cell r="D488" t="str">
            <v>100 / 100</v>
          </cell>
          <cell r="E488">
            <v>20712</v>
          </cell>
          <cell r="F488">
            <v>1726</v>
          </cell>
          <cell r="G488">
            <v>398.31075623658643</v>
          </cell>
          <cell r="H488">
            <v>79.662151247317283</v>
          </cell>
          <cell r="I488">
            <v>20712</v>
          </cell>
          <cell r="J488">
            <v>1726</v>
          </cell>
          <cell r="K488">
            <v>398.31075623658643</v>
          </cell>
          <cell r="L488">
            <v>79.662151247317283</v>
          </cell>
          <cell r="M488" t="str">
            <v>..</v>
          </cell>
          <cell r="N488" t="str">
            <v>..</v>
          </cell>
          <cell r="O488" t="str">
            <v>..</v>
          </cell>
          <cell r="P488" t="str">
            <v>..</v>
          </cell>
          <cell r="Q488" t="str">
            <v>..</v>
          </cell>
          <cell r="R488" t="str">
            <v>..</v>
          </cell>
          <cell r="S488" t="str">
            <v>..</v>
          </cell>
          <cell r="T488" t="str">
            <v>..</v>
          </cell>
          <cell r="U488" t="str">
            <v>..</v>
          </cell>
          <cell r="V488">
            <v>16</v>
          </cell>
          <cell r="W488">
            <v>0</v>
          </cell>
          <cell r="X488">
            <v>16</v>
          </cell>
          <cell r="Y488" t="str">
            <v>-</v>
          </cell>
          <cell r="Z488" t="str">
            <v>Parental leave is unpaid. 2 weeks transferred to mother</v>
          </cell>
          <cell r="AA488" t="str">
            <v>-</v>
          </cell>
          <cell r="AB488" t="str">
            <v>-</v>
          </cell>
          <cell r="AC488" t="str">
            <v>-</v>
          </cell>
          <cell r="AD488" t="str">
            <v>-</v>
          </cell>
          <cell r="AE488" t="str">
            <v>-</v>
          </cell>
          <cell r="AF488" t="str">
            <v>-</v>
          </cell>
          <cell r="AG488" t="str">
            <v>-</v>
          </cell>
          <cell r="AH488" t="str">
            <v>-</v>
          </cell>
          <cell r="AI488" t="str">
            <v>-</v>
          </cell>
          <cell r="AJ488" t="str">
            <v>-</v>
          </cell>
          <cell r="AK488" t="str">
            <v>-</v>
          </cell>
          <cell r="AL488" t="str">
            <v>-</v>
          </cell>
          <cell r="AM488" t="str">
            <v>-</v>
          </cell>
          <cell r="AN488" t="str">
            <v>-</v>
          </cell>
          <cell r="AO488" t="str">
            <v>-</v>
          </cell>
          <cell r="AP488" t="str">
            <v>-</v>
          </cell>
          <cell r="AQ488" t="str">
            <v>-</v>
          </cell>
          <cell r="AR488" t="str">
            <v>-</v>
          </cell>
          <cell r="AS488" t="str">
            <v>-</v>
          </cell>
          <cell r="AT488" t="str">
            <v>-</v>
          </cell>
          <cell r="AU488" t="str">
            <v>-</v>
          </cell>
          <cell r="AV488" t="str">
            <v>-</v>
          </cell>
          <cell r="AW488" t="str">
            <v>-</v>
          </cell>
          <cell r="AX488" t="str">
            <v>-</v>
          </cell>
          <cell r="AY488" t="str">
            <v>-</v>
          </cell>
          <cell r="AZ488" t="str">
            <v>-</v>
          </cell>
          <cell r="BA488" t="str">
            <v>-</v>
          </cell>
          <cell r="BB488" t="str">
            <v>-</v>
          </cell>
          <cell r="BC488" t="str">
            <v>-</v>
          </cell>
          <cell r="BD488" t="str">
            <v>-</v>
          </cell>
          <cell r="BE488" t="str">
            <v>-</v>
          </cell>
          <cell r="BF488" t="str">
            <v>-</v>
          </cell>
          <cell r="BG488" t="str">
            <v>-</v>
          </cell>
          <cell r="BH488" t="str">
            <v>-</v>
          </cell>
          <cell r="BI488" t="str">
            <v>-</v>
          </cell>
          <cell r="BJ488" t="str">
            <v>-</v>
          </cell>
          <cell r="BK488" t="str">
            <v>-</v>
          </cell>
          <cell r="BL488" t="str">
            <v>-</v>
          </cell>
          <cell r="BM488">
            <v>0</v>
          </cell>
          <cell r="BN488">
            <v>0</v>
          </cell>
          <cell r="BO488" t="str">
            <v>-</v>
          </cell>
          <cell r="BP488" t="str">
            <v>-</v>
          </cell>
          <cell r="BQ488">
            <v>0</v>
          </cell>
          <cell r="BR488">
            <v>0</v>
          </cell>
          <cell r="BS488">
            <v>0</v>
          </cell>
          <cell r="BT488">
            <v>0</v>
          </cell>
        </row>
        <row r="489">
          <cell r="A489" t="str">
            <v>Cyprus2015100 / 100</v>
          </cell>
          <cell r="B489" t="str">
            <v>Cyprus</v>
          </cell>
          <cell r="C489">
            <v>2015</v>
          </cell>
          <cell r="D489" t="str">
            <v>100 / 100</v>
          </cell>
          <cell r="E489">
            <v>20712</v>
          </cell>
          <cell r="F489">
            <v>1726</v>
          </cell>
          <cell r="G489">
            <v>398.31075623658643</v>
          </cell>
          <cell r="H489">
            <v>79.662151247317283</v>
          </cell>
          <cell r="I489">
            <v>20712</v>
          </cell>
          <cell r="J489">
            <v>1726</v>
          </cell>
          <cell r="K489">
            <v>398.31075623658643</v>
          </cell>
          <cell r="L489">
            <v>79.662151247317283</v>
          </cell>
          <cell r="M489" t="str">
            <v>..</v>
          </cell>
          <cell r="N489" t="str">
            <v>..</v>
          </cell>
          <cell r="O489" t="str">
            <v>..</v>
          </cell>
          <cell r="P489" t="str">
            <v>..</v>
          </cell>
          <cell r="Q489" t="str">
            <v>..</v>
          </cell>
          <cell r="R489" t="str">
            <v>..</v>
          </cell>
          <cell r="S489" t="str">
            <v>..</v>
          </cell>
          <cell r="T489" t="str">
            <v>..</v>
          </cell>
          <cell r="U489" t="str">
            <v>..</v>
          </cell>
          <cell r="V489">
            <v>16</v>
          </cell>
          <cell r="W489">
            <v>0</v>
          </cell>
          <cell r="X489">
            <v>16</v>
          </cell>
          <cell r="Y489" t="str">
            <v>-</v>
          </cell>
          <cell r="Z489" t="str">
            <v>Parental leave is unpaid. 2 weeks transferred to mother</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v>
          </cell>
          <cell r="AN489" t="str">
            <v>-</v>
          </cell>
          <cell r="AO489" t="str">
            <v>-</v>
          </cell>
          <cell r="AP489" t="str">
            <v>-</v>
          </cell>
          <cell r="AQ489" t="str">
            <v>-</v>
          </cell>
          <cell r="AR489" t="str">
            <v>-</v>
          </cell>
          <cell r="AS489" t="str">
            <v>-</v>
          </cell>
          <cell r="AT489" t="str">
            <v>-</v>
          </cell>
          <cell r="AU489" t="str">
            <v>-</v>
          </cell>
          <cell r="AV489" t="str">
            <v>-</v>
          </cell>
          <cell r="AW489" t="str">
            <v>-</v>
          </cell>
          <cell r="AX489" t="str">
            <v>-</v>
          </cell>
          <cell r="AY489" t="str">
            <v>-</v>
          </cell>
          <cell r="AZ489" t="str">
            <v>-</v>
          </cell>
          <cell r="BA489" t="str">
            <v>-</v>
          </cell>
          <cell r="BB489" t="str">
            <v>-</v>
          </cell>
          <cell r="BC489" t="str">
            <v>-</v>
          </cell>
          <cell r="BD489" t="str">
            <v>-</v>
          </cell>
          <cell r="BE489" t="str">
            <v>-</v>
          </cell>
          <cell r="BF489" t="str">
            <v>-</v>
          </cell>
          <cell r="BG489" t="str">
            <v>-</v>
          </cell>
          <cell r="BH489" t="str">
            <v>-</v>
          </cell>
          <cell r="BI489" t="str">
            <v>-</v>
          </cell>
          <cell r="BJ489" t="str">
            <v>-</v>
          </cell>
          <cell r="BK489" t="str">
            <v>-</v>
          </cell>
          <cell r="BL489" t="str">
            <v>-</v>
          </cell>
          <cell r="BM489">
            <v>0</v>
          </cell>
          <cell r="BN489">
            <v>0</v>
          </cell>
          <cell r="BO489" t="str">
            <v>-</v>
          </cell>
          <cell r="BP489" t="str">
            <v>-</v>
          </cell>
          <cell r="BQ489">
            <v>0</v>
          </cell>
          <cell r="BR489">
            <v>0</v>
          </cell>
          <cell r="BS489">
            <v>0</v>
          </cell>
          <cell r="BT489">
            <v>0</v>
          </cell>
        </row>
        <row r="490">
          <cell r="A490" t="str">
            <v>Cyprus2016100 / 100</v>
          </cell>
          <cell r="B490" t="str">
            <v>Cyprus</v>
          </cell>
          <cell r="C490">
            <v>2016</v>
          </cell>
          <cell r="D490" t="str">
            <v>100 / 100</v>
          </cell>
          <cell r="E490">
            <v>20832</v>
          </cell>
          <cell r="F490">
            <v>1736</v>
          </cell>
          <cell r="G490">
            <v>400.61846629589456</v>
          </cell>
          <cell r="H490">
            <v>80.123693259178907</v>
          </cell>
          <cell r="I490">
            <v>20832</v>
          </cell>
          <cell r="J490">
            <v>1736</v>
          </cell>
          <cell r="K490">
            <v>400.61846629589456</v>
          </cell>
          <cell r="L490">
            <v>80.123693259178907</v>
          </cell>
          <cell r="M490" t="str">
            <v>..</v>
          </cell>
          <cell r="N490" t="str">
            <v>..</v>
          </cell>
          <cell r="O490" t="str">
            <v>..</v>
          </cell>
          <cell r="P490" t="str">
            <v>..</v>
          </cell>
          <cell r="Q490" t="str">
            <v>..</v>
          </cell>
          <cell r="R490" t="str">
            <v>..</v>
          </cell>
          <cell r="S490" t="str">
            <v>..</v>
          </cell>
          <cell r="T490" t="str">
            <v>..</v>
          </cell>
          <cell r="U490" t="str">
            <v>..</v>
          </cell>
          <cell r="V490">
            <v>16</v>
          </cell>
          <cell r="W490">
            <v>0</v>
          </cell>
          <cell r="X490">
            <v>16</v>
          </cell>
          <cell r="Y490" t="str">
            <v>-</v>
          </cell>
          <cell r="Z490" t="str">
            <v>Parental leave is unpaid. 2 weeks transferred to mother</v>
          </cell>
          <cell r="AA490" t="str">
            <v>-</v>
          </cell>
          <cell r="AB490" t="str">
            <v>-</v>
          </cell>
          <cell r="AC490" t="str">
            <v>-</v>
          </cell>
          <cell r="AD490" t="str">
            <v>-</v>
          </cell>
          <cell r="AE490" t="str">
            <v>-</v>
          </cell>
          <cell r="AF490" t="str">
            <v>-</v>
          </cell>
          <cell r="AG490" t="str">
            <v>-</v>
          </cell>
          <cell r="AH490" t="str">
            <v>-</v>
          </cell>
          <cell r="AI490" t="str">
            <v>-</v>
          </cell>
          <cell r="AJ490" t="str">
            <v>-</v>
          </cell>
          <cell r="AK490" t="str">
            <v>-</v>
          </cell>
          <cell r="AL490" t="str">
            <v>-</v>
          </cell>
          <cell r="AM490" t="str">
            <v>-</v>
          </cell>
          <cell r="AN490" t="str">
            <v>-</v>
          </cell>
          <cell r="AO490" t="str">
            <v>-</v>
          </cell>
          <cell r="AP490" t="str">
            <v>-</v>
          </cell>
          <cell r="AQ490" t="str">
            <v>-</v>
          </cell>
          <cell r="AR490" t="str">
            <v>-</v>
          </cell>
          <cell r="AS490" t="str">
            <v>-</v>
          </cell>
          <cell r="AT490" t="str">
            <v>-</v>
          </cell>
          <cell r="AU490" t="str">
            <v>-</v>
          </cell>
          <cell r="AV490" t="str">
            <v>-</v>
          </cell>
          <cell r="AW490" t="str">
            <v>-</v>
          </cell>
          <cell r="AX490" t="str">
            <v>-</v>
          </cell>
          <cell r="AY490" t="str">
            <v>-</v>
          </cell>
          <cell r="AZ490" t="str">
            <v>-</v>
          </cell>
          <cell r="BA490" t="str">
            <v>-</v>
          </cell>
          <cell r="BB490" t="str">
            <v>-</v>
          </cell>
          <cell r="BC490" t="str">
            <v>-</v>
          </cell>
          <cell r="BD490" t="str">
            <v>-</v>
          </cell>
          <cell r="BE490" t="str">
            <v>-</v>
          </cell>
          <cell r="BF490" t="str">
            <v>-</v>
          </cell>
          <cell r="BG490" t="str">
            <v>-</v>
          </cell>
          <cell r="BH490" t="str">
            <v>-</v>
          </cell>
          <cell r="BI490" t="str">
            <v>-</v>
          </cell>
          <cell r="BJ490" t="str">
            <v>-</v>
          </cell>
          <cell r="BK490" t="str">
            <v>-</v>
          </cell>
          <cell r="BL490" t="str">
            <v>-</v>
          </cell>
          <cell r="BM490">
            <v>0</v>
          </cell>
          <cell r="BN490">
            <v>0</v>
          </cell>
          <cell r="BO490" t="str">
            <v>-</v>
          </cell>
          <cell r="BP490" t="str">
            <v>-</v>
          </cell>
          <cell r="BQ490">
            <v>0</v>
          </cell>
          <cell r="BR490">
            <v>0</v>
          </cell>
          <cell r="BS490">
            <v>0</v>
          </cell>
          <cell r="BT490">
            <v>0</v>
          </cell>
        </row>
        <row r="491">
          <cell r="A491" t="str">
            <v>Cyprus2017100 / 100</v>
          </cell>
          <cell r="B491" t="str">
            <v>Cyprus</v>
          </cell>
          <cell r="C491">
            <v>2017</v>
          </cell>
          <cell r="D491" t="str">
            <v>100 / 100</v>
          </cell>
          <cell r="E491">
            <v>21192</v>
          </cell>
          <cell r="F491">
            <v>1766</v>
          </cell>
          <cell r="G491">
            <v>407.54159647381897</v>
          </cell>
          <cell r="H491">
            <v>81.508319294763794</v>
          </cell>
          <cell r="I491">
            <v>21192</v>
          </cell>
          <cell r="J491">
            <v>1766</v>
          </cell>
          <cell r="K491">
            <v>407.54159647381897</v>
          </cell>
          <cell r="L491">
            <v>81.508319294763794</v>
          </cell>
          <cell r="M491" t="str">
            <v>..</v>
          </cell>
          <cell r="N491" t="str">
            <v>..</v>
          </cell>
          <cell r="O491" t="str">
            <v>..</v>
          </cell>
          <cell r="P491" t="str">
            <v>..</v>
          </cell>
          <cell r="Q491" t="str">
            <v>..</v>
          </cell>
          <cell r="R491" t="str">
            <v>..</v>
          </cell>
          <cell r="S491" t="str">
            <v>..</v>
          </cell>
          <cell r="T491" t="str">
            <v>..</v>
          </cell>
          <cell r="U491" t="str">
            <v>..</v>
          </cell>
          <cell r="V491">
            <v>16</v>
          </cell>
          <cell r="W491">
            <v>0</v>
          </cell>
          <cell r="X491">
            <v>16</v>
          </cell>
          <cell r="Y491" t="str">
            <v>-</v>
          </cell>
          <cell r="Z491" t="str">
            <v>Parental leave is unpaid. 2 weeks transferred to mother</v>
          </cell>
          <cell r="AA491" t="str">
            <v>-</v>
          </cell>
          <cell r="AB491" t="str">
            <v>-</v>
          </cell>
          <cell r="AC491" t="str">
            <v>-</v>
          </cell>
          <cell r="AD491" t="str">
            <v>-</v>
          </cell>
          <cell r="AE491" t="str">
            <v>-</v>
          </cell>
          <cell r="AF491" t="str">
            <v>-</v>
          </cell>
          <cell r="AG491" t="str">
            <v>-</v>
          </cell>
          <cell r="AH491" t="str">
            <v>-</v>
          </cell>
          <cell r="AI491" t="str">
            <v>-</v>
          </cell>
          <cell r="AJ491" t="str">
            <v>-</v>
          </cell>
          <cell r="AK491" t="str">
            <v>-</v>
          </cell>
          <cell r="AL491" t="str">
            <v>-</v>
          </cell>
          <cell r="AM491" t="str">
            <v>-</v>
          </cell>
          <cell r="AN491" t="str">
            <v>-</v>
          </cell>
          <cell r="AO491" t="str">
            <v>-</v>
          </cell>
          <cell r="AP491" t="str">
            <v>-</v>
          </cell>
          <cell r="AQ491" t="str">
            <v>-</v>
          </cell>
          <cell r="AR491" t="str">
            <v>-</v>
          </cell>
          <cell r="AS491" t="str">
            <v>-</v>
          </cell>
          <cell r="AT491" t="str">
            <v>-</v>
          </cell>
          <cell r="AU491" t="str">
            <v>-</v>
          </cell>
          <cell r="AV491" t="str">
            <v>-</v>
          </cell>
          <cell r="AW491" t="str">
            <v>-</v>
          </cell>
          <cell r="AX491" t="str">
            <v>-</v>
          </cell>
          <cell r="AY491" t="str">
            <v>-</v>
          </cell>
          <cell r="AZ491" t="str">
            <v>-</v>
          </cell>
          <cell r="BA491" t="str">
            <v>-</v>
          </cell>
          <cell r="BB491" t="str">
            <v>-</v>
          </cell>
          <cell r="BC491" t="str">
            <v>-</v>
          </cell>
          <cell r="BD491" t="str">
            <v>-</v>
          </cell>
          <cell r="BE491" t="str">
            <v>-</v>
          </cell>
          <cell r="BF491" t="str">
            <v>-</v>
          </cell>
          <cell r="BG491" t="str">
            <v>-</v>
          </cell>
          <cell r="BH491" t="str">
            <v>-</v>
          </cell>
          <cell r="BI491" t="str">
            <v>-</v>
          </cell>
          <cell r="BJ491" t="str">
            <v>-</v>
          </cell>
          <cell r="BK491" t="str">
            <v>-</v>
          </cell>
          <cell r="BL491" t="str">
            <v>-</v>
          </cell>
          <cell r="BM491">
            <v>0</v>
          </cell>
          <cell r="BN491">
            <v>0</v>
          </cell>
          <cell r="BO491" t="str">
            <v>-</v>
          </cell>
          <cell r="BP491" t="str">
            <v>-</v>
          </cell>
          <cell r="BQ491">
            <v>0</v>
          </cell>
          <cell r="BR491">
            <v>0</v>
          </cell>
          <cell r="BS491">
            <v>0</v>
          </cell>
          <cell r="BT491">
            <v>0</v>
          </cell>
        </row>
        <row r="492">
          <cell r="A492" t="str">
            <v>Cyprus2018100 / 100</v>
          </cell>
          <cell r="B492" t="str">
            <v>Cyprus</v>
          </cell>
          <cell r="C492">
            <v>2018</v>
          </cell>
          <cell r="D492" t="str">
            <v>100 / 100</v>
          </cell>
          <cell r="E492">
            <v>21864</v>
          </cell>
          <cell r="F492">
            <v>1822</v>
          </cell>
          <cell r="G492">
            <v>420.46477280594462</v>
          </cell>
          <cell r="H492">
            <v>84.092954561188918</v>
          </cell>
          <cell r="I492">
            <v>21864</v>
          </cell>
          <cell r="J492">
            <v>1822</v>
          </cell>
          <cell r="K492">
            <v>420.46477280594462</v>
          </cell>
          <cell r="L492">
            <v>84.092954561188918</v>
          </cell>
          <cell r="M492" t="str">
            <v>..</v>
          </cell>
          <cell r="N492" t="str">
            <v>..</v>
          </cell>
          <cell r="O492" t="str">
            <v>..</v>
          </cell>
          <cell r="P492" t="str">
            <v>..</v>
          </cell>
          <cell r="Q492" t="str">
            <v>..</v>
          </cell>
          <cell r="R492" t="str">
            <v>..</v>
          </cell>
          <cell r="S492" t="str">
            <v>..</v>
          </cell>
          <cell r="T492" t="str">
            <v>..</v>
          </cell>
          <cell r="U492" t="str">
            <v>..</v>
          </cell>
          <cell r="V492">
            <v>16</v>
          </cell>
          <cell r="W492">
            <v>0</v>
          </cell>
          <cell r="X492">
            <v>16</v>
          </cell>
          <cell r="Y492" t="str">
            <v>-</v>
          </cell>
          <cell r="Z492" t="str">
            <v>Parental leave is unpaid. 2 weeks transferred to mother</v>
          </cell>
          <cell r="AA492" t="str">
            <v>-</v>
          </cell>
          <cell r="AB492" t="str">
            <v>-</v>
          </cell>
          <cell r="AC492" t="str">
            <v>-</v>
          </cell>
          <cell r="AD492" t="str">
            <v>-</v>
          </cell>
          <cell r="AE492" t="str">
            <v>-</v>
          </cell>
          <cell r="AF492" t="str">
            <v>-</v>
          </cell>
          <cell r="AG492" t="str">
            <v>-</v>
          </cell>
          <cell r="AH492" t="str">
            <v>-</v>
          </cell>
          <cell r="AI492" t="str">
            <v>-</v>
          </cell>
          <cell r="AJ492" t="str">
            <v>-</v>
          </cell>
          <cell r="AK492" t="str">
            <v>-</v>
          </cell>
          <cell r="AL492" t="str">
            <v>-</v>
          </cell>
          <cell r="AM492" t="str">
            <v>-</v>
          </cell>
          <cell r="AN492" t="str">
            <v>-</v>
          </cell>
          <cell r="AO492" t="str">
            <v>-</v>
          </cell>
          <cell r="AP492" t="str">
            <v>-</v>
          </cell>
          <cell r="AQ492" t="str">
            <v>-</v>
          </cell>
          <cell r="AR492" t="str">
            <v>-</v>
          </cell>
          <cell r="AS492" t="str">
            <v>-</v>
          </cell>
          <cell r="AT492" t="str">
            <v>-</v>
          </cell>
          <cell r="AU492" t="str">
            <v>-</v>
          </cell>
          <cell r="AV492" t="str">
            <v>-</v>
          </cell>
          <cell r="AW492" t="str">
            <v>-</v>
          </cell>
          <cell r="AX492" t="str">
            <v>-</v>
          </cell>
          <cell r="AY492" t="str">
            <v>-</v>
          </cell>
          <cell r="AZ492" t="str">
            <v>-</v>
          </cell>
          <cell r="BA492" t="str">
            <v>-</v>
          </cell>
          <cell r="BB492" t="str">
            <v>-</v>
          </cell>
          <cell r="BC492" t="str">
            <v>-</v>
          </cell>
          <cell r="BD492" t="str">
            <v>-</v>
          </cell>
          <cell r="BE492" t="str">
            <v>-</v>
          </cell>
          <cell r="BF492" t="str">
            <v>-</v>
          </cell>
          <cell r="BG492" t="str">
            <v>-</v>
          </cell>
          <cell r="BH492" t="str">
            <v>-</v>
          </cell>
          <cell r="BI492" t="str">
            <v>-</v>
          </cell>
          <cell r="BJ492" t="str">
            <v>-</v>
          </cell>
          <cell r="BK492" t="str">
            <v>-</v>
          </cell>
          <cell r="BL492" t="str">
            <v>-</v>
          </cell>
          <cell r="BM492">
            <v>0</v>
          </cell>
          <cell r="BN492">
            <v>0</v>
          </cell>
          <cell r="BO492" t="str">
            <v>-</v>
          </cell>
          <cell r="BP492" t="str">
            <v>-</v>
          </cell>
          <cell r="BQ492">
            <v>0</v>
          </cell>
          <cell r="BR492">
            <v>0</v>
          </cell>
          <cell r="BS492">
            <v>0</v>
          </cell>
          <cell r="BT492">
            <v>0</v>
          </cell>
        </row>
        <row r="493">
          <cell r="A493" t="str">
            <v>Cyprus2019100 / 100</v>
          </cell>
          <cell r="B493" t="str">
            <v>Cyprus</v>
          </cell>
          <cell r="C493">
            <v>2019</v>
          </cell>
          <cell r="D493" t="str">
            <v>100 / 100</v>
          </cell>
          <cell r="E493">
            <v>22332</v>
          </cell>
          <cell r="F493">
            <v>1861</v>
          </cell>
          <cell r="G493">
            <v>429.4648420372464</v>
          </cell>
          <cell r="H493">
            <v>85.892968407449274</v>
          </cell>
          <cell r="I493">
            <v>22332</v>
          </cell>
          <cell r="J493">
            <v>1861</v>
          </cell>
          <cell r="K493">
            <v>429.4648420372464</v>
          </cell>
          <cell r="L493">
            <v>85.892968407449274</v>
          </cell>
          <cell r="M493" t="str">
            <v>..</v>
          </cell>
          <cell r="N493" t="str">
            <v>..</v>
          </cell>
          <cell r="O493" t="str">
            <v>..</v>
          </cell>
          <cell r="P493" t="str">
            <v>..</v>
          </cell>
          <cell r="Q493" t="str">
            <v>..</v>
          </cell>
          <cell r="R493" t="str">
            <v>..</v>
          </cell>
          <cell r="S493" t="str">
            <v>..</v>
          </cell>
          <cell r="T493" t="str">
            <v>..</v>
          </cell>
          <cell r="U493" t="str">
            <v>..</v>
          </cell>
          <cell r="V493">
            <v>16</v>
          </cell>
          <cell r="W493">
            <v>0</v>
          </cell>
          <cell r="X493">
            <v>16</v>
          </cell>
          <cell r="Y493" t="str">
            <v>-</v>
          </cell>
          <cell r="Z493" t="str">
            <v>Parental leave is unpaid. 2 weeks transferred to mother</v>
          </cell>
          <cell r="AA493" t="str">
            <v>-</v>
          </cell>
          <cell r="AB493" t="str">
            <v>-</v>
          </cell>
          <cell r="AC493" t="str">
            <v>-</v>
          </cell>
          <cell r="AD493" t="str">
            <v>-</v>
          </cell>
          <cell r="AE493" t="str">
            <v>-</v>
          </cell>
          <cell r="AF493" t="str">
            <v>-</v>
          </cell>
          <cell r="AG493" t="str">
            <v>-</v>
          </cell>
          <cell r="AH493" t="str">
            <v>-</v>
          </cell>
          <cell r="AI493" t="str">
            <v>-</v>
          </cell>
          <cell r="AJ493" t="str">
            <v>-</v>
          </cell>
          <cell r="AK493" t="str">
            <v>-</v>
          </cell>
          <cell r="AL493" t="str">
            <v>-</v>
          </cell>
          <cell r="AM493" t="str">
            <v>-</v>
          </cell>
          <cell r="AN493" t="str">
            <v>-</v>
          </cell>
          <cell r="AO493" t="str">
            <v>-</v>
          </cell>
          <cell r="AP493" t="str">
            <v>-</v>
          </cell>
          <cell r="AQ493" t="str">
            <v>-</v>
          </cell>
          <cell r="AR493" t="str">
            <v>-</v>
          </cell>
          <cell r="AS493" t="str">
            <v>-</v>
          </cell>
          <cell r="AT493" t="str">
            <v>-</v>
          </cell>
          <cell r="AU493" t="str">
            <v>-</v>
          </cell>
          <cell r="AV493" t="str">
            <v>-</v>
          </cell>
          <cell r="AW493" t="str">
            <v>-</v>
          </cell>
          <cell r="AX493" t="str">
            <v>-</v>
          </cell>
          <cell r="AY493" t="str">
            <v>-</v>
          </cell>
          <cell r="AZ493" t="str">
            <v>-</v>
          </cell>
          <cell r="BA493" t="str">
            <v>-</v>
          </cell>
          <cell r="BB493" t="str">
            <v>-</v>
          </cell>
          <cell r="BC493" t="str">
            <v>-</v>
          </cell>
          <cell r="BD493" t="str">
            <v>-</v>
          </cell>
          <cell r="BE493" t="str">
            <v>-</v>
          </cell>
          <cell r="BF493" t="str">
            <v>-</v>
          </cell>
          <cell r="BG493" t="str">
            <v>-</v>
          </cell>
          <cell r="BH493" t="str">
            <v>-</v>
          </cell>
          <cell r="BI493" t="str">
            <v>-</v>
          </cell>
          <cell r="BJ493" t="str">
            <v>-</v>
          </cell>
          <cell r="BK493" t="str">
            <v>-</v>
          </cell>
          <cell r="BL493" t="str">
            <v>-</v>
          </cell>
          <cell r="BM493">
            <v>0</v>
          </cell>
          <cell r="BN493">
            <v>0</v>
          </cell>
          <cell r="BO493" t="str">
            <v>-</v>
          </cell>
          <cell r="BP493" t="str">
            <v>-</v>
          </cell>
          <cell r="BQ493">
            <v>0</v>
          </cell>
          <cell r="BR493">
            <v>0</v>
          </cell>
          <cell r="BS493">
            <v>0</v>
          </cell>
          <cell r="BT493">
            <v>0</v>
          </cell>
        </row>
        <row r="494">
          <cell r="A494" t="str">
            <v>Cyprus2020100 / 100</v>
          </cell>
          <cell r="B494" t="str">
            <v>Cyprus</v>
          </cell>
          <cell r="C494">
            <v>2020</v>
          </cell>
          <cell r="D494" t="str">
            <v>100 / 100</v>
          </cell>
          <cell r="E494">
            <v>22440</v>
          </cell>
          <cell r="F494">
            <v>1870</v>
          </cell>
          <cell r="G494">
            <v>431.54178109062372</v>
          </cell>
          <cell r="H494">
            <v>86.308356218124743</v>
          </cell>
          <cell r="I494">
            <v>22440</v>
          </cell>
          <cell r="J494">
            <v>1870</v>
          </cell>
          <cell r="K494">
            <v>431.54178109062372</v>
          </cell>
          <cell r="L494">
            <v>86.308356218124743</v>
          </cell>
          <cell r="M494" t="str">
            <v>..</v>
          </cell>
          <cell r="N494" t="str">
            <v>..</v>
          </cell>
          <cell r="O494" t="str">
            <v>..</v>
          </cell>
          <cell r="P494" t="str">
            <v>..</v>
          </cell>
          <cell r="Q494" t="str">
            <v>..</v>
          </cell>
          <cell r="R494" t="str">
            <v>..</v>
          </cell>
          <cell r="S494" t="str">
            <v>..</v>
          </cell>
          <cell r="T494" t="str">
            <v>..</v>
          </cell>
          <cell r="U494" t="str">
            <v>..</v>
          </cell>
          <cell r="V494">
            <v>16</v>
          </cell>
          <cell r="W494">
            <v>0</v>
          </cell>
          <cell r="X494">
            <v>16</v>
          </cell>
          <cell r="Y494" t="str">
            <v>-</v>
          </cell>
          <cell r="Z494" t="str">
            <v>Parental leave is unpaid. 2 weeks transferred to mother</v>
          </cell>
          <cell r="AA494" t="str">
            <v>-</v>
          </cell>
          <cell r="AB494" t="str">
            <v>-</v>
          </cell>
          <cell r="AC494" t="str">
            <v>-</v>
          </cell>
          <cell r="AD494" t="str">
            <v>-</v>
          </cell>
          <cell r="AE494" t="str">
            <v>-</v>
          </cell>
          <cell r="AF494" t="str">
            <v>-</v>
          </cell>
          <cell r="AG494" t="str">
            <v>-</v>
          </cell>
          <cell r="AH494" t="str">
            <v>-</v>
          </cell>
          <cell r="AI494" t="str">
            <v>-</v>
          </cell>
          <cell r="AJ494" t="str">
            <v>-</v>
          </cell>
          <cell r="AK494" t="str">
            <v>-</v>
          </cell>
          <cell r="AL494" t="str">
            <v>-</v>
          </cell>
          <cell r="AM494" t="str">
            <v>-</v>
          </cell>
          <cell r="AN494" t="str">
            <v>-</v>
          </cell>
          <cell r="AO494" t="str">
            <v>-</v>
          </cell>
          <cell r="AP494" t="str">
            <v>-</v>
          </cell>
          <cell r="AQ494" t="str">
            <v>-</v>
          </cell>
          <cell r="AR494" t="str">
            <v>-</v>
          </cell>
          <cell r="AS494" t="str">
            <v>-</v>
          </cell>
          <cell r="AT494" t="str">
            <v>-</v>
          </cell>
          <cell r="AU494" t="str">
            <v>-</v>
          </cell>
          <cell r="AV494" t="str">
            <v>-</v>
          </cell>
          <cell r="AW494" t="str">
            <v>-</v>
          </cell>
          <cell r="AX494" t="str">
            <v>-</v>
          </cell>
          <cell r="AY494" t="str">
            <v>-</v>
          </cell>
          <cell r="AZ494" t="str">
            <v>-</v>
          </cell>
          <cell r="BA494" t="str">
            <v>-</v>
          </cell>
          <cell r="BB494" t="str">
            <v>-</v>
          </cell>
          <cell r="BC494" t="str">
            <v>-</v>
          </cell>
          <cell r="BD494" t="str">
            <v>-</v>
          </cell>
          <cell r="BE494" t="str">
            <v>-</v>
          </cell>
          <cell r="BF494" t="str">
            <v>-</v>
          </cell>
          <cell r="BG494" t="str">
            <v>-</v>
          </cell>
          <cell r="BH494" t="str">
            <v>-</v>
          </cell>
          <cell r="BI494" t="str">
            <v>-</v>
          </cell>
          <cell r="BJ494" t="str">
            <v>-</v>
          </cell>
          <cell r="BK494" t="str">
            <v>-</v>
          </cell>
          <cell r="BL494" t="str">
            <v>-</v>
          </cell>
          <cell r="BM494">
            <v>0</v>
          </cell>
          <cell r="BN494">
            <v>0</v>
          </cell>
          <cell r="BO494" t="str">
            <v>-</v>
          </cell>
          <cell r="BP494" t="str">
            <v>-</v>
          </cell>
          <cell r="BQ494">
            <v>0</v>
          </cell>
          <cell r="BR494">
            <v>0</v>
          </cell>
          <cell r="BS494">
            <v>0</v>
          </cell>
          <cell r="BT494">
            <v>0</v>
          </cell>
        </row>
        <row r="495">
          <cell r="A495" t="str">
            <v>Cyprus2021100 / 100</v>
          </cell>
          <cell r="B495" t="str">
            <v>Cyprus</v>
          </cell>
          <cell r="C495">
            <v>2021</v>
          </cell>
          <cell r="D495" t="str">
            <v>100 / 100</v>
          </cell>
          <cell r="E495">
            <v>23244</v>
          </cell>
          <cell r="F495">
            <v>1937</v>
          </cell>
          <cell r="G495">
            <v>447.00343848798832</v>
          </cell>
          <cell r="H495">
            <v>89.400687697597661</v>
          </cell>
          <cell r="I495">
            <v>23244</v>
          </cell>
          <cell r="J495">
            <v>1937</v>
          </cell>
          <cell r="K495">
            <v>447.00343848798832</v>
          </cell>
          <cell r="L495">
            <v>89.400687697597661</v>
          </cell>
          <cell r="M495" t="str">
            <v>..</v>
          </cell>
          <cell r="N495" t="str">
            <v>..</v>
          </cell>
          <cell r="O495" t="str">
            <v>..</v>
          </cell>
          <cell r="P495" t="str">
            <v>..</v>
          </cell>
          <cell r="Q495" t="str">
            <v>..</v>
          </cell>
          <cell r="R495" t="str">
            <v>..</v>
          </cell>
          <cell r="S495" t="str">
            <v>..</v>
          </cell>
          <cell r="T495" t="str">
            <v>..</v>
          </cell>
          <cell r="U495" t="str">
            <v>..</v>
          </cell>
          <cell r="V495">
            <v>16</v>
          </cell>
          <cell r="W495">
            <v>0</v>
          </cell>
          <cell r="X495">
            <v>16</v>
          </cell>
          <cell r="Y495" t="str">
            <v>-</v>
          </cell>
          <cell r="Z495" t="str">
            <v>Parental leave is unpaid. 2 weeks transferred to mother</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t="str">
            <v>-</v>
          </cell>
          <cell r="AQ495" t="str">
            <v>-</v>
          </cell>
          <cell r="AR495" t="str">
            <v>-</v>
          </cell>
          <cell r="AS495" t="str">
            <v>-</v>
          </cell>
          <cell r="AT495" t="str">
            <v>-</v>
          </cell>
          <cell r="AU495" t="str">
            <v>-</v>
          </cell>
          <cell r="AV495" t="str">
            <v>-</v>
          </cell>
          <cell r="AW495" t="str">
            <v>-</v>
          </cell>
          <cell r="AX495" t="str">
            <v>-</v>
          </cell>
          <cell r="AY495" t="str">
            <v>-</v>
          </cell>
          <cell r="AZ495" t="str">
            <v>-</v>
          </cell>
          <cell r="BA495" t="str">
            <v>-</v>
          </cell>
          <cell r="BB495" t="str">
            <v>-</v>
          </cell>
          <cell r="BC495" t="str">
            <v>-</v>
          </cell>
          <cell r="BD495" t="str">
            <v>-</v>
          </cell>
          <cell r="BE495" t="str">
            <v>-</v>
          </cell>
          <cell r="BF495" t="str">
            <v>-</v>
          </cell>
          <cell r="BG495" t="str">
            <v>-</v>
          </cell>
          <cell r="BH495" t="str">
            <v>-</v>
          </cell>
          <cell r="BI495" t="str">
            <v>-</v>
          </cell>
          <cell r="BJ495" t="str">
            <v>-</v>
          </cell>
          <cell r="BK495" t="str">
            <v>-</v>
          </cell>
          <cell r="BL495" t="str">
            <v>-</v>
          </cell>
          <cell r="BM495">
            <v>0</v>
          </cell>
          <cell r="BN495">
            <v>0</v>
          </cell>
          <cell r="BO495" t="str">
            <v>-</v>
          </cell>
          <cell r="BP495" t="str">
            <v>-</v>
          </cell>
          <cell r="BQ495">
            <v>0</v>
          </cell>
          <cell r="BR495">
            <v>0</v>
          </cell>
          <cell r="BS495">
            <v>0</v>
          </cell>
          <cell r="BT495">
            <v>0</v>
          </cell>
        </row>
        <row r="496">
          <cell r="A496" t="str">
            <v>Cyprus2022100 / 100</v>
          </cell>
          <cell r="B496" t="str">
            <v>Cyprus</v>
          </cell>
          <cell r="C496">
            <v>2022</v>
          </cell>
          <cell r="D496" t="str">
            <v>100 / 100</v>
          </cell>
          <cell r="E496">
            <v>25416</v>
          </cell>
          <cell r="F496">
            <v>2118</v>
          </cell>
          <cell r="G496">
            <v>488.7729905614658</v>
          </cell>
          <cell r="H496">
            <v>97.754598112293166</v>
          </cell>
          <cell r="I496">
            <v>25416</v>
          </cell>
          <cell r="J496">
            <v>2118</v>
          </cell>
          <cell r="K496">
            <v>488.7729905614658</v>
          </cell>
          <cell r="L496">
            <v>97.754598112293166</v>
          </cell>
          <cell r="M496" t="str">
            <v>..</v>
          </cell>
          <cell r="N496" t="str">
            <v>..</v>
          </cell>
          <cell r="O496" t="str">
            <v>..</v>
          </cell>
          <cell r="P496" t="str">
            <v>..</v>
          </cell>
          <cell r="Q496" t="str">
            <v>..</v>
          </cell>
          <cell r="R496" t="str">
            <v>..</v>
          </cell>
          <cell r="S496" t="str">
            <v>..</v>
          </cell>
          <cell r="T496" t="str">
            <v>..</v>
          </cell>
          <cell r="U496" t="str">
            <v>..</v>
          </cell>
          <cell r="V496">
            <v>16</v>
          </cell>
          <cell r="W496">
            <v>0</v>
          </cell>
          <cell r="X496">
            <v>16</v>
          </cell>
          <cell r="Y496" t="str">
            <v>-</v>
          </cell>
          <cell r="Z496" t="str">
            <v>Parental leave is unpaid. 2 weeks transferred to mother</v>
          </cell>
          <cell r="AA496" t="str">
            <v>-</v>
          </cell>
          <cell r="AB496" t="str">
            <v>-</v>
          </cell>
          <cell r="AC496" t="str">
            <v>-</v>
          </cell>
          <cell r="AD496" t="str">
            <v>-</v>
          </cell>
          <cell r="AE496" t="str">
            <v>-</v>
          </cell>
          <cell r="AF496" t="str">
            <v>-</v>
          </cell>
          <cell r="AG496" t="str">
            <v>-</v>
          </cell>
          <cell r="AH496" t="str">
            <v>-</v>
          </cell>
          <cell r="AI496" t="str">
            <v>-</v>
          </cell>
          <cell r="AJ496" t="str">
            <v>-</v>
          </cell>
          <cell r="AK496" t="str">
            <v>-</v>
          </cell>
          <cell r="AL496" t="str">
            <v>-</v>
          </cell>
          <cell r="AM496" t="str">
            <v>-</v>
          </cell>
          <cell r="AN496" t="str">
            <v>-</v>
          </cell>
          <cell r="AO496" t="str">
            <v>-</v>
          </cell>
          <cell r="AP496" t="str">
            <v>-</v>
          </cell>
          <cell r="AQ496" t="str">
            <v>-</v>
          </cell>
          <cell r="AR496" t="str">
            <v>-</v>
          </cell>
          <cell r="AS496" t="str">
            <v>-</v>
          </cell>
          <cell r="AT496" t="str">
            <v>-</v>
          </cell>
          <cell r="AU496" t="str">
            <v>-</v>
          </cell>
          <cell r="AV496" t="str">
            <v>-</v>
          </cell>
          <cell r="AW496" t="str">
            <v>-</v>
          </cell>
          <cell r="AX496" t="str">
            <v>-</v>
          </cell>
          <cell r="AY496" t="str">
            <v>-</v>
          </cell>
          <cell r="AZ496" t="str">
            <v>-</v>
          </cell>
          <cell r="BA496" t="str">
            <v>-</v>
          </cell>
          <cell r="BB496" t="str">
            <v>-</v>
          </cell>
          <cell r="BC496" t="str">
            <v>-</v>
          </cell>
          <cell r="BD496" t="str">
            <v>-</v>
          </cell>
          <cell r="BE496" t="str">
            <v>-</v>
          </cell>
          <cell r="BF496" t="str">
            <v>-</v>
          </cell>
          <cell r="BG496" t="str">
            <v>-</v>
          </cell>
          <cell r="BH496" t="str">
            <v>-</v>
          </cell>
          <cell r="BI496" t="str">
            <v>-</v>
          </cell>
          <cell r="BJ496" t="str">
            <v>-</v>
          </cell>
          <cell r="BK496" t="str">
            <v>-</v>
          </cell>
          <cell r="BL496" t="str">
            <v>-</v>
          </cell>
          <cell r="BM496">
            <v>0</v>
          </cell>
          <cell r="BN496">
            <v>0</v>
          </cell>
          <cell r="BO496" t="str">
            <v>-</v>
          </cell>
          <cell r="BP496" t="str">
            <v>-</v>
          </cell>
          <cell r="BQ496">
            <v>0</v>
          </cell>
          <cell r="BR496">
            <v>0</v>
          </cell>
          <cell r="BS496">
            <v>0</v>
          </cell>
          <cell r="BT496">
            <v>0</v>
          </cell>
        </row>
        <row r="497">
          <cell r="A497" t="str">
            <v>Cyprus2023100 / 100</v>
          </cell>
          <cell r="B497" t="str">
            <v>Cyprus</v>
          </cell>
          <cell r="C497">
            <v>2023</v>
          </cell>
          <cell r="D497" t="str">
            <v>100 / 100</v>
          </cell>
          <cell r="E497">
            <v>27015.435000000001</v>
          </cell>
          <cell r="F497">
            <v>2251.2862500000001</v>
          </cell>
          <cell r="G497">
            <v>519.53159255071193</v>
          </cell>
          <cell r="H497">
            <v>103.90631851014238</v>
          </cell>
          <cell r="I497">
            <v>27015.435000000001</v>
          </cell>
          <cell r="J497">
            <v>2251.2862500000001</v>
          </cell>
          <cell r="K497">
            <v>519.53159255071193</v>
          </cell>
          <cell r="L497">
            <v>103.90631851014238</v>
          </cell>
          <cell r="M497" t="str">
            <v>..</v>
          </cell>
          <cell r="N497" t="str">
            <v>..</v>
          </cell>
          <cell r="O497" t="str">
            <v>..</v>
          </cell>
          <cell r="P497" t="str">
            <v>..</v>
          </cell>
          <cell r="Q497" t="str">
            <v>..</v>
          </cell>
          <cell r="R497" t="str">
            <v>..</v>
          </cell>
          <cell r="S497" t="str">
            <v>..</v>
          </cell>
          <cell r="T497" t="str">
            <v>..</v>
          </cell>
          <cell r="U497" t="str">
            <v>..</v>
          </cell>
          <cell r="V497">
            <v>16</v>
          </cell>
          <cell r="W497">
            <v>0</v>
          </cell>
          <cell r="X497">
            <v>16</v>
          </cell>
          <cell r="Y497" t="str">
            <v>-</v>
          </cell>
          <cell r="Z497" t="str">
            <v>Parental leave is unpaid. 2 weeks transferred to mother</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t="str">
            <v>-</v>
          </cell>
          <cell r="AQ497" t="str">
            <v>-</v>
          </cell>
          <cell r="AR497" t="str">
            <v>-</v>
          </cell>
          <cell r="AS497" t="str">
            <v>-</v>
          </cell>
          <cell r="AT497" t="str">
            <v>-</v>
          </cell>
          <cell r="AU497" t="str">
            <v>-</v>
          </cell>
          <cell r="AV497" t="str">
            <v>-</v>
          </cell>
          <cell r="AW497" t="str">
            <v>-</v>
          </cell>
          <cell r="AX497" t="str">
            <v>-</v>
          </cell>
          <cell r="AY497" t="str">
            <v>-</v>
          </cell>
          <cell r="AZ497" t="str">
            <v>-</v>
          </cell>
          <cell r="BA497" t="str">
            <v>-</v>
          </cell>
          <cell r="BB497" t="str">
            <v>-</v>
          </cell>
          <cell r="BC497" t="str">
            <v>-</v>
          </cell>
          <cell r="BD497" t="str">
            <v>-</v>
          </cell>
          <cell r="BE497" t="str">
            <v>-</v>
          </cell>
          <cell r="BF497" t="str">
            <v>-</v>
          </cell>
          <cell r="BG497" t="str">
            <v>-</v>
          </cell>
          <cell r="BH497" t="str">
            <v>-</v>
          </cell>
          <cell r="BI497" t="str">
            <v>-</v>
          </cell>
          <cell r="BJ497" t="str">
            <v>-</v>
          </cell>
          <cell r="BK497" t="str">
            <v>-</v>
          </cell>
          <cell r="BL497" t="str">
            <v>-</v>
          </cell>
          <cell r="BM497">
            <v>0</v>
          </cell>
          <cell r="BN497">
            <v>0</v>
          </cell>
          <cell r="BO497" t="str">
            <v>-</v>
          </cell>
          <cell r="BP497" t="str">
            <v>-</v>
          </cell>
          <cell r="BQ497">
            <v>0</v>
          </cell>
          <cell r="BR497">
            <v>0</v>
          </cell>
          <cell r="BS497">
            <v>0</v>
          </cell>
          <cell r="BT497">
            <v>0</v>
          </cell>
        </row>
        <row r="498">
          <cell r="A498" t="str">
            <v>Cyprus2024100 / 100</v>
          </cell>
          <cell r="B498" t="str">
            <v>Cyprus</v>
          </cell>
          <cell r="C498">
            <v>2024</v>
          </cell>
          <cell r="D498" t="str">
            <v>100 / 100</v>
          </cell>
          <cell r="E498">
            <v>28698.48</v>
          </cell>
          <cell r="F498">
            <v>2391.54</v>
          </cell>
          <cell r="G498">
            <v>551.89809152378086</v>
          </cell>
          <cell r="H498">
            <v>110.37961830475618</v>
          </cell>
          <cell r="I498">
            <v>28698.48</v>
          </cell>
          <cell r="J498">
            <v>2391.54</v>
          </cell>
          <cell r="K498">
            <v>551.89809152378086</v>
          </cell>
          <cell r="L498">
            <v>110.37961830475618</v>
          </cell>
          <cell r="M498" t="str">
            <v>..</v>
          </cell>
          <cell r="N498" t="str">
            <v>..</v>
          </cell>
          <cell r="O498" t="str">
            <v>..</v>
          </cell>
          <cell r="P498" t="str">
            <v>..</v>
          </cell>
          <cell r="Q498" t="str">
            <v>..</v>
          </cell>
          <cell r="R498" t="str">
            <v>..</v>
          </cell>
          <cell r="S498" t="str">
            <v>..</v>
          </cell>
          <cell r="T498" t="str">
            <v>..</v>
          </cell>
          <cell r="U498" t="str">
            <v>..</v>
          </cell>
          <cell r="V498">
            <v>16</v>
          </cell>
          <cell r="W498">
            <v>0</v>
          </cell>
          <cell r="X498">
            <v>16</v>
          </cell>
          <cell r="Y498" t="str">
            <v>-</v>
          </cell>
          <cell r="Z498" t="str">
            <v>Parental leave is unpaid. 2 weeks transferred to mother</v>
          </cell>
          <cell r="AA498" t="str">
            <v>-</v>
          </cell>
          <cell r="AB498" t="str">
            <v>-</v>
          </cell>
          <cell r="AC498" t="str">
            <v>-</v>
          </cell>
          <cell r="AD498" t="str">
            <v>-</v>
          </cell>
          <cell r="AE498" t="str">
            <v>-</v>
          </cell>
          <cell r="AF498" t="str">
            <v>-</v>
          </cell>
          <cell r="AG498" t="str">
            <v>-</v>
          </cell>
          <cell r="AH498" t="str">
            <v>-</v>
          </cell>
          <cell r="AI498" t="str">
            <v>-</v>
          </cell>
          <cell r="AJ498" t="str">
            <v>-</v>
          </cell>
          <cell r="AK498" t="str">
            <v>-</v>
          </cell>
          <cell r="AL498" t="str">
            <v>-</v>
          </cell>
          <cell r="AM498" t="str">
            <v>-</v>
          </cell>
          <cell r="AN498" t="str">
            <v>-</v>
          </cell>
          <cell r="AO498" t="str">
            <v>-</v>
          </cell>
          <cell r="AP498" t="str">
            <v>-</v>
          </cell>
          <cell r="AQ498" t="str">
            <v>-</v>
          </cell>
          <cell r="AR498" t="str">
            <v>-</v>
          </cell>
          <cell r="AS498" t="str">
            <v>-</v>
          </cell>
          <cell r="AT498" t="str">
            <v>-</v>
          </cell>
          <cell r="AU498" t="str">
            <v>-</v>
          </cell>
          <cell r="AV498" t="str">
            <v>-</v>
          </cell>
          <cell r="AW498" t="str">
            <v>-</v>
          </cell>
          <cell r="AX498" t="str">
            <v>-</v>
          </cell>
          <cell r="AY498" t="str">
            <v>-</v>
          </cell>
          <cell r="AZ498" t="str">
            <v>-</v>
          </cell>
          <cell r="BA498" t="str">
            <v>-</v>
          </cell>
          <cell r="BB498" t="str">
            <v>-</v>
          </cell>
          <cell r="BC498" t="str">
            <v>-</v>
          </cell>
          <cell r="BD498" t="str">
            <v>-</v>
          </cell>
          <cell r="BE498" t="str">
            <v>-</v>
          </cell>
          <cell r="BF498" t="str">
            <v>-</v>
          </cell>
          <cell r="BG498" t="str">
            <v>-</v>
          </cell>
          <cell r="BH498" t="str">
            <v>-</v>
          </cell>
          <cell r="BI498" t="str">
            <v>-</v>
          </cell>
          <cell r="BJ498" t="str">
            <v>-</v>
          </cell>
          <cell r="BK498" t="str">
            <v>-</v>
          </cell>
          <cell r="BL498" t="str">
            <v>-</v>
          </cell>
          <cell r="BM498">
            <v>0</v>
          </cell>
          <cell r="BN498">
            <v>0</v>
          </cell>
          <cell r="BO498" t="str">
            <v>-</v>
          </cell>
          <cell r="BP498" t="str">
            <v>-</v>
          </cell>
          <cell r="BQ498">
            <v>0</v>
          </cell>
          <cell r="BR498">
            <v>0</v>
          </cell>
          <cell r="BS498">
            <v>0</v>
          </cell>
          <cell r="BT498">
            <v>0</v>
          </cell>
        </row>
        <row r="499">
          <cell r="A499" t="str">
            <v>Cyprus2025100 / 100</v>
          </cell>
          <cell r="B499" t="str">
            <v>Cyprus</v>
          </cell>
          <cell r="C499">
            <v>2025</v>
          </cell>
          <cell r="D499" t="str">
            <v>100 / 100</v>
          </cell>
          <cell r="E499">
            <v>28698.48</v>
          </cell>
          <cell r="F499">
            <v>2391.54</v>
          </cell>
          <cell r="G499">
            <v>551.89809152378086</v>
          </cell>
          <cell r="H499">
            <v>110.37961830475618</v>
          </cell>
          <cell r="I499">
            <v>28698.48</v>
          </cell>
          <cell r="J499">
            <v>2391.54</v>
          </cell>
          <cell r="K499">
            <v>551.89809152378086</v>
          </cell>
          <cell r="L499">
            <v>110.37961830475618</v>
          </cell>
          <cell r="M499" t="str">
            <v>..</v>
          </cell>
          <cell r="N499" t="str">
            <v>..</v>
          </cell>
          <cell r="O499" t="str">
            <v>..</v>
          </cell>
          <cell r="P499" t="str">
            <v>..</v>
          </cell>
          <cell r="Q499" t="str">
            <v>..</v>
          </cell>
          <cell r="R499" t="str">
            <v>..</v>
          </cell>
          <cell r="S499" t="str">
            <v>..</v>
          </cell>
          <cell r="T499" t="str">
            <v>..</v>
          </cell>
          <cell r="U499" t="str">
            <v>..</v>
          </cell>
          <cell r="V499">
            <v>9</v>
          </cell>
          <cell r="W499">
            <v>0</v>
          </cell>
          <cell r="X499">
            <v>9</v>
          </cell>
          <cell r="Y499" t="str">
            <v>-</v>
          </cell>
          <cell r="Z499" t="str">
            <v>Parental leave is unpaid. 9 weeks transferred to mother</v>
          </cell>
          <cell r="AA499" t="str">
            <v>-</v>
          </cell>
          <cell r="AB499" t="str">
            <v>-</v>
          </cell>
          <cell r="AC499" t="str">
            <v>-</v>
          </cell>
          <cell r="AD499" t="str">
            <v>-</v>
          </cell>
          <cell r="AE499" t="str">
            <v>-</v>
          </cell>
          <cell r="AF499" t="str">
            <v>-</v>
          </cell>
          <cell r="AG499" t="str">
            <v>-</v>
          </cell>
          <cell r="AH499" t="str">
            <v>-</v>
          </cell>
          <cell r="AI499" t="str">
            <v>-</v>
          </cell>
          <cell r="AJ499" t="str">
            <v>-</v>
          </cell>
          <cell r="AK499" t="str">
            <v>-</v>
          </cell>
          <cell r="AL499" t="str">
            <v>-</v>
          </cell>
          <cell r="AM499" t="str">
            <v>-</v>
          </cell>
          <cell r="AN499" t="str">
            <v>-</v>
          </cell>
          <cell r="AO499" t="str">
            <v>-</v>
          </cell>
          <cell r="AP499" t="str">
            <v>-</v>
          </cell>
          <cell r="AQ499" t="str">
            <v>-</v>
          </cell>
          <cell r="AR499" t="str">
            <v>-</v>
          </cell>
          <cell r="AS499" t="str">
            <v>-</v>
          </cell>
          <cell r="AT499" t="str">
            <v>-</v>
          </cell>
          <cell r="AU499" t="str">
            <v>-</v>
          </cell>
          <cell r="AV499" t="str">
            <v>-</v>
          </cell>
          <cell r="AW499" t="str">
            <v>-</v>
          </cell>
          <cell r="AX499" t="str">
            <v>-</v>
          </cell>
          <cell r="AY499" t="str">
            <v>-</v>
          </cell>
          <cell r="AZ499" t="str">
            <v>-</v>
          </cell>
          <cell r="BA499" t="str">
            <v>-</v>
          </cell>
          <cell r="BB499" t="str">
            <v>-</v>
          </cell>
          <cell r="BC499" t="str">
            <v>-</v>
          </cell>
          <cell r="BD499" t="str">
            <v>-</v>
          </cell>
          <cell r="BE499" t="str">
            <v>-</v>
          </cell>
          <cell r="BF499" t="str">
            <v>-</v>
          </cell>
          <cell r="BG499" t="str">
            <v>-</v>
          </cell>
          <cell r="BH499" t="str">
            <v>-</v>
          </cell>
          <cell r="BI499" t="str">
            <v>-</v>
          </cell>
          <cell r="BJ499" t="str">
            <v>-</v>
          </cell>
          <cell r="BK499" t="str">
            <v>-</v>
          </cell>
          <cell r="BL499" t="str">
            <v>-</v>
          </cell>
          <cell r="BM499">
            <v>0</v>
          </cell>
          <cell r="BN499">
            <v>0</v>
          </cell>
          <cell r="BO499" t="str">
            <v>-</v>
          </cell>
          <cell r="BP499" t="str">
            <v>-</v>
          </cell>
          <cell r="BQ499">
            <v>0</v>
          </cell>
          <cell r="BR499">
            <v>0</v>
          </cell>
          <cell r="BS499">
            <v>0</v>
          </cell>
          <cell r="BT499">
            <v>0</v>
          </cell>
        </row>
        <row r="500">
          <cell r="A500" t="str">
            <v>Malta2014100 / 100</v>
          </cell>
          <cell r="B500" t="str">
            <v>Malta</v>
          </cell>
          <cell r="C500">
            <v>2014</v>
          </cell>
          <cell r="D500" t="str">
            <v>100 / 100</v>
          </cell>
          <cell r="E500">
            <v>20500</v>
          </cell>
          <cell r="F500">
            <v>1708.3333333333333</v>
          </cell>
          <cell r="G500">
            <v>394.23380179847533</v>
          </cell>
          <cell r="H500">
            <v>78.846760359695068</v>
          </cell>
          <cell r="I500">
            <v>20500</v>
          </cell>
          <cell r="J500">
            <v>1708.3333333333333</v>
          </cell>
          <cell r="K500">
            <v>394.23380179847533</v>
          </cell>
          <cell r="L500">
            <v>78.846760359695068</v>
          </cell>
          <cell r="M500" t="str">
            <v>..</v>
          </cell>
          <cell r="N500" t="str">
            <v>..</v>
          </cell>
          <cell r="O500" t="str">
            <v>..</v>
          </cell>
          <cell r="P500" t="str">
            <v>..</v>
          </cell>
          <cell r="Q500" t="str">
            <v>..</v>
          </cell>
          <cell r="R500" t="str">
            <v>..</v>
          </cell>
          <cell r="S500" t="str">
            <v>..</v>
          </cell>
          <cell r="T500" t="str">
            <v>..</v>
          </cell>
          <cell r="U500" t="str">
            <v>..</v>
          </cell>
          <cell r="V500">
            <v>17.329999999999998</v>
          </cell>
          <cell r="W500">
            <v>0</v>
          </cell>
          <cell r="X500">
            <v>17.329999999999998</v>
          </cell>
          <cell r="Y500" t="str">
            <v>-</v>
          </cell>
          <cell r="Z500" t="str">
            <v>Parental leave is unpaid</v>
          </cell>
          <cell r="AA500" t="str">
            <v>-</v>
          </cell>
          <cell r="AB500" t="str">
            <v>-</v>
          </cell>
          <cell r="AC500" t="str">
            <v>-</v>
          </cell>
          <cell r="AD500" t="str">
            <v>-</v>
          </cell>
          <cell r="AE500" t="str">
            <v>-</v>
          </cell>
          <cell r="AF500" t="str">
            <v>-</v>
          </cell>
          <cell r="AG500" t="str">
            <v>-</v>
          </cell>
          <cell r="AH500" t="str">
            <v>-</v>
          </cell>
          <cell r="AI500" t="str">
            <v>-</v>
          </cell>
          <cell r="AJ500" t="str">
            <v>-</v>
          </cell>
          <cell r="AK500" t="str">
            <v>-</v>
          </cell>
          <cell r="AL500" t="str">
            <v>-</v>
          </cell>
          <cell r="AM500" t="str">
            <v>-</v>
          </cell>
          <cell r="AN500" t="str">
            <v>-</v>
          </cell>
          <cell r="AO500" t="str">
            <v>-</v>
          </cell>
          <cell r="AP500" t="str">
            <v>-</v>
          </cell>
          <cell r="AQ500" t="str">
            <v>-</v>
          </cell>
          <cell r="AR500" t="str">
            <v>-</v>
          </cell>
          <cell r="AS500" t="str">
            <v>-</v>
          </cell>
          <cell r="AT500" t="str">
            <v>-</v>
          </cell>
          <cell r="AU500" t="str">
            <v>-</v>
          </cell>
          <cell r="AV500" t="str">
            <v>-</v>
          </cell>
          <cell r="AW500" t="str">
            <v>-</v>
          </cell>
          <cell r="AX500" t="str">
            <v>-</v>
          </cell>
          <cell r="AY500" t="str">
            <v>-</v>
          </cell>
          <cell r="AZ500" t="str">
            <v>-</v>
          </cell>
          <cell r="BA500" t="str">
            <v>-</v>
          </cell>
          <cell r="BB500" t="str">
            <v>-</v>
          </cell>
          <cell r="BC500" t="str">
            <v>-</v>
          </cell>
          <cell r="BD500" t="str">
            <v>-</v>
          </cell>
          <cell r="BE500" t="str">
            <v>-</v>
          </cell>
          <cell r="BF500" t="str">
            <v>-</v>
          </cell>
          <cell r="BG500" t="str">
            <v>-</v>
          </cell>
          <cell r="BH500" t="str">
            <v>-</v>
          </cell>
          <cell r="BI500" t="str">
            <v>-</v>
          </cell>
          <cell r="BJ500" t="str">
            <v>-</v>
          </cell>
          <cell r="BK500" t="str">
            <v>-</v>
          </cell>
          <cell r="BL500" t="str">
            <v>-</v>
          </cell>
          <cell r="BM500">
            <v>0</v>
          </cell>
          <cell r="BN500">
            <v>0</v>
          </cell>
          <cell r="BO500" t="str">
            <v>-</v>
          </cell>
          <cell r="BP500" t="str">
            <v>-</v>
          </cell>
          <cell r="BQ500">
            <v>0</v>
          </cell>
          <cell r="BR500">
            <v>0</v>
          </cell>
          <cell r="BS500">
            <v>0</v>
          </cell>
          <cell r="BT500">
            <v>0</v>
          </cell>
        </row>
        <row r="501">
          <cell r="A501" t="str">
            <v>Malta2015100 / 100</v>
          </cell>
          <cell r="B501" t="str">
            <v>Malta</v>
          </cell>
          <cell r="C501">
            <v>2015</v>
          </cell>
          <cell r="D501" t="str">
            <v>100 / 100</v>
          </cell>
          <cell r="E501">
            <v>20943</v>
          </cell>
          <cell r="F501">
            <v>1745.25</v>
          </cell>
          <cell r="G501">
            <v>402.75309810075458</v>
          </cell>
          <cell r="H501">
            <v>80.550619620150911</v>
          </cell>
          <cell r="I501">
            <v>20943</v>
          </cell>
          <cell r="J501">
            <v>1745.25</v>
          </cell>
          <cell r="K501">
            <v>402.75309810075458</v>
          </cell>
          <cell r="L501">
            <v>80.550619620150911</v>
          </cell>
          <cell r="M501" t="str">
            <v>..</v>
          </cell>
          <cell r="N501" t="str">
            <v>..</v>
          </cell>
          <cell r="O501" t="str">
            <v>..</v>
          </cell>
          <cell r="P501" t="str">
            <v>..</v>
          </cell>
          <cell r="Q501" t="str">
            <v>..</v>
          </cell>
          <cell r="R501" t="str">
            <v>..</v>
          </cell>
          <cell r="S501" t="str">
            <v>..</v>
          </cell>
          <cell r="T501" t="str">
            <v>..</v>
          </cell>
          <cell r="U501" t="str">
            <v>..</v>
          </cell>
          <cell r="V501">
            <v>17.329999999999998</v>
          </cell>
          <cell r="W501">
            <v>0</v>
          </cell>
          <cell r="X501">
            <v>17.329999999999998</v>
          </cell>
          <cell r="Y501" t="str">
            <v>-</v>
          </cell>
          <cell r="Z501" t="str">
            <v>Parental leave is unpaid</v>
          </cell>
          <cell r="AA501" t="str">
            <v>-</v>
          </cell>
          <cell r="AB501" t="str">
            <v>-</v>
          </cell>
          <cell r="AC501" t="str">
            <v>-</v>
          </cell>
          <cell r="AD501" t="str">
            <v>-</v>
          </cell>
          <cell r="AE501" t="str">
            <v>-</v>
          </cell>
          <cell r="AF501" t="str">
            <v>-</v>
          </cell>
          <cell r="AG501" t="str">
            <v>-</v>
          </cell>
          <cell r="AH501" t="str">
            <v>-</v>
          </cell>
          <cell r="AI501" t="str">
            <v>-</v>
          </cell>
          <cell r="AJ501" t="str">
            <v>-</v>
          </cell>
          <cell r="AK501" t="str">
            <v>-</v>
          </cell>
          <cell r="AL501" t="str">
            <v>-</v>
          </cell>
          <cell r="AM501" t="str">
            <v>-</v>
          </cell>
          <cell r="AN501" t="str">
            <v>-</v>
          </cell>
          <cell r="AO501" t="str">
            <v>-</v>
          </cell>
          <cell r="AP501" t="str">
            <v>-</v>
          </cell>
          <cell r="AQ501" t="str">
            <v>-</v>
          </cell>
          <cell r="AR501" t="str">
            <v>-</v>
          </cell>
          <cell r="AS501" t="str">
            <v>-</v>
          </cell>
          <cell r="AT501" t="str">
            <v>-</v>
          </cell>
          <cell r="AU501" t="str">
            <v>-</v>
          </cell>
          <cell r="AV501" t="str">
            <v>-</v>
          </cell>
          <cell r="AW501" t="str">
            <v>-</v>
          </cell>
          <cell r="AX501" t="str">
            <v>-</v>
          </cell>
          <cell r="AY501" t="str">
            <v>-</v>
          </cell>
          <cell r="AZ501" t="str">
            <v>-</v>
          </cell>
          <cell r="BA501" t="str">
            <v>-</v>
          </cell>
          <cell r="BB501" t="str">
            <v>-</v>
          </cell>
          <cell r="BC501" t="str">
            <v>-</v>
          </cell>
          <cell r="BD501" t="str">
            <v>-</v>
          </cell>
          <cell r="BE501" t="str">
            <v>-</v>
          </cell>
          <cell r="BF501" t="str">
            <v>-</v>
          </cell>
          <cell r="BG501" t="str">
            <v>-</v>
          </cell>
          <cell r="BH501" t="str">
            <v>-</v>
          </cell>
          <cell r="BI501" t="str">
            <v>-</v>
          </cell>
          <cell r="BJ501" t="str">
            <v>-</v>
          </cell>
          <cell r="BK501" t="str">
            <v>-</v>
          </cell>
          <cell r="BL501" t="str">
            <v>-</v>
          </cell>
          <cell r="BM501">
            <v>0</v>
          </cell>
          <cell r="BN501">
            <v>0</v>
          </cell>
          <cell r="BO501" t="str">
            <v>-</v>
          </cell>
          <cell r="BP501" t="str">
            <v>-</v>
          </cell>
          <cell r="BQ501">
            <v>0</v>
          </cell>
          <cell r="BR501">
            <v>0</v>
          </cell>
          <cell r="BS501">
            <v>0</v>
          </cell>
          <cell r="BT501">
            <v>0</v>
          </cell>
        </row>
        <row r="502">
          <cell r="A502" t="str">
            <v>Malta2016100 / 100</v>
          </cell>
          <cell r="B502" t="str">
            <v>Malta</v>
          </cell>
          <cell r="C502">
            <v>2016</v>
          </cell>
          <cell r="D502" t="str">
            <v>100 / 100</v>
          </cell>
          <cell r="E502">
            <v>21848</v>
          </cell>
          <cell r="F502">
            <v>1820.6666666666667</v>
          </cell>
          <cell r="G502">
            <v>420.15707813137021</v>
          </cell>
          <cell r="H502">
            <v>84.03141562627404</v>
          </cell>
          <cell r="I502">
            <v>21848</v>
          </cell>
          <cell r="J502">
            <v>1820.6666666666667</v>
          </cell>
          <cell r="K502">
            <v>420.15707813137021</v>
          </cell>
          <cell r="L502">
            <v>84.03141562627404</v>
          </cell>
          <cell r="M502" t="str">
            <v>..</v>
          </cell>
          <cell r="N502" t="str">
            <v>..</v>
          </cell>
          <cell r="O502" t="str">
            <v>..</v>
          </cell>
          <cell r="P502" t="str">
            <v>..</v>
          </cell>
          <cell r="Q502" t="str">
            <v>..</v>
          </cell>
          <cell r="R502" t="str">
            <v>..</v>
          </cell>
          <cell r="S502" t="str">
            <v>..</v>
          </cell>
          <cell r="T502" t="str">
            <v>..</v>
          </cell>
          <cell r="U502" t="str">
            <v>..</v>
          </cell>
          <cell r="V502">
            <v>17.329999999999998</v>
          </cell>
          <cell r="W502">
            <v>0</v>
          </cell>
          <cell r="X502">
            <v>17.329999999999998</v>
          </cell>
          <cell r="Y502" t="str">
            <v>-</v>
          </cell>
          <cell r="Z502" t="str">
            <v>Parental leave is unpaid</v>
          </cell>
          <cell r="AA502" t="str">
            <v>-</v>
          </cell>
          <cell r="AB502" t="str">
            <v>-</v>
          </cell>
          <cell r="AC502" t="str">
            <v>-</v>
          </cell>
          <cell r="AD502" t="str">
            <v>-</v>
          </cell>
          <cell r="AE502" t="str">
            <v>-</v>
          </cell>
          <cell r="AF502" t="str">
            <v>-</v>
          </cell>
          <cell r="AG502" t="str">
            <v>-</v>
          </cell>
          <cell r="AH502" t="str">
            <v>-</v>
          </cell>
          <cell r="AI502" t="str">
            <v>-</v>
          </cell>
          <cell r="AJ502" t="str">
            <v>-</v>
          </cell>
          <cell r="AK502" t="str">
            <v>-</v>
          </cell>
          <cell r="AL502" t="str">
            <v>-</v>
          </cell>
          <cell r="AM502" t="str">
            <v>-</v>
          </cell>
          <cell r="AN502" t="str">
            <v>-</v>
          </cell>
          <cell r="AO502" t="str">
            <v>-</v>
          </cell>
          <cell r="AP502" t="str">
            <v>-</v>
          </cell>
          <cell r="AQ502" t="str">
            <v>-</v>
          </cell>
          <cell r="AR502" t="str">
            <v>-</v>
          </cell>
          <cell r="AS502" t="str">
            <v>-</v>
          </cell>
          <cell r="AT502" t="str">
            <v>-</v>
          </cell>
          <cell r="AU502" t="str">
            <v>-</v>
          </cell>
          <cell r="AV502" t="str">
            <v>-</v>
          </cell>
          <cell r="AW502" t="str">
            <v>-</v>
          </cell>
          <cell r="AX502" t="str">
            <v>-</v>
          </cell>
          <cell r="AY502" t="str">
            <v>-</v>
          </cell>
          <cell r="AZ502" t="str">
            <v>-</v>
          </cell>
          <cell r="BA502" t="str">
            <v>-</v>
          </cell>
          <cell r="BB502" t="str">
            <v>-</v>
          </cell>
          <cell r="BC502" t="str">
            <v>-</v>
          </cell>
          <cell r="BD502" t="str">
            <v>-</v>
          </cell>
          <cell r="BE502" t="str">
            <v>-</v>
          </cell>
          <cell r="BF502" t="str">
            <v>-</v>
          </cell>
          <cell r="BG502" t="str">
            <v>-</v>
          </cell>
          <cell r="BH502" t="str">
            <v>-</v>
          </cell>
          <cell r="BI502" t="str">
            <v>-</v>
          </cell>
          <cell r="BJ502" t="str">
            <v>-</v>
          </cell>
          <cell r="BK502" t="str">
            <v>-</v>
          </cell>
          <cell r="BL502" t="str">
            <v>-</v>
          </cell>
          <cell r="BM502">
            <v>0</v>
          </cell>
          <cell r="BN502">
            <v>0</v>
          </cell>
          <cell r="BO502" t="str">
            <v>-</v>
          </cell>
          <cell r="BP502" t="str">
            <v>-</v>
          </cell>
          <cell r="BQ502">
            <v>0</v>
          </cell>
          <cell r="BR502">
            <v>0</v>
          </cell>
          <cell r="BS502">
            <v>0</v>
          </cell>
          <cell r="BT502">
            <v>0</v>
          </cell>
        </row>
        <row r="503">
          <cell r="A503" t="str">
            <v>Malta2017100 / 100</v>
          </cell>
          <cell r="B503" t="str">
            <v>Malta</v>
          </cell>
          <cell r="C503">
            <v>2017</v>
          </cell>
          <cell r="D503" t="str">
            <v>100 / 100</v>
          </cell>
          <cell r="E503">
            <v>22431</v>
          </cell>
          <cell r="F503">
            <v>1869.25</v>
          </cell>
          <cell r="G503">
            <v>431.3687028361756</v>
          </cell>
          <cell r="H503">
            <v>86.273740567235123</v>
          </cell>
          <cell r="I503">
            <v>22431</v>
          </cell>
          <cell r="J503">
            <v>1869.25</v>
          </cell>
          <cell r="K503">
            <v>431.3687028361756</v>
          </cell>
          <cell r="L503">
            <v>86.273740567235123</v>
          </cell>
          <cell r="M503" t="str">
            <v>..</v>
          </cell>
          <cell r="N503" t="str">
            <v>..</v>
          </cell>
          <cell r="O503" t="str">
            <v>..</v>
          </cell>
          <cell r="P503" t="str">
            <v>..</v>
          </cell>
          <cell r="Q503" t="str">
            <v>..</v>
          </cell>
          <cell r="R503" t="str">
            <v>..</v>
          </cell>
          <cell r="S503" t="str">
            <v>..</v>
          </cell>
          <cell r="T503" t="str">
            <v>..</v>
          </cell>
          <cell r="U503" t="str">
            <v>..</v>
          </cell>
          <cell r="V503">
            <v>17.329999999999998</v>
          </cell>
          <cell r="W503">
            <v>0</v>
          </cell>
          <cell r="X503">
            <v>17.329999999999998</v>
          </cell>
          <cell r="Y503" t="str">
            <v>-</v>
          </cell>
          <cell r="Z503" t="str">
            <v>Parental leave is unpaid</v>
          </cell>
          <cell r="AA503" t="str">
            <v>-</v>
          </cell>
          <cell r="AB503" t="str">
            <v>-</v>
          </cell>
          <cell r="AC503" t="str">
            <v>-</v>
          </cell>
          <cell r="AD503" t="str">
            <v>-</v>
          </cell>
          <cell r="AE503" t="str">
            <v>-</v>
          </cell>
          <cell r="AF503" t="str">
            <v>-</v>
          </cell>
          <cell r="AG503" t="str">
            <v>-</v>
          </cell>
          <cell r="AH503" t="str">
            <v>-</v>
          </cell>
          <cell r="AI503" t="str">
            <v>-</v>
          </cell>
          <cell r="AJ503" t="str">
            <v>-</v>
          </cell>
          <cell r="AK503" t="str">
            <v>-</v>
          </cell>
          <cell r="AL503" t="str">
            <v>-</v>
          </cell>
          <cell r="AM503" t="str">
            <v>-</v>
          </cell>
          <cell r="AN503" t="str">
            <v>-</v>
          </cell>
          <cell r="AO503" t="str">
            <v>-</v>
          </cell>
          <cell r="AP503" t="str">
            <v>-</v>
          </cell>
          <cell r="AQ503" t="str">
            <v>-</v>
          </cell>
          <cell r="AR503" t="str">
            <v>-</v>
          </cell>
          <cell r="AS503" t="str">
            <v>-</v>
          </cell>
          <cell r="AT503" t="str">
            <v>-</v>
          </cell>
          <cell r="AU503" t="str">
            <v>-</v>
          </cell>
          <cell r="AV503" t="str">
            <v>-</v>
          </cell>
          <cell r="AW503" t="str">
            <v>-</v>
          </cell>
          <cell r="AX503" t="str">
            <v>-</v>
          </cell>
          <cell r="AY503" t="str">
            <v>-</v>
          </cell>
          <cell r="AZ503" t="str">
            <v>-</v>
          </cell>
          <cell r="BA503" t="str">
            <v>-</v>
          </cell>
          <cell r="BB503" t="str">
            <v>-</v>
          </cell>
          <cell r="BC503" t="str">
            <v>-</v>
          </cell>
          <cell r="BD503" t="str">
            <v>-</v>
          </cell>
          <cell r="BE503" t="str">
            <v>-</v>
          </cell>
          <cell r="BF503" t="str">
            <v>-</v>
          </cell>
          <cell r="BG503" t="str">
            <v>-</v>
          </cell>
          <cell r="BH503" t="str">
            <v>-</v>
          </cell>
          <cell r="BI503" t="str">
            <v>-</v>
          </cell>
          <cell r="BJ503" t="str">
            <v>-</v>
          </cell>
          <cell r="BK503" t="str">
            <v>-</v>
          </cell>
          <cell r="BL503" t="str">
            <v>-</v>
          </cell>
          <cell r="BM503">
            <v>0</v>
          </cell>
          <cell r="BN503">
            <v>0</v>
          </cell>
          <cell r="BO503" t="str">
            <v>-</v>
          </cell>
          <cell r="BP503" t="str">
            <v>-</v>
          </cell>
          <cell r="BQ503">
            <v>0</v>
          </cell>
          <cell r="BR503">
            <v>0</v>
          </cell>
          <cell r="BS503">
            <v>0</v>
          </cell>
          <cell r="BT503">
            <v>0</v>
          </cell>
        </row>
        <row r="504">
          <cell r="A504" t="str">
            <v>Malta2018100 / 100</v>
          </cell>
          <cell r="B504" t="str">
            <v>Malta</v>
          </cell>
          <cell r="C504">
            <v>2018</v>
          </cell>
          <cell r="D504" t="str">
            <v>100 / 100</v>
          </cell>
          <cell r="E504">
            <v>23331</v>
          </cell>
          <cell r="F504">
            <v>1944.25</v>
          </cell>
          <cell r="G504">
            <v>448.67652828098676</v>
          </cell>
          <cell r="H504">
            <v>89.735305656197355</v>
          </cell>
          <cell r="I504">
            <v>23331</v>
          </cell>
          <cell r="J504">
            <v>1944.25</v>
          </cell>
          <cell r="K504">
            <v>448.67652828098676</v>
          </cell>
          <cell r="L504">
            <v>89.735305656197355</v>
          </cell>
          <cell r="M504" t="str">
            <v>..</v>
          </cell>
          <cell r="N504" t="str">
            <v>..</v>
          </cell>
          <cell r="O504" t="str">
            <v>..</v>
          </cell>
          <cell r="P504" t="str">
            <v>..</v>
          </cell>
          <cell r="Q504" t="str">
            <v>..</v>
          </cell>
          <cell r="R504" t="str">
            <v>..</v>
          </cell>
          <cell r="S504" t="str">
            <v>..</v>
          </cell>
          <cell r="T504" t="str">
            <v>..</v>
          </cell>
          <cell r="U504" t="str">
            <v>..</v>
          </cell>
          <cell r="V504">
            <v>17.329999999999998</v>
          </cell>
          <cell r="W504">
            <v>0</v>
          </cell>
          <cell r="X504">
            <v>17.329999999999998</v>
          </cell>
          <cell r="Y504" t="str">
            <v>-</v>
          </cell>
          <cell r="Z504" t="str">
            <v>Parental leave is unpaid</v>
          </cell>
          <cell r="AA504" t="str">
            <v>-</v>
          </cell>
          <cell r="AB504" t="str">
            <v>-</v>
          </cell>
          <cell r="AC504" t="str">
            <v>-</v>
          </cell>
          <cell r="AD504" t="str">
            <v>-</v>
          </cell>
          <cell r="AE504" t="str">
            <v>-</v>
          </cell>
          <cell r="AF504" t="str">
            <v>-</v>
          </cell>
          <cell r="AG504" t="str">
            <v>-</v>
          </cell>
          <cell r="AH504" t="str">
            <v>-</v>
          </cell>
          <cell r="AI504" t="str">
            <v>-</v>
          </cell>
          <cell r="AJ504" t="str">
            <v>-</v>
          </cell>
          <cell r="AK504" t="str">
            <v>-</v>
          </cell>
          <cell r="AL504" t="str">
            <v>-</v>
          </cell>
          <cell r="AM504" t="str">
            <v>-</v>
          </cell>
          <cell r="AN504" t="str">
            <v>-</v>
          </cell>
          <cell r="AO504" t="str">
            <v>-</v>
          </cell>
          <cell r="AP504" t="str">
            <v>-</v>
          </cell>
          <cell r="AQ504" t="str">
            <v>-</v>
          </cell>
          <cell r="AR504" t="str">
            <v>-</v>
          </cell>
          <cell r="AS504" t="str">
            <v>-</v>
          </cell>
          <cell r="AT504" t="str">
            <v>-</v>
          </cell>
          <cell r="AU504" t="str">
            <v>-</v>
          </cell>
          <cell r="AV504" t="str">
            <v>-</v>
          </cell>
          <cell r="AW504" t="str">
            <v>-</v>
          </cell>
          <cell r="AX504" t="str">
            <v>-</v>
          </cell>
          <cell r="AY504" t="str">
            <v>-</v>
          </cell>
          <cell r="AZ504" t="str">
            <v>-</v>
          </cell>
          <cell r="BA504" t="str">
            <v>-</v>
          </cell>
          <cell r="BB504" t="str">
            <v>-</v>
          </cell>
          <cell r="BC504" t="str">
            <v>-</v>
          </cell>
          <cell r="BD504" t="str">
            <v>-</v>
          </cell>
          <cell r="BE504" t="str">
            <v>-</v>
          </cell>
          <cell r="BF504" t="str">
            <v>-</v>
          </cell>
          <cell r="BG504" t="str">
            <v>-</v>
          </cell>
          <cell r="BH504" t="str">
            <v>-</v>
          </cell>
          <cell r="BI504" t="str">
            <v>-</v>
          </cell>
          <cell r="BJ504" t="str">
            <v>-</v>
          </cell>
          <cell r="BK504" t="str">
            <v>-</v>
          </cell>
          <cell r="BL504" t="str">
            <v>-</v>
          </cell>
          <cell r="BM504">
            <v>0</v>
          </cell>
          <cell r="BN504">
            <v>0</v>
          </cell>
          <cell r="BO504" t="str">
            <v>-</v>
          </cell>
          <cell r="BP504" t="str">
            <v>-</v>
          </cell>
          <cell r="BQ504">
            <v>0</v>
          </cell>
          <cell r="BR504">
            <v>0</v>
          </cell>
          <cell r="BS504">
            <v>0</v>
          </cell>
          <cell r="BT504">
            <v>0</v>
          </cell>
        </row>
        <row r="505">
          <cell r="A505" t="str">
            <v>Malta2019100 / 100</v>
          </cell>
          <cell r="B505" t="str">
            <v>Malta</v>
          </cell>
          <cell r="C505">
            <v>2019</v>
          </cell>
          <cell r="D505" t="str">
            <v>100 / 100</v>
          </cell>
          <cell r="E505">
            <v>25069</v>
          </cell>
          <cell r="F505">
            <v>2089.0833333333335</v>
          </cell>
          <cell r="G505">
            <v>482.0998623066331</v>
          </cell>
          <cell r="H505">
            <v>96.419972461326623</v>
          </cell>
          <cell r="I505">
            <v>25069</v>
          </cell>
          <cell r="J505">
            <v>2089.0833333333335</v>
          </cell>
          <cell r="K505">
            <v>482.0998623066331</v>
          </cell>
          <cell r="L505">
            <v>96.419972461326623</v>
          </cell>
          <cell r="M505" t="str">
            <v>..</v>
          </cell>
          <cell r="N505" t="str">
            <v>..</v>
          </cell>
          <cell r="O505" t="str">
            <v>..</v>
          </cell>
          <cell r="P505" t="str">
            <v>..</v>
          </cell>
          <cell r="Q505" t="str">
            <v>..</v>
          </cell>
          <cell r="R505" t="str">
            <v>..</v>
          </cell>
          <cell r="S505" t="str">
            <v>..</v>
          </cell>
          <cell r="T505" t="str">
            <v>..</v>
          </cell>
          <cell r="U505" t="str">
            <v>..</v>
          </cell>
          <cell r="V505">
            <v>17.329999999999998</v>
          </cell>
          <cell r="W505">
            <v>0</v>
          </cell>
          <cell r="X505">
            <v>17.329999999999998</v>
          </cell>
          <cell r="Y505" t="str">
            <v>-</v>
          </cell>
          <cell r="Z505" t="str">
            <v>Parental leave is unpaid</v>
          </cell>
          <cell r="AA505" t="str">
            <v>-</v>
          </cell>
          <cell r="AB505" t="str">
            <v>-</v>
          </cell>
          <cell r="AC505" t="str">
            <v>-</v>
          </cell>
          <cell r="AD505" t="str">
            <v>-</v>
          </cell>
          <cell r="AE505" t="str">
            <v>-</v>
          </cell>
          <cell r="AF505" t="str">
            <v>-</v>
          </cell>
          <cell r="AG505" t="str">
            <v>-</v>
          </cell>
          <cell r="AH505" t="str">
            <v>-</v>
          </cell>
          <cell r="AI505" t="str">
            <v>-</v>
          </cell>
          <cell r="AJ505" t="str">
            <v>-</v>
          </cell>
          <cell r="AK505" t="str">
            <v>-</v>
          </cell>
          <cell r="AL505" t="str">
            <v>-</v>
          </cell>
          <cell r="AM505" t="str">
            <v>-</v>
          </cell>
          <cell r="AN505" t="str">
            <v>-</v>
          </cell>
          <cell r="AO505" t="str">
            <v>-</v>
          </cell>
          <cell r="AP505" t="str">
            <v>-</v>
          </cell>
          <cell r="AQ505" t="str">
            <v>-</v>
          </cell>
          <cell r="AR505" t="str">
            <v>-</v>
          </cell>
          <cell r="AS505" t="str">
            <v>-</v>
          </cell>
          <cell r="AT505" t="str">
            <v>-</v>
          </cell>
          <cell r="AU505" t="str">
            <v>-</v>
          </cell>
          <cell r="AV505" t="str">
            <v>-</v>
          </cell>
          <cell r="AW505" t="str">
            <v>-</v>
          </cell>
          <cell r="AX505" t="str">
            <v>-</v>
          </cell>
          <cell r="AY505" t="str">
            <v>-</v>
          </cell>
          <cell r="AZ505" t="str">
            <v>-</v>
          </cell>
          <cell r="BA505" t="str">
            <v>-</v>
          </cell>
          <cell r="BB505" t="str">
            <v>-</v>
          </cell>
          <cell r="BC505" t="str">
            <v>-</v>
          </cell>
          <cell r="BD505" t="str">
            <v>-</v>
          </cell>
          <cell r="BE505" t="str">
            <v>-</v>
          </cell>
          <cell r="BF505" t="str">
            <v>-</v>
          </cell>
          <cell r="BG505" t="str">
            <v>-</v>
          </cell>
          <cell r="BH505" t="str">
            <v>-</v>
          </cell>
          <cell r="BI505" t="str">
            <v>-</v>
          </cell>
          <cell r="BJ505" t="str">
            <v>-</v>
          </cell>
          <cell r="BK505" t="str">
            <v>-</v>
          </cell>
          <cell r="BL505" t="str">
            <v>-</v>
          </cell>
          <cell r="BM505">
            <v>0</v>
          </cell>
          <cell r="BN505">
            <v>0</v>
          </cell>
          <cell r="BO505" t="str">
            <v>-</v>
          </cell>
          <cell r="BP505" t="str">
            <v>-</v>
          </cell>
          <cell r="BQ505">
            <v>0</v>
          </cell>
          <cell r="BR505">
            <v>0</v>
          </cell>
          <cell r="BS505">
            <v>0</v>
          </cell>
          <cell r="BT505">
            <v>0</v>
          </cell>
        </row>
        <row r="506">
          <cell r="A506" t="str">
            <v>Malta2020100 / 100</v>
          </cell>
          <cell r="B506" t="str">
            <v>Malta</v>
          </cell>
          <cell r="C506">
            <v>2020</v>
          </cell>
          <cell r="D506" t="str">
            <v>100 / 100</v>
          </cell>
          <cell r="E506">
            <v>25902</v>
          </cell>
          <cell r="F506">
            <v>2158.5</v>
          </cell>
          <cell r="G506">
            <v>498.11921630166381</v>
          </cell>
          <cell r="H506">
            <v>99.623843260332762</v>
          </cell>
          <cell r="I506">
            <v>25902</v>
          </cell>
          <cell r="J506">
            <v>2158.5</v>
          </cell>
          <cell r="K506">
            <v>498.11921630166381</v>
          </cell>
          <cell r="L506">
            <v>99.623843260332762</v>
          </cell>
          <cell r="M506" t="str">
            <v>..</v>
          </cell>
          <cell r="N506" t="str">
            <v>..</v>
          </cell>
          <cell r="O506" t="str">
            <v>..</v>
          </cell>
          <cell r="P506" t="str">
            <v>..</v>
          </cell>
          <cell r="Q506" t="str">
            <v>..</v>
          </cell>
          <cell r="R506" t="str">
            <v>..</v>
          </cell>
          <cell r="S506" t="str">
            <v>..</v>
          </cell>
          <cell r="T506" t="str">
            <v>..</v>
          </cell>
          <cell r="U506" t="str">
            <v>..</v>
          </cell>
          <cell r="V506">
            <v>17.329999999999998</v>
          </cell>
          <cell r="W506">
            <v>0</v>
          </cell>
          <cell r="X506">
            <v>17.329999999999998</v>
          </cell>
          <cell r="Y506" t="str">
            <v>-</v>
          </cell>
          <cell r="Z506" t="str">
            <v>Parental leave is unpaid</v>
          </cell>
          <cell r="AA506" t="str">
            <v>-</v>
          </cell>
          <cell r="AB506" t="str">
            <v>-</v>
          </cell>
          <cell r="AC506" t="str">
            <v>-</v>
          </cell>
          <cell r="AD506" t="str">
            <v>-</v>
          </cell>
          <cell r="AE506" t="str">
            <v>-</v>
          </cell>
          <cell r="AF506" t="str">
            <v>-</v>
          </cell>
          <cell r="AG506" t="str">
            <v>-</v>
          </cell>
          <cell r="AH506" t="str">
            <v>-</v>
          </cell>
          <cell r="AI506" t="str">
            <v>-</v>
          </cell>
          <cell r="AJ506" t="str">
            <v>-</v>
          </cell>
          <cell r="AK506" t="str">
            <v>-</v>
          </cell>
          <cell r="AL506" t="str">
            <v>-</v>
          </cell>
          <cell r="AM506" t="str">
            <v>-</v>
          </cell>
          <cell r="AN506" t="str">
            <v>-</v>
          </cell>
          <cell r="AO506" t="str">
            <v>-</v>
          </cell>
          <cell r="AP506" t="str">
            <v>-</v>
          </cell>
          <cell r="AQ506" t="str">
            <v>-</v>
          </cell>
          <cell r="AR506" t="str">
            <v>-</v>
          </cell>
          <cell r="AS506" t="str">
            <v>-</v>
          </cell>
          <cell r="AT506" t="str">
            <v>-</v>
          </cell>
          <cell r="AU506" t="str">
            <v>-</v>
          </cell>
          <cell r="AV506" t="str">
            <v>-</v>
          </cell>
          <cell r="AW506" t="str">
            <v>-</v>
          </cell>
          <cell r="AX506" t="str">
            <v>-</v>
          </cell>
          <cell r="AY506" t="str">
            <v>-</v>
          </cell>
          <cell r="AZ506" t="str">
            <v>-</v>
          </cell>
          <cell r="BA506" t="str">
            <v>-</v>
          </cell>
          <cell r="BB506" t="str">
            <v>-</v>
          </cell>
          <cell r="BC506" t="str">
            <v>-</v>
          </cell>
          <cell r="BD506" t="str">
            <v>-</v>
          </cell>
          <cell r="BE506" t="str">
            <v>-</v>
          </cell>
          <cell r="BF506" t="str">
            <v>-</v>
          </cell>
          <cell r="BG506" t="str">
            <v>-</v>
          </cell>
          <cell r="BH506" t="str">
            <v>-</v>
          </cell>
          <cell r="BI506" t="str">
            <v>-</v>
          </cell>
          <cell r="BJ506" t="str">
            <v>-</v>
          </cell>
          <cell r="BK506" t="str">
            <v>-</v>
          </cell>
          <cell r="BL506" t="str">
            <v>-</v>
          </cell>
          <cell r="BM506">
            <v>0</v>
          </cell>
          <cell r="BN506">
            <v>0</v>
          </cell>
          <cell r="BO506" t="str">
            <v>-</v>
          </cell>
          <cell r="BP506" t="str">
            <v>-</v>
          </cell>
          <cell r="BQ506">
            <v>0</v>
          </cell>
          <cell r="BR506">
            <v>0</v>
          </cell>
          <cell r="BS506">
            <v>0</v>
          </cell>
          <cell r="BT506">
            <v>0</v>
          </cell>
        </row>
        <row r="507">
          <cell r="A507" t="str">
            <v>Malta2021100 / 100</v>
          </cell>
          <cell r="B507" t="str">
            <v>Malta</v>
          </cell>
          <cell r="C507">
            <v>2021</v>
          </cell>
          <cell r="D507" t="str">
            <v>100 / 100</v>
          </cell>
          <cell r="E507">
            <v>23950</v>
          </cell>
          <cell r="F507">
            <v>1995.8333333333333</v>
          </cell>
          <cell r="G507">
            <v>460.5804660035846</v>
          </cell>
          <cell r="H507">
            <v>92.116093200716918</v>
          </cell>
          <cell r="I507">
            <v>23950</v>
          </cell>
          <cell r="J507">
            <v>1995.8333333333333</v>
          </cell>
          <cell r="K507">
            <v>460.5804660035846</v>
          </cell>
          <cell r="L507">
            <v>92.116093200716918</v>
          </cell>
          <cell r="M507" t="str">
            <v>..</v>
          </cell>
          <cell r="N507" t="str">
            <v>..</v>
          </cell>
          <cell r="O507" t="str">
            <v>..</v>
          </cell>
          <cell r="P507" t="str">
            <v>..</v>
          </cell>
          <cell r="Q507" t="str">
            <v>..</v>
          </cell>
          <cell r="R507" t="str">
            <v>..</v>
          </cell>
          <cell r="S507" t="str">
            <v>..</v>
          </cell>
          <cell r="T507" t="str">
            <v>..</v>
          </cell>
          <cell r="U507" t="str">
            <v>..</v>
          </cell>
          <cell r="V507">
            <v>17.329999999999998</v>
          </cell>
          <cell r="W507">
            <v>0</v>
          </cell>
          <cell r="X507">
            <v>17.329999999999998</v>
          </cell>
          <cell r="Y507" t="str">
            <v>-</v>
          </cell>
          <cell r="Z507" t="str">
            <v>Parental leave is unpaid</v>
          </cell>
          <cell r="AA507" t="str">
            <v>-</v>
          </cell>
          <cell r="AB507" t="str">
            <v>-</v>
          </cell>
          <cell r="AC507" t="str">
            <v>-</v>
          </cell>
          <cell r="AD507" t="str">
            <v>-</v>
          </cell>
          <cell r="AE507" t="str">
            <v>-</v>
          </cell>
          <cell r="AF507" t="str">
            <v>-</v>
          </cell>
          <cell r="AG507" t="str">
            <v>-</v>
          </cell>
          <cell r="AH507" t="str">
            <v>-</v>
          </cell>
          <cell r="AI507" t="str">
            <v>-</v>
          </cell>
          <cell r="AJ507" t="str">
            <v>-</v>
          </cell>
          <cell r="AK507" t="str">
            <v>-</v>
          </cell>
          <cell r="AL507" t="str">
            <v>-</v>
          </cell>
          <cell r="AM507" t="str">
            <v>-</v>
          </cell>
          <cell r="AN507" t="str">
            <v>-</v>
          </cell>
          <cell r="AO507" t="str">
            <v>-</v>
          </cell>
          <cell r="AP507" t="str">
            <v>-</v>
          </cell>
          <cell r="AQ507" t="str">
            <v>-</v>
          </cell>
          <cell r="AR507" t="str">
            <v>-</v>
          </cell>
          <cell r="AS507" t="str">
            <v>-</v>
          </cell>
          <cell r="AT507" t="str">
            <v>-</v>
          </cell>
          <cell r="AU507" t="str">
            <v>-</v>
          </cell>
          <cell r="AV507" t="str">
            <v>-</v>
          </cell>
          <cell r="AW507" t="str">
            <v>-</v>
          </cell>
          <cell r="AX507" t="str">
            <v>-</v>
          </cell>
          <cell r="AY507" t="str">
            <v>-</v>
          </cell>
          <cell r="AZ507" t="str">
            <v>-</v>
          </cell>
          <cell r="BA507" t="str">
            <v>-</v>
          </cell>
          <cell r="BB507" t="str">
            <v>-</v>
          </cell>
          <cell r="BC507" t="str">
            <v>-</v>
          </cell>
          <cell r="BD507" t="str">
            <v>-</v>
          </cell>
          <cell r="BE507" t="str">
            <v>-</v>
          </cell>
          <cell r="BF507" t="str">
            <v>-</v>
          </cell>
          <cell r="BG507" t="str">
            <v>-</v>
          </cell>
          <cell r="BH507" t="str">
            <v>-</v>
          </cell>
          <cell r="BI507" t="str">
            <v>-</v>
          </cell>
          <cell r="BJ507" t="str">
            <v>-</v>
          </cell>
          <cell r="BK507" t="str">
            <v>-</v>
          </cell>
          <cell r="BL507" t="str">
            <v>-</v>
          </cell>
          <cell r="BM507">
            <v>0</v>
          </cell>
          <cell r="BN507">
            <v>0</v>
          </cell>
          <cell r="BO507" t="str">
            <v>-</v>
          </cell>
          <cell r="BP507" t="str">
            <v>-</v>
          </cell>
          <cell r="BQ507">
            <v>0</v>
          </cell>
          <cell r="BR507">
            <v>0</v>
          </cell>
          <cell r="BS507">
            <v>0</v>
          </cell>
          <cell r="BT507">
            <v>0</v>
          </cell>
        </row>
        <row r="508">
          <cell r="A508" t="str">
            <v>Malta2022100 / 100</v>
          </cell>
          <cell r="B508" t="str">
            <v>Malta</v>
          </cell>
          <cell r="C508">
            <v>2022</v>
          </cell>
          <cell r="D508" t="str">
            <v>100 / 100</v>
          </cell>
          <cell r="E508">
            <v>26211</v>
          </cell>
          <cell r="F508">
            <v>2184.25</v>
          </cell>
          <cell r="G508">
            <v>504.06156970438229</v>
          </cell>
          <cell r="H508">
            <v>100.81231394087646</v>
          </cell>
          <cell r="I508">
            <v>26211</v>
          </cell>
          <cell r="J508">
            <v>2184.25</v>
          </cell>
          <cell r="K508">
            <v>504.06156970438229</v>
          </cell>
          <cell r="L508">
            <v>100.81231394087646</v>
          </cell>
          <cell r="M508" t="str">
            <v>..</v>
          </cell>
          <cell r="N508" t="str">
            <v>..</v>
          </cell>
          <cell r="O508" t="str">
            <v>..</v>
          </cell>
          <cell r="P508" t="str">
            <v>..</v>
          </cell>
          <cell r="Q508" t="str">
            <v>..</v>
          </cell>
          <cell r="R508" t="str">
            <v>..</v>
          </cell>
          <cell r="S508" t="str">
            <v>..</v>
          </cell>
          <cell r="T508" t="str">
            <v>..</v>
          </cell>
          <cell r="U508" t="str">
            <v>..</v>
          </cell>
          <cell r="V508">
            <v>17.329999999999998</v>
          </cell>
          <cell r="W508">
            <v>0</v>
          </cell>
          <cell r="X508">
            <v>17.329999999999998</v>
          </cell>
          <cell r="Y508" t="str">
            <v>-</v>
          </cell>
          <cell r="Z508" t="str">
            <v>Parental leave is unpaid</v>
          </cell>
          <cell r="AA508" t="str">
            <v>-</v>
          </cell>
          <cell r="AB508" t="str">
            <v>-</v>
          </cell>
          <cell r="AC508" t="str">
            <v>-</v>
          </cell>
          <cell r="AD508" t="str">
            <v>-</v>
          </cell>
          <cell r="AE508" t="str">
            <v>-</v>
          </cell>
          <cell r="AF508" t="str">
            <v>-</v>
          </cell>
          <cell r="AG508" t="str">
            <v>-</v>
          </cell>
          <cell r="AH508" t="str">
            <v>-</v>
          </cell>
          <cell r="AI508" t="str">
            <v>-</v>
          </cell>
          <cell r="AJ508" t="str">
            <v>-</v>
          </cell>
          <cell r="AK508" t="str">
            <v>-</v>
          </cell>
          <cell r="AL508" t="str">
            <v>-</v>
          </cell>
          <cell r="AM508" t="str">
            <v>-</v>
          </cell>
          <cell r="AN508" t="str">
            <v>-</v>
          </cell>
          <cell r="AO508" t="str">
            <v>-</v>
          </cell>
          <cell r="AP508" t="str">
            <v>-</v>
          </cell>
          <cell r="AQ508" t="str">
            <v>-</v>
          </cell>
          <cell r="AR508" t="str">
            <v>-</v>
          </cell>
          <cell r="AS508" t="str">
            <v>-</v>
          </cell>
          <cell r="AT508" t="str">
            <v>-</v>
          </cell>
          <cell r="AU508" t="str">
            <v>-</v>
          </cell>
          <cell r="AV508" t="str">
            <v>-</v>
          </cell>
          <cell r="AW508" t="str">
            <v>-</v>
          </cell>
          <cell r="AX508" t="str">
            <v>-</v>
          </cell>
          <cell r="AY508" t="str">
            <v>-</v>
          </cell>
          <cell r="AZ508" t="str">
            <v>-</v>
          </cell>
          <cell r="BA508" t="str">
            <v>-</v>
          </cell>
          <cell r="BB508" t="str">
            <v>-</v>
          </cell>
          <cell r="BC508" t="str">
            <v>-</v>
          </cell>
          <cell r="BD508" t="str">
            <v>-</v>
          </cell>
          <cell r="BE508" t="str">
            <v>-</v>
          </cell>
          <cell r="BF508" t="str">
            <v>-</v>
          </cell>
          <cell r="BG508" t="str">
            <v>-</v>
          </cell>
          <cell r="BH508" t="str">
            <v>-</v>
          </cell>
          <cell r="BI508" t="str">
            <v>-</v>
          </cell>
          <cell r="BJ508" t="str">
            <v>-</v>
          </cell>
          <cell r="BK508" t="str">
            <v>-</v>
          </cell>
          <cell r="BL508" t="str">
            <v>-</v>
          </cell>
          <cell r="BM508">
            <v>0</v>
          </cell>
          <cell r="BN508">
            <v>0</v>
          </cell>
          <cell r="BO508" t="str">
            <v>-</v>
          </cell>
          <cell r="BP508" t="str">
            <v>-</v>
          </cell>
          <cell r="BQ508">
            <v>0</v>
          </cell>
          <cell r="BR508">
            <v>0</v>
          </cell>
          <cell r="BS508">
            <v>0</v>
          </cell>
          <cell r="BT508">
            <v>0</v>
          </cell>
        </row>
        <row r="509">
          <cell r="A509" t="str">
            <v>Malta2023100 / 100</v>
          </cell>
          <cell r="B509" t="str">
            <v>Malta</v>
          </cell>
          <cell r="C509">
            <v>2023</v>
          </cell>
          <cell r="D509" t="str">
            <v>100 / 100</v>
          </cell>
          <cell r="E509">
            <v>27671.438999999998</v>
          </cell>
          <cell r="F509">
            <v>2305.95325</v>
          </cell>
          <cell r="G509">
            <v>532.14715113193176</v>
          </cell>
          <cell r="H509">
            <v>106.42943022638636</v>
          </cell>
          <cell r="I509">
            <v>27671.438999999998</v>
          </cell>
          <cell r="J509">
            <v>2305.95325</v>
          </cell>
          <cell r="K509">
            <v>532.14715113193176</v>
          </cell>
          <cell r="L509">
            <v>106.42943022638636</v>
          </cell>
          <cell r="M509" t="str">
            <v>..</v>
          </cell>
          <cell r="N509" t="str">
            <v>..</v>
          </cell>
          <cell r="O509" t="str">
            <v>..</v>
          </cell>
          <cell r="P509" t="str">
            <v>..</v>
          </cell>
          <cell r="Q509" t="str">
            <v>..</v>
          </cell>
          <cell r="R509" t="str">
            <v>..</v>
          </cell>
          <cell r="S509" t="str">
            <v>..</v>
          </cell>
          <cell r="T509" t="str">
            <v>..</v>
          </cell>
          <cell r="U509" t="str">
            <v>..</v>
          </cell>
          <cell r="V509">
            <v>8.6660000000000004</v>
          </cell>
          <cell r="W509">
            <v>8.6660000000000004</v>
          </cell>
          <cell r="X509">
            <v>0</v>
          </cell>
          <cell r="Y509" t="str">
            <v>-</v>
          </cell>
          <cell r="Z509" t="str">
            <v>8 weeks paid leave per parent paid at 50 per cent of previous earnings for children under four years of age, and 25 per cent of previous earnings for children four to eight years of age.</v>
          </cell>
          <cell r="AA509" t="str">
            <v>Gross</v>
          </cell>
          <cell r="AB509" t="str">
            <v>N</v>
          </cell>
          <cell r="AC509">
            <v>8.6660000000000004</v>
          </cell>
          <cell r="AD509">
            <v>0.5</v>
          </cell>
          <cell r="AE509" t="str">
            <v>-</v>
          </cell>
          <cell r="AF509" t="str">
            <v>-</v>
          </cell>
          <cell r="AG509" t="str">
            <v>-</v>
          </cell>
          <cell r="AH509" t="str">
            <v>-</v>
          </cell>
          <cell r="AI509" t="str">
            <v>-</v>
          </cell>
          <cell r="AJ509" t="str">
            <v>-</v>
          </cell>
          <cell r="AK509" t="str">
            <v>-</v>
          </cell>
          <cell r="AL509" t="str">
            <v>-</v>
          </cell>
          <cell r="AM509" t="str">
            <v>-</v>
          </cell>
          <cell r="AN509" t="str">
            <v>-</v>
          </cell>
          <cell r="AO509" t="str">
            <v>-</v>
          </cell>
          <cell r="AP509" t="str">
            <v>-</v>
          </cell>
          <cell r="AQ509" t="str">
            <v>-</v>
          </cell>
          <cell r="AR509" t="str">
            <v>-</v>
          </cell>
          <cell r="AS509" t="str">
            <v>-</v>
          </cell>
          <cell r="AT509" t="str">
            <v>-</v>
          </cell>
          <cell r="AU509" t="str">
            <v>-</v>
          </cell>
          <cell r="AV509" t="str">
            <v>-</v>
          </cell>
          <cell r="AW509" t="str">
            <v>-</v>
          </cell>
          <cell r="AX509" t="str">
            <v>-</v>
          </cell>
          <cell r="AY509" t="str">
            <v>-</v>
          </cell>
          <cell r="AZ509" t="str">
            <v>-</v>
          </cell>
          <cell r="BA509" t="str">
            <v>-</v>
          </cell>
          <cell r="BB509" t="str">
            <v>-</v>
          </cell>
          <cell r="BC509" t="str">
            <v>-</v>
          </cell>
          <cell r="BD509" t="str">
            <v>-</v>
          </cell>
          <cell r="BE509" t="str">
            <v>-</v>
          </cell>
          <cell r="BF509" t="str">
            <v>-</v>
          </cell>
          <cell r="BG509" t="str">
            <v>-</v>
          </cell>
          <cell r="BH509" t="str">
            <v>-</v>
          </cell>
          <cell r="BI509" t="str">
            <v>-</v>
          </cell>
          <cell r="BJ509" t="str">
            <v>-</v>
          </cell>
          <cell r="BK509" t="str">
            <v>-</v>
          </cell>
          <cell r="BL509" t="str">
            <v>-</v>
          </cell>
          <cell r="BM509">
            <v>0.5</v>
          </cell>
          <cell r="BN509">
            <v>0.5</v>
          </cell>
          <cell r="BO509" t="str">
            <v>-</v>
          </cell>
          <cell r="BP509" t="str">
            <v>-</v>
          </cell>
          <cell r="BQ509">
            <v>13835.719499999999</v>
          </cell>
          <cell r="BR509">
            <v>1152.976625</v>
          </cell>
          <cell r="BS509">
            <v>266.07357556596588</v>
          </cell>
          <cell r="BT509">
            <v>53.214715113193179</v>
          </cell>
        </row>
        <row r="510">
          <cell r="A510" t="str">
            <v>Malta2024100 / 100</v>
          </cell>
          <cell r="B510" t="str">
            <v>Malta</v>
          </cell>
          <cell r="C510">
            <v>2024</v>
          </cell>
          <cell r="D510" t="str">
            <v>100 / 100</v>
          </cell>
          <cell r="E510">
            <v>30536</v>
          </cell>
          <cell r="F510">
            <v>2544.6666666666665</v>
          </cell>
          <cell r="G510">
            <v>587.23528642528015</v>
          </cell>
          <cell r="H510">
            <v>117.44705728505603</v>
          </cell>
          <cell r="I510">
            <v>30536</v>
          </cell>
          <cell r="J510">
            <v>2544.6666666666665</v>
          </cell>
          <cell r="K510">
            <v>587.23528642528015</v>
          </cell>
          <cell r="L510">
            <v>117.44705728505603</v>
          </cell>
          <cell r="M510" t="str">
            <v>..</v>
          </cell>
          <cell r="N510" t="str">
            <v>..</v>
          </cell>
          <cell r="O510" t="str">
            <v>..</v>
          </cell>
          <cell r="P510" t="str">
            <v>..</v>
          </cell>
          <cell r="Q510" t="str">
            <v>..</v>
          </cell>
          <cell r="R510" t="str">
            <v>..</v>
          </cell>
          <cell r="S510" t="str">
            <v>..</v>
          </cell>
          <cell r="T510" t="str">
            <v>..</v>
          </cell>
          <cell r="U510" t="str">
            <v>..</v>
          </cell>
          <cell r="V510">
            <v>8.6660000000000004</v>
          </cell>
          <cell r="W510">
            <v>8.6660000000000004</v>
          </cell>
          <cell r="X510">
            <v>0</v>
          </cell>
          <cell r="Y510" t="str">
            <v>-</v>
          </cell>
          <cell r="Z510" t="str">
            <v>8 weeks paid leave per parent paid at 50 per cent of previous earnings for children under four years of age, and 25 per cent of previous earnings for children four to eight years of age.</v>
          </cell>
          <cell r="AA510" t="str">
            <v>Gross</v>
          </cell>
          <cell r="AB510" t="str">
            <v>N</v>
          </cell>
          <cell r="AC510">
            <v>8.6660000000000004</v>
          </cell>
          <cell r="AD510">
            <v>0.5</v>
          </cell>
          <cell r="AE510" t="str">
            <v>-</v>
          </cell>
          <cell r="AF510" t="str">
            <v>-</v>
          </cell>
          <cell r="AG510" t="str">
            <v>-</v>
          </cell>
          <cell r="AH510" t="str">
            <v>-</v>
          </cell>
          <cell r="AI510" t="str">
            <v>-</v>
          </cell>
          <cell r="AJ510" t="str">
            <v>-</v>
          </cell>
          <cell r="AK510" t="str">
            <v>-</v>
          </cell>
          <cell r="AL510" t="str">
            <v>-</v>
          </cell>
          <cell r="AM510" t="str">
            <v>-</v>
          </cell>
          <cell r="AN510" t="str">
            <v>-</v>
          </cell>
          <cell r="AO510" t="str">
            <v>-</v>
          </cell>
          <cell r="AP510" t="str">
            <v>-</v>
          </cell>
          <cell r="AQ510" t="str">
            <v>-</v>
          </cell>
          <cell r="AR510" t="str">
            <v>-</v>
          </cell>
          <cell r="AS510" t="str">
            <v>-</v>
          </cell>
          <cell r="AT510" t="str">
            <v>-</v>
          </cell>
          <cell r="AU510" t="str">
            <v>-</v>
          </cell>
          <cell r="AV510" t="str">
            <v>-</v>
          </cell>
          <cell r="AW510" t="str">
            <v>-</v>
          </cell>
          <cell r="AX510" t="str">
            <v>-</v>
          </cell>
          <cell r="AY510" t="str">
            <v>-</v>
          </cell>
          <cell r="AZ510" t="str">
            <v>-</v>
          </cell>
          <cell r="BA510" t="str">
            <v>-</v>
          </cell>
          <cell r="BB510" t="str">
            <v>-</v>
          </cell>
          <cell r="BC510" t="str">
            <v>-</v>
          </cell>
          <cell r="BD510" t="str">
            <v>-</v>
          </cell>
          <cell r="BE510" t="str">
            <v>-</v>
          </cell>
          <cell r="BF510" t="str">
            <v>-</v>
          </cell>
          <cell r="BG510" t="str">
            <v>-</v>
          </cell>
          <cell r="BH510" t="str">
            <v>-</v>
          </cell>
          <cell r="BI510" t="str">
            <v>-</v>
          </cell>
          <cell r="BJ510" t="str">
            <v>-</v>
          </cell>
          <cell r="BK510" t="str">
            <v>-</v>
          </cell>
          <cell r="BL510" t="str">
            <v>-</v>
          </cell>
          <cell r="BM510">
            <v>0.5</v>
          </cell>
          <cell r="BN510">
            <v>0.5</v>
          </cell>
          <cell r="BO510" t="str">
            <v>-</v>
          </cell>
          <cell r="BP510" t="str">
            <v>-</v>
          </cell>
          <cell r="BQ510">
            <v>15268</v>
          </cell>
          <cell r="BR510">
            <v>1272.3333333333333</v>
          </cell>
          <cell r="BS510">
            <v>293.61764321264008</v>
          </cell>
          <cell r="BT510">
            <v>58.723528642528017</v>
          </cell>
        </row>
        <row r="511">
          <cell r="A511" t="str">
            <v>Malta2025100 / 100</v>
          </cell>
          <cell r="B511" t="str">
            <v>Malta</v>
          </cell>
          <cell r="C511">
            <v>2025</v>
          </cell>
          <cell r="D511" t="str">
            <v>100 / 100</v>
          </cell>
          <cell r="E511">
            <v>30536</v>
          </cell>
          <cell r="F511">
            <v>2544.6666666666665</v>
          </cell>
          <cell r="G511">
            <v>587.23528642528015</v>
          </cell>
          <cell r="H511">
            <v>117.44705728505603</v>
          </cell>
          <cell r="I511">
            <v>30536</v>
          </cell>
          <cell r="J511">
            <v>2544.6666666666665</v>
          </cell>
          <cell r="K511">
            <v>587.23528642528015</v>
          </cell>
          <cell r="L511">
            <v>117.44705728505603</v>
          </cell>
          <cell r="M511" t="str">
            <v>..</v>
          </cell>
          <cell r="N511" t="str">
            <v>..</v>
          </cell>
          <cell r="O511" t="str">
            <v>..</v>
          </cell>
          <cell r="P511" t="str">
            <v>..</v>
          </cell>
          <cell r="Q511" t="str">
            <v>..</v>
          </cell>
          <cell r="R511" t="str">
            <v>..</v>
          </cell>
          <cell r="S511" t="str">
            <v>..</v>
          </cell>
          <cell r="T511" t="str">
            <v>..</v>
          </cell>
          <cell r="U511" t="str">
            <v>..</v>
          </cell>
          <cell r="V511">
            <v>8.6660000000000004</v>
          </cell>
          <cell r="W511">
            <v>8.6660000000000004</v>
          </cell>
          <cell r="X511">
            <v>0</v>
          </cell>
          <cell r="Y511" t="str">
            <v>-</v>
          </cell>
          <cell r="Z511" t="str">
            <v>8 weeks paid leave per parent paid at 50 per cent of previous earnings for children under four years of age, and 25 per cent of previous earnings for children four to eight years of age.</v>
          </cell>
          <cell r="AA511" t="str">
            <v>Gross</v>
          </cell>
          <cell r="AB511" t="str">
            <v>N</v>
          </cell>
          <cell r="AC511">
            <v>8.6660000000000004</v>
          </cell>
          <cell r="AD511">
            <v>0.5</v>
          </cell>
          <cell r="AE511" t="str">
            <v>-</v>
          </cell>
          <cell r="AF511" t="str">
            <v>-</v>
          </cell>
          <cell r="AG511" t="str">
            <v>-</v>
          </cell>
          <cell r="AH511" t="str">
            <v>-</v>
          </cell>
          <cell r="AI511" t="str">
            <v>-</v>
          </cell>
          <cell r="AJ511" t="str">
            <v>-</v>
          </cell>
          <cell r="AK511" t="str">
            <v>-</v>
          </cell>
          <cell r="AL511" t="str">
            <v>-</v>
          </cell>
          <cell r="AM511" t="str">
            <v>-</v>
          </cell>
          <cell r="AN511" t="str">
            <v>-</v>
          </cell>
          <cell r="AO511" t="str">
            <v>-</v>
          </cell>
          <cell r="AP511" t="str">
            <v>-</v>
          </cell>
          <cell r="AQ511" t="str">
            <v>-</v>
          </cell>
          <cell r="AR511" t="str">
            <v>-</v>
          </cell>
          <cell r="AS511" t="str">
            <v>-</v>
          </cell>
          <cell r="AT511" t="str">
            <v>-</v>
          </cell>
          <cell r="AU511" t="str">
            <v>-</v>
          </cell>
          <cell r="AV511" t="str">
            <v>-</v>
          </cell>
          <cell r="AW511" t="str">
            <v>-</v>
          </cell>
          <cell r="AX511" t="str">
            <v>-</v>
          </cell>
          <cell r="AY511" t="str">
            <v>-</v>
          </cell>
          <cell r="AZ511" t="str">
            <v>-</v>
          </cell>
          <cell r="BA511" t="str">
            <v>-</v>
          </cell>
          <cell r="BB511" t="str">
            <v>-</v>
          </cell>
          <cell r="BC511" t="str">
            <v>-</v>
          </cell>
          <cell r="BD511" t="str">
            <v>-</v>
          </cell>
          <cell r="BE511" t="str">
            <v>-</v>
          </cell>
          <cell r="BF511" t="str">
            <v>-</v>
          </cell>
          <cell r="BG511" t="str">
            <v>-</v>
          </cell>
          <cell r="BH511" t="str">
            <v>-</v>
          </cell>
          <cell r="BI511" t="str">
            <v>-</v>
          </cell>
          <cell r="BJ511" t="str">
            <v>-</v>
          </cell>
          <cell r="BK511" t="str">
            <v>-</v>
          </cell>
          <cell r="BL511" t="str">
            <v>-</v>
          </cell>
          <cell r="BM511">
            <v>0.5</v>
          </cell>
          <cell r="BN511">
            <v>0.5</v>
          </cell>
          <cell r="BO511" t="str">
            <v>-</v>
          </cell>
          <cell r="BP511" t="str">
            <v>-</v>
          </cell>
          <cell r="BQ511">
            <v>15268</v>
          </cell>
          <cell r="BR511">
            <v>1272.3333333333333</v>
          </cell>
          <cell r="BS511">
            <v>293.61764321264008</v>
          </cell>
          <cell r="BT511">
            <v>58.723528642528017</v>
          </cell>
        </row>
        <row r="512">
          <cell r="A512" t="str">
            <v>Romania2014100 / 100</v>
          </cell>
          <cell r="B512" t="str">
            <v>Romania</v>
          </cell>
          <cell r="C512">
            <v>2014</v>
          </cell>
          <cell r="D512" t="str">
            <v>100 / 100</v>
          </cell>
          <cell r="E512">
            <v>27648</v>
          </cell>
          <cell r="F512">
            <v>2304</v>
          </cell>
          <cell r="G512">
            <v>531.69639766459738</v>
          </cell>
          <cell r="H512">
            <v>106.33927953291948</v>
          </cell>
          <cell r="I512">
            <v>27648</v>
          </cell>
          <cell r="J512">
            <v>2304</v>
          </cell>
          <cell r="K512">
            <v>531.69639766459738</v>
          </cell>
          <cell r="L512">
            <v>106.33927953291948</v>
          </cell>
          <cell r="M512">
            <v>19557.587200000002</v>
          </cell>
          <cell r="N512">
            <v>1629.7989333333335</v>
          </cell>
          <cell r="O512">
            <v>376.11033931030238</v>
          </cell>
          <cell r="P512">
            <v>75.22206786206047</v>
          </cell>
          <cell r="Q512">
            <v>19557.587200000002</v>
          </cell>
          <cell r="R512">
            <v>1629.7989333333335</v>
          </cell>
          <cell r="S512">
            <v>376.11033931030238</v>
          </cell>
          <cell r="T512">
            <v>75.22206786206047</v>
          </cell>
          <cell r="U512" t="str">
            <v>..</v>
          </cell>
          <cell r="V512">
            <v>4.3333000000000004</v>
          </cell>
          <cell r="W512">
            <v>4.3333000000000004</v>
          </cell>
          <cell r="X512">
            <v>0</v>
          </cell>
          <cell r="Y512" t="str">
            <v>-</v>
          </cell>
          <cell r="Z512" t="str">
            <v xml:space="preserve">One month (4.333 weeks), paid as the standard parental leave: paid at 85% of NET earnings up to a ceiling of 6.8 times the Reference Social Indicator (indicator social de referinta, RON 500 (€111) per month) which equates to 3400RON per month 
According to Leave Network, since 2012 there has been a one-month father quota in the parental leave scheme:
“The Parental leave law nr. 210 from 1999, was adopted as a compensating necessity for fathers, who do not receive the same rights, benefits and leave as mothers, except for special circumstances in which they can substitute them. According to amendment nr. 57 from 2012, for children born on or after 1st March 2012, at least a month from the total parental leave available, will be granted to the parent who has not solicited the right to leave. For example, if the mother is the one who has requested parental leave, a month out of this period, will be given to the father (being deducted from the mother’s leave). In the time during which the father is on his compulsory parental leave, the mother can either return to work or can opt for unpaid leave (2016: 289-290).”
and 
“It is compulsory for parents to share one month out of the 12 allowed; if this month is not taken up by the other parent, parental leave is shortened to 11 months, with a loss of benefit payment for that month. (2016: 293)”
NOTE: This father quota is not mentioned at all in any of the usual sources (i.e. MISSOC, SSA, World Bank Women Business and the Law, ILO TRAVAIL, ILO "Maternity and Paternity at work: Law and practice across the world") and we missed it in past versions, but it is in the ROM chapter in Leave Network (ROM first appeared in the Leave Network in 2016). It is also confirmed by a range of other sources:
Crusmac and Koehler (2016) (https://papers.ssrn.com/sol3/papers.cfm?abstract_id=2928559): “ … in 2011 Romania adopted the EU Directive 2010/18/UE and encouraged men to participate in childcare activities: Romania has implemented the ‘father’s month’, a non-transferable quota of the childcare leave allocated to the other parent. According to the new regulation, if the other partner (not the main parent on leave) does not make use of the right of having a month of childcare leave, then the main partner’s benefit and leave is shortened by one month (2016: 55)”. 
EC (2016: 24, section 5.8.1) (http://ec.europa.eu/justice/gender-equality/files/ge_country_reports_d1/2016-ro-country-report-ge_final_en.pdf): “Article 11 of Government Emergency Ordinance No. 111/2010 provides for one month parental leave that must be taken by the second parent or it will be lost from the parental leave of the first parent.”
EC (Moving and working in Europe) (http://ec.europa.eu/social/main.jsp?catId=1126&amp;langId=en&amp;intPageId=4748): "If both parents meet the criteria for child-raising leave, at least 1 month of the total period of this leave must be allocated to the parent who did not request this right. For example, if the child's mother requested leave and benefit, the father must request one month's leave, and vice versa."
And this is the relevant section of the law (http://www.mmuncii.ro/pub/imagemanager/images/file/Legislatie/ORDONANTE-DE-GUVERN/OUG%20111_2010.pdf):
"ART. 11  (1) Dreptul la concediul pentru creşterea copilului stabilit potrivit prevederilor art. 2 alin. (1), începând cu ianuarie 2012, se acordă persoanelor prevăzute la art. 8 alin. (1) şi (2), pe bază netransferabilă, în situaţia în care ambele persoane din familia respectivă îndeplinesc condiţiile de acordare a acestuia, după cum urmează:  a) cel puţin o lună din perioada totală a concediului de creştere a copilului este alocată uneia dintre persoanele care nu a solicitat acest drept;  b) în situaţia în care persoana prevăzută la lit. a) nu solicită dreptul la concediul care îi revine, celălalt părinte nu poate beneficia de dreptul la concediu în locul acesteia.  (2) Procedura de acordare se stabileşte prin ordin al ministrului muncii, familiei şi protecţiei sociale. "
(in English, through google translate):
"ART. 11  (1) The right to parental leave established according to Art. 2 para. (1) from January 2012 be granted to persons mentioned in art. 8 paragraph. (1) and (2) on non-transferable basis, where both parties within the family meet the conditions for the granting thereof, as follows: a) at least one month of the total period of leave child rearing is allocated one of people who did not request this right; b) if the person referred to in subparagraph a) requires the right to leave incumbent, the other parent can not benefit from the right to leave instead. (2) The procedure for the grant shall be determined by the Minister of Labour, Family and Social Protection."
</v>
          </cell>
          <cell r="AA512" t="str">
            <v>Net</v>
          </cell>
          <cell r="AB512" t="str">
            <v>N</v>
          </cell>
          <cell r="AC512">
            <v>4.3333300000000001</v>
          </cell>
          <cell r="AD512">
            <v>0.85</v>
          </cell>
          <cell r="AE512">
            <v>3400</v>
          </cell>
          <cell r="AF512" t="str">
            <v>Month</v>
          </cell>
          <cell r="AG512" t="str">
            <v>-</v>
          </cell>
          <cell r="AH512" t="str">
            <v>-</v>
          </cell>
          <cell r="AI512" t="str">
            <v>-</v>
          </cell>
          <cell r="AJ512" t="str">
            <v>-</v>
          </cell>
          <cell r="AK512" t="str">
            <v>-</v>
          </cell>
          <cell r="AL512" t="str">
            <v>-</v>
          </cell>
          <cell r="AM512" t="str">
            <v>-</v>
          </cell>
          <cell r="AN512" t="str">
            <v>-</v>
          </cell>
          <cell r="AO512" t="str">
            <v>-</v>
          </cell>
          <cell r="AP512" t="str">
            <v>-</v>
          </cell>
          <cell r="AQ512" t="str">
            <v>-</v>
          </cell>
          <cell r="AR512" t="str">
            <v>-</v>
          </cell>
          <cell r="AS512" t="str">
            <v>-</v>
          </cell>
          <cell r="AT512" t="str">
            <v>-</v>
          </cell>
          <cell r="AU512" t="str">
            <v>-</v>
          </cell>
          <cell r="AV512" t="str">
            <v>-</v>
          </cell>
          <cell r="AW512" t="str">
            <v>-</v>
          </cell>
          <cell r="AX512" t="str">
            <v>-</v>
          </cell>
          <cell r="AY512" t="str">
            <v>-</v>
          </cell>
          <cell r="AZ512" t="str">
            <v>-</v>
          </cell>
          <cell r="BA512" t="str">
            <v>-</v>
          </cell>
          <cell r="BB512" t="str">
            <v>-</v>
          </cell>
          <cell r="BC512" t="str">
            <v>-</v>
          </cell>
          <cell r="BD512" t="str">
            <v>-</v>
          </cell>
          <cell r="BE512" t="str">
            <v>-</v>
          </cell>
          <cell r="BF512" t="str">
            <v>-</v>
          </cell>
          <cell r="BG512" t="str">
            <v>-</v>
          </cell>
          <cell r="BH512" t="str">
            <v>-</v>
          </cell>
          <cell r="BI512" t="str">
            <v>-</v>
          </cell>
          <cell r="BJ512" t="str">
            <v>-</v>
          </cell>
          <cell r="BK512" t="str">
            <v>-</v>
          </cell>
          <cell r="BL512" t="str">
            <v>-</v>
          </cell>
          <cell r="BM512">
            <v>0.60127963325826228</v>
          </cell>
          <cell r="BN512">
            <v>0.60127963325826228</v>
          </cell>
          <cell r="BO512">
            <v>0.85000588466065108</v>
          </cell>
          <cell r="BP512">
            <v>0.85000588466065108</v>
          </cell>
          <cell r="BQ512">
            <v>16624.179300324435</v>
          </cell>
          <cell r="BR512">
            <v>1385.3482750270364</v>
          </cell>
          <cell r="BS512">
            <v>319.69821499250827</v>
          </cell>
          <cell r="BT512">
            <v>63.939642998501661</v>
          </cell>
        </row>
        <row r="513">
          <cell r="A513" t="str">
            <v>Romania2015100 / 100</v>
          </cell>
          <cell r="B513" t="str">
            <v>Romania</v>
          </cell>
          <cell r="C513">
            <v>2015</v>
          </cell>
          <cell r="D513" t="str">
            <v>100 / 100</v>
          </cell>
          <cell r="E513">
            <v>30456</v>
          </cell>
          <cell r="F513">
            <v>2538</v>
          </cell>
          <cell r="G513">
            <v>585.69681305240806</v>
          </cell>
          <cell r="H513">
            <v>117.13936261048161</v>
          </cell>
          <cell r="I513">
            <v>30456</v>
          </cell>
          <cell r="J513">
            <v>2538</v>
          </cell>
          <cell r="K513">
            <v>585.69681305240806</v>
          </cell>
          <cell r="L513">
            <v>117.13936261048161</v>
          </cell>
          <cell r="M513">
            <v>21471.598400000003</v>
          </cell>
          <cell r="N513">
            <v>1789.299866666667</v>
          </cell>
          <cell r="O513">
            <v>412.91853014253957</v>
          </cell>
          <cell r="P513">
            <v>82.583706028507919</v>
          </cell>
          <cell r="Q513">
            <v>21471.598400000003</v>
          </cell>
          <cell r="R513">
            <v>1789.299866666667</v>
          </cell>
          <cell r="S513">
            <v>412.91853014253957</v>
          </cell>
          <cell r="T513">
            <v>82.583706028507919</v>
          </cell>
          <cell r="U513" t="str">
            <v>..</v>
          </cell>
          <cell r="V513">
            <v>4.3333000000000004</v>
          </cell>
          <cell r="W513">
            <v>4.3333000000000004</v>
          </cell>
          <cell r="X513">
            <v>0</v>
          </cell>
          <cell r="Y513" t="str">
            <v>-</v>
          </cell>
          <cell r="Z513" t="str">
            <v xml:space="preserve">One month (4.333 weeks), paid as the standard parental leave: paid at 85% of NET earnings up to a ceiling of 6.8 times the Reference Social Indicator (indicator social de referinta, RON 500 (€111) per month) which equates to 3400RON per month 
According to Leave Network, since 2012 there has been a one-month father quota in the parental leave scheme:
“The Parental leave law nr. 210 from 1999, was adopted as a compensating necessity for fathers, who do not receive the same rights, benefits and leave as mothers, except for special circumstances in which they can substitute them. According to amendment nr. 57 from 2012, for children born on or after 1st March 2012, at least a month from the total parental leave available, will be granted to the parent who has not solicited the right to leave. For example, if the mother is the one who has requested parental leave, a month out of this period, will be given to the father (being deducted from the mother’s leave). In the time during which the father is on his compulsory parental leave, the mother can either return to work or can opt for unpaid leave (2016: 289-290).”
and 
“It is compulsory for parents to share one month out of the 12 allowed; if this month is not taken up by the other parent, parental leave is shortened to 11 months, with a loss of benefit payment for that month. (2016: 293)”
NOTE: This father quota is not mentioned at all in any of the usual sources (i.e. MISSOC, SSA, World Bank Women Business and the Law, ILO TRAVAIL, ILO "Maternity and Paternity at work: Law and practice across the world") and we missed it in past versions, but it is in the ROM chapter in Leave Network (ROM first appeared in the Leave Network in 2016). It is also confirmed by a range of other sources:
Crusmac and Koehler (2016) (https://papers.ssrn.com/sol3/papers.cfm?abstract_id=2928559): “ … in 2011 Romania adopted the EU Directive 2010/18/UE and encouraged men to participate in childcare activities: Romania has implemented the ‘father’s month’, a non-transferable quota of the childcare leave allocated to the other parent. According to the new regulation, if the other partner (not the main parent on leave) does not make use of the right of having a month of childcare leave, then the main partner’s benefit and leave is shortened by one month (2016: 55)”. 
EC (2016: 24, section 5.8.1) (http://ec.europa.eu/justice/gender-equality/files/ge_country_reports_d1/2016-ro-country-report-ge_final_en.pdf): “Article 11 of Government Emergency Ordinance No. 111/2010 provides for one month parental leave that must be taken by the second parent or it will be lost from the parental leave of the first parent.”
EC (Moving and working in Europe) (http://ec.europa.eu/social/main.jsp?catId=1126&amp;langId=en&amp;intPageId=4748): "If both parents meet the criteria for child-raising leave, at least 1 month of the total period of this leave must be allocated to the parent who did not request this right. For example, if the child's mother requested leave and benefit, the father must request one month's leave, and vice versa."
And this is the relevant section of the law (http://www.mmuncii.ro/pub/imagemanager/images/file/Legislatie/ORDONANTE-DE-GUVERN/OUG%20111_2010.pdf):
"ART. 11  (1) Dreptul la concediul pentru creşterea copilului stabilit potrivit prevederilor art. 2 alin. (1), începând cu ianuarie 2012, se acordă persoanelor prevăzute la art. 8 alin. (1) şi (2), pe bază netransferabilă, în situaţia în care ambele persoane din familia respectivă îndeplinesc condiţiile de acordare a acestuia, după cum urmează:  a) cel puţin o lună din perioada totală a concediului de creştere a copilului este alocată uneia dintre persoanele care nu a solicitat acest drept;  b) în situaţia în care persoana prevăzută la lit. a) nu solicită dreptul la concediul care îi revine, celălalt părinte nu poate beneficia de dreptul la concediu în locul acesteia.  (2) Procedura de acordare se stabileşte prin ordin al ministrului muncii, familiei şi protecţiei sociale. "
(in English, through google translate):
"ART. 11  (1) The right to parental leave established according to Art. 2 para. (1) from January 2012 be granted to persons mentioned in art. 8 paragraph. (1) and (2) on non-transferable basis, where both parties within the family meet the conditions for the granting thereof, as follows: a) at least one month of the total period of leave child rearing is allocated one of people who did not request this right; b) if the person referred to in subparagraph a) requires the right to leave incumbent, the other parent can not benefit from the right to leave instead. (2) The procedure for the grant shall be determined by the Minister of Labour, Family and Social Protection."
</v>
          </cell>
          <cell r="AA513" t="str">
            <v>Net</v>
          </cell>
          <cell r="AB513" t="str">
            <v>N</v>
          </cell>
          <cell r="AC513">
            <v>4.3333300000000001</v>
          </cell>
          <cell r="AD513">
            <v>0.85</v>
          </cell>
          <cell r="AE513">
            <v>3400</v>
          </cell>
          <cell r="AF513" t="str">
            <v>Month</v>
          </cell>
          <cell r="AG513" t="str">
            <v>-</v>
          </cell>
          <cell r="AH513" t="str">
            <v>-</v>
          </cell>
          <cell r="AI513" t="str">
            <v>-</v>
          </cell>
          <cell r="AJ513" t="str">
            <v>-</v>
          </cell>
          <cell r="AK513" t="str">
            <v>-</v>
          </cell>
          <cell r="AL513" t="str">
            <v>-</v>
          </cell>
          <cell r="AM513" t="str">
            <v>-</v>
          </cell>
          <cell r="AN513" t="str">
            <v>-</v>
          </cell>
          <cell r="AO513" t="str">
            <v>-</v>
          </cell>
          <cell r="AP513" t="str">
            <v>-</v>
          </cell>
          <cell r="AQ513" t="str">
            <v>-</v>
          </cell>
          <cell r="AR513" t="str">
            <v>-</v>
          </cell>
          <cell r="AS513" t="str">
            <v>-</v>
          </cell>
          <cell r="AT513" t="str">
            <v>-</v>
          </cell>
          <cell r="AU513" t="str">
            <v>-</v>
          </cell>
          <cell r="AV513" t="str">
            <v>-</v>
          </cell>
          <cell r="AW513" t="str">
            <v>-</v>
          </cell>
          <cell r="AX513" t="str">
            <v>-</v>
          </cell>
          <cell r="AY513" t="str">
            <v>-</v>
          </cell>
          <cell r="AZ513" t="str">
            <v>-</v>
          </cell>
          <cell r="BA513" t="str">
            <v>-</v>
          </cell>
          <cell r="BB513" t="str">
            <v>-</v>
          </cell>
          <cell r="BC513" t="str">
            <v>-</v>
          </cell>
          <cell r="BD513" t="str">
            <v>-</v>
          </cell>
          <cell r="BE513" t="str">
            <v>-</v>
          </cell>
          <cell r="BF513" t="str">
            <v>-</v>
          </cell>
          <cell r="BG513" t="str">
            <v>-</v>
          </cell>
          <cell r="BH513" t="str">
            <v>-</v>
          </cell>
          <cell r="BI513" t="str">
            <v>-</v>
          </cell>
          <cell r="BJ513" t="str">
            <v>-</v>
          </cell>
          <cell r="BK513" t="str">
            <v>-</v>
          </cell>
          <cell r="BL513" t="str">
            <v>-</v>
          </cell>
          <cell r="BM513">
            <v>0.5992616018851854</v>
          </cell>
          <cell r="BN513">
            <v>0.5992616018851854</v>
          </cell>
          <cell r="BO513">
            <v>0.85000588466065108</v>
          </cell>
          <cell r="BP513">
            <v>0.85000588466065108</v>
          </cell>
          <cell r="BQ513">
            <v>18251.111347015205</v>
          </cell>
          <cell r="BR513">
            <v>1520.9259455846006</v>
          </cell>
          <cell r="BS513">
            <v>350.98561040883402</v>
          </cell>
          <cell r="BT513">
            <v>70.197122081766807</v>
          </cell>
        </row>
        <row r="514">
          <cell r="A514" t="str">
            <v>Romania2016100 / 100</v>
          </cell>
          <cell r="B514" t="str">
            <v>Romania</v>
          </cell>
          <cell r="C514">
            <v>2016</v>
          </cell>
          <cell r="D514" t="str">
            <v>100 / 100</v>
          </cell>
          <cell r="E514">
            <v>33180</v>
          </cell>
          <cell r="F514">
            <v>2765</v>
          </cell>
          <cell r="G514">
            <v>638.081831398703</v>
          </cell>
          <cell r="H514">
            <v>127.6163662797406</v>
          </cell>
          <cell r="I514">
            <v>33180</v>
          </cell>
          <cell r="J514">
            <v>2765</v>
          </cell>
          <cell r="K514">
            <v>638.081831398703</v>
          </cell>
          <cell r="L514">
            <v>127.6163662797406</v>
          </cell>
          <cell r="M514">
            <v>23360.772000000001</v>
          </cell>
          <cell r="N514">
            <v>1946.731</v>
          </cell>
          <cell r="O514">
            <v>449.24907114670111</v>
          </cell>
          <cell r="P514">
            <v>89.849814229340225</v>
          </cell>
          <cell r="Q514">
            <v>23360.772000000001</v>
          </cell>
          <cell r="R514">
            <v>1946.731</v>
          </cell>
          <cell r="S514">
            <v>449.24907114670111</v>
          </cell>
          <cell r="T514">
            <v>89.849814229340225</v>
          </cell>
          <cell r="U514" t="str">
            <v>..</v>
          </cell>
          <cell r="V514">
            <v>4.3333000000000004</v>
          </cell>
          <cell r="W514">
            <v>4.3333000000000004</v>
          </cell>
          <cell r="X514">
            <v>0</v>
          </cell>
          <cell r="Y514" t="str">
            <v>-</v>
          </cell>
          <cell r="Z514" t="str">
            <v xml:space="preserve">One month (4.333 weeks), paid as the standard parental leave: paid at 85% of NET earnings up to a ceiling of 6.8 times the Reference Social Indicator (indicator social de referinta, RON 500 (€111) per month) which equates to 3400RON per month 
According to Leave Network, since 2012 there has been a one-month father quota in the parental leave scheme:
“The Parental leave law nr. 210 from 1999, was adopted as a compensating necessity for fathers, who do not receive the same rights, benefits and leave as mothers, except for special circumstances in which they can substitute them. According to amendment nr. 57 from 2012, for children born on or after 1st March 2012, at least a month from the total parental leave available, will be granted to the parent who has not solicited the right to leave. For example, if the mother is the one who has requested parental leave, a month out of this period, will be given to the father (being deducted from the mother’s leave). In the time during which the father is on his compulsory parental leave, the mother can either return to work or can opt for unpaid leave (2016: 289-290).”
and 
“It is compulsory for parents to share one month out of the 12 allowed; if this month is not taken up by the other parent, parental leave is shortened to 11 months, with a loss of benefit payment for that month. (2016: 293)”
NOTE: This father quota is not mentioned at all in any of the usual sources (i.e. MISSOC, SSA, World Bank Women Business and the Law, ILO TRAVAIL, ILO "Maternity and Paternity at work: Law and practice across the world") and we missed it in past versions, but it is in the ROM chapter in Leave Network (ROM first appeared in the Leave Network in 2016). It is also confirmed by a range of other sources:
Crusmac and Koehler (2016) (https://papers.ssrn.com/sol3/papers.cfm?abstract_id=2928559): “ … in 2011 Romania adopted the EU Directive 2010/18/UE and encouraged men to participate in childcare activities: Romania has implemented the ‘father’s month’, a non-transferable quota of the childcare leave allocated to the other parent. According to the new regulation, if the other partner (not the main parent on leave) does not make use of the right of having a month of childcare leave, then the main partner’s benefit and leave is shortened by one month (2016: 55)”. 
EC (2016: 24, section 5.8.1) (http://ec.europa.eu/justice/gender-equality/files/ge_country_reports_d1/2016-ro-country-report-ge_final_en.pdf): “Article 11 of Government Emergency Ordinance No. 111/2010 provides for one month parental leave that must be taken by the second parent or it will be lost from the parental leave of the first parent.”
EC (Moving and working in Europe) (http://ec.europa.eu/social/main.jsp?catId=1126&amp;langId=en&amp;intPageId=4748): "If both parents meet the criteria for child-raising leave, at least 1 month of the total period of this leave must be allocated to the parent who did not request this right. For example, if the child's mother requested leave and benefit, the father must request one month's leave, and vice versa."
And this is the relevant section of the law (http://www.mmuncii.ro/pub/imagemanager/images/file/Legislatie/ORDONANTE-DE-GUVERN/OUG%20111_2010.pdf):
"ART. 11  (1) Dreptul la concediul pentru creşterea copilului stabilit potrivit prevederilor art. 2 alin. (1), începând cu ianuarie 2012, se acordă persoanelor prevăzute la art. 8 alin. (1) şi (2), pe bază netransferabilă, în situaţia în care ambele persoane din familia respectivă îndeplinesc condiţiile de acordare a acestuia, după cum urmează:  a) cel puţin o lună din perioada totală a concediului de creştere a copilului este alocată uneia dintre persoanele care nu a solicitat acest drept;  b) în situaţia în care persoana prevăzută la lit. a) nu solicită dreptul la concediul care îi revine, celălalt părinte nu poate beneficia de dreptul la concediu în locul acesteia.  (2) Procedura de acordare se stabileşte prin ordin al ministrului muncii, familiei şi protecţiei sociale. "
(in English, through google translate):
"ART. 11  (1) The right to parental leave established according to Art. 2 para. (1) from January 2012 be granted to persons mentioned in art. 8 paragraph. (1) and (2) on non-transferable basis, where both parties within the family meet the conditions for the granting thereof, as follows: a) at least one month of the total period of leave child rearing is allocated one of people who did not request this right; b) if the person referred to in subparagraph a) requires the right to leave incumbent, the other parent can not benefit from the right to leave instead. (2) The procedure for the grant shall be determined by the Minister of Labour, Family and Social Protection."
</v>
          </cell>
          <cell r="AA514" t="str">
            <v>Net</v>
          </cell>
          <cell r="AB514" t="str">
            <v>N</v>
          </cell>
          <cell r="AC514">
            <v>4.3333300000000001</v>
          </cell>
          <cell r="AD514">
            <v>0.85</v>
          </cell>
          <cell r="AE514">
            <v>3400</v>
          </cell>
          <cell r="AF514" t="str">
            <v>Month</v>
          </cell>
          <cell r="AG514" t="str">
            <v>-</v>
          </cell>
          <cell r="AH514" t="str">
            <v>-</v>
          </cell>
          <cell r="AI514" t="str">
            <v>-</v>
          </cell>
          <cell r="AJ514" t="str">
            <v>-</v>
          </cell>
          <cell r="AK514" t="str">
            <v>-</v>
          </cell>
          <cell r="AL514" t="str">
            <v>-</v>
          </cell>
          <cell r="AM514" t="str">
            <v>-</v>
          </cell>
          <cell r="AN514" t="str">
            <v>-</v>
          </cell>
          <cell r="AO514" t="str">
            <v>-</v>
          </cell>
          <cell r="AP514" t="str">
            <v>-</v>
          </cell>
          <cell r="AQ514" t="str">
            <v>-</v>
          </cell>
          <cell r="AR514" t="str">
            <v>-</v>
          </cell>
          <cell r="AS514" t="str">
            <v>-</v>
          </cell>
          <cell r="AT514" t="str">
            <v>-</v>
          </cell>
          <cell r="AU514" t="str">
            <v>-</v>
          </cell>
          <cell r="AV514" t="str">
            <v>-</v>
          </cell>
          <cell r="AW514" t="str">
            <v>-</v>
          </cell>
          <cell r="AX514" t="str">
            <v>-</v>
          </cell>
          <cell r="AY514" t="str">
            <v>-</v>
          </cell>
          <cell r="AZ514" t="str">
            <v>-</v>
          </cell>
          <cell r="BA514" t="str">
            <v>-</v>
          </cell>
          <cell r="BB514" t="str">
            <v>-</v>
          </cell>
          <cell r="BC514" t="str">
            <v>-</v>
          </cell>
          <cell r="BD514" t="str">
            <v>-</v>
          </cell>
          <cell r="BE514" t="str">
            <v>-</v>
          </cell>
          <cell r="BF514" t="str">
            <v>-</v>
          </cell>
          <cell r="BG514" t="str">
            <v>-</v>
          </cell>
          <cell r="BH514" t="str">
            <v>-</v>
          </cell>
          <cell r="BI514" t="str">
            <v>-</v>
          </cell>
          <cell r="BJ514" t="str">
            <v>-</v>
          </cell>
          <cell r="BK514" t="str">
            <v>-</v>
          </cell>
          <cell r="BL514" t="str">
            <v>-</v>
          </cell>
          <cell r="BM514">
            <v>0.59846085417068295</v>
          </cell>
          <cell r="BN514">
            <v>0.59846085417068295</v>
          </cell>
          <cell r="BO514">
            <v>0.85000588466065108</v>
          </cell>
          <cell r="BP514">
            <v>0.85000588466065108</v>
          </cell>
          <cell r="BQ514">
            <v>19856.931141383262</v>
          </cell>
          <cell r="BR514">
            <v>1654.7442617819383</v>
          </cell>
          <cell r="BS514">
            <v>381.86699784966152</v>
          </cell>
          <cell r="BT514">
            <v>76.373399569932303</v>
          </cell>
        </row>
        <row r="515">
          <cell r="A515" t="str">
            <v>Romania2017100 / 100</v>
          </cell>
          <cell r="B515" t="str">
            <v>Romania</v>
          </cell>
          <cell r="C515">
            <v>2017</v>
          </cell>
          <cell r="D515" t="str">
            <v>100 / 100</v>
          </cell>
          <cell r="E515">
            <v>37140</v>
          </cell>
          <cell r="F515">
            <v>3095</v>
          </cell>
          <cell r="G515">
            <v>714.23626335587187</v>
          </cell>
          <cell r="H515">
            <v>142.84725267117437</v>
          </cell>
          <cell r="I515">
            <v>37140</v>
          </cell>
          <cell r="J515">
            <v>3095</v>
          </cell>
          <cell r="K515">
            <v>714.23626335587187</v>
          </cell>
          <cell r="L515">
            <v>142.84725267117437</v>
          </cell>
          <cell r="M515">
            <v>26049.995999999999</v>
          </cell>
          <cell r="N515">
            <v>2170.8330000000001</v>
          </cell>
          <cell r="O515">
            <v>500.96531511780859</v>
          </cell>
          <cell r="P515">
            <v>100.19306302356172</v>
          </cell>
          <cell r="Q515">
            <v>26049.995999999999</v>
          </cell>
          <cell r="R515">
            <v>2170.8330000000001</v>
          </cell>
          <cell r="S515">
            <v>500.96531511780859</v>
          </cell>
          <cell r="T515">
            <v>100.19306302356172</v>
          </cell>
          <cell r="U515" t="str">
            <v>..</v>
          </cell>
          <cell r="V515">
            <v>4.3333000000000004</v>
          </cell>
          <cell r="W515">
            <v>4.3333000000000004</v>
          </cell>
          <cell r="X515">
            <v>0</v>
          </cell>
          <cell r="Y515" t="str">
            <v>-</v>
          </cell>
          <cell r="Z515" t="str">
            <v>One month (4.333 weeks), paid as the standard parental leave: Paid at 85 per cent of net income in the last 12 months of the last two years, but no less than 85 per cent of the basic minimum wage in the country. The minimum amount is in present RON1063[€231]2. There is no maximum amount.</v>
          </cell>
          <cell r="AA515" t="str">
            <v>Net</v>
          </cell>
          <cell r="AB515" t="str">
            <v>N</v>
          </cell>
          <cell r="AC515">
            <v>4.3333000000000004</v>
          </cell>
          <cell r="AD515">
            <v>0.85</v>
          </cell>
          <cell r="AE515" t="str">
            <v>-</v>
          </cell>
          <cell r="AF515" t="str">
            <v>-</v>
          </cell>
          <cell r="AG515">
            <v>1063</v>
          </cell>
          <cell r="AH515" t="str">
            <v>Month</v>
          </cell>
          <cell r="AI515" t="str">
            <v>-</v>
          </cell>
          <cell r="AJ515" t="str">
            <v>-</v>
          </cell>
          <cell r="AK515" t="str">
            <v>-</v>
          </cell>
          <cell r="AL515" t="str">
            <v>-</v>
          </cell>
          <cell r="AM515" t="str">
            <v>-</v>
          </cell>
          <cell r="AN515" t="str">
            <v>-</v>
          </cell>
          <cell r="AO515" t="str">
            <v>-</v>
          </cell>
          <cell r="AP515" t="str">
            <v>-</v>
          </cell>
          <cell r="AQ515" t="str">
            <v>-</v>
          </cell>
          <cell r="AR515" t="str">
            <v>-</v>
          </cell>
          <cell r="AS515" t="str">
            <v>-</v>
          </cell>
          <cell r="AT515" t="str">
            <v>-</v>
          </cell>
          <cell r="AU515" t="str">
            <v>-</v>
          </cell>
          <cell r="AV515" t="str">
            <v>-</v>
          </cell>
          <cell r="AW515" t="str">
            <v>-</v>
          </cell>
          <cell r="AX515" t="str">
            <v>-</v>
          </cell>
          <cell r="AY515" t="str">
            <v>-</v>
          </cell>
          <cell r="AZ515" t="str">
            <v>-</v>
          </cell>
          <cell r="BA515" t="str">
            <v>-</v>
          </cell>
          <cell r="BB515" t="str">
            <v>-</v>
          </cell>
          <cell r="BC515" t="str">
            <v>-</v>
          </cell>
          <cell r="BD515" t="str">
            <v>-</v>
          </cell>
          <cell r="BE515" t="str">
            <v>-</v>
          </cell>
          <cell r="BF515" t="str">
            <v>-</v>
          </cell>
          <cell r="BG515" t="str">
            <v>-</v>
          </cell>
          <cell r="BH515" t="str">
            <v>-</v>
          </cell>
          <cell r="BI515" t="str">
            <v>-</v>
          </cell>
          <cell r="BJ515" t="str">
            <v>-</v>
          </cell>
          <cell r="BK515" t="str">
            <v>-</v>
          </cell>
          <cell r="BL515" t="str">
            <v>-</v>
          </cell>
          <cell r="BM515">
            <v>0.59619</v>
          </cell>
          <cell r="BN515">
            <v>0.59619</v>
          </cell>
          <cell r="BO515">
            <v>0.85</v>
          </cell>
          <cell r="BP515">
            <v>0.85</v>
          </cell>
          <cell r="BQ515">
            <v>22142.496599999999</v>
          </cell>
          <cell r="BR515">
            <v>1845.20805</v>
          </cell>
          <cell r="BS515">
            <v>425.82051785013726</v>
          </cell>
          <cell r="BT515">
            <v>85.16410357002745</v>
          </cell>
        </row>
        <row r="516">
          <cell r="A516" t="str">
            <v>Romania2018100 / 100</v>
          </cell>
          <cell r="B516" t="str">
            <v>Romania</v>
          </cell>
          <cell r="C516">
            <v>2018</v>
          </cell>
          <cell r="D516" t="str">
            <v>100 / 100</v>
          </cell>
          <cell r="E516">
            <v>49200</v>
          </cell>
          <cell r="F516">
            <v>4100</v>
          </cell>
          <cell r="G516">
            <v>946.16112431634076</v>
          </cell>
          <cell r="H516">
            <v>189.23222486326816</v>
          </cell>
          <cell r="I516">
            <v>49200</v>
          </cell>
          <cell r="J516">
            <v>4100</v>
          </cell>
          <cell r="K516">
            <v>946.16112431634076</v>
          </cell>
          <cell r="L516">
            <v>189.23222486326816</v>
          </cell>
          <cell r="M516">
            <v>28782</v>
          </cell>
          <cell r="N516">
            <v>2398.5</v>
          </cell>
          <cell r="O516">
            <v>553.50425772505935</v>
          </cell>
          <cell r="P516">
            <v>110.70085154501187</v>
          </cell>
          <cell r="Q516">
            <v>28782</v>
          </cell>
          <cell r="R516">
            <v>2398.5</v>
          </cell>
          <cell r="S516">
            <v>553.50425772505935</v>
          </cell>
          <cell r="T516">
            <v>110.70085154501187</v>
          </cell>
          <cell r="U516" t="str">
            <v>..</v>
          </cell>
          <cell r="V516">
            <v>4.3333000000000004</v>
          </cell>
          <cell r="W516">
            <v>4.3333000000000004</v>
          </cell>
          <cell r="X516">
            <v>0</v>
          </cell>
          <cell r="Y516" t="str">
            <v>-</v>
          </cell>
          <cell r="Z516" t="str">
            <v xml:space="preserve">One month (4.333 weeks), paid as the standard parental leave: Paid at eighty-five (85) per cent of net earnings over the last 12 months. Monthly benefit cannot be lower than RON1,250 [€268.06] nor higher than RON8,500 [€1,822.83]. </v>
          </cell>
          <cell r="AA516" t="str">
            <v>Net</v>
          </cell>
          <cell r="AB516" t="str">
            <v>N</v>
          </cell>
          <cell r="AC516">
            <v>4.3333000000000004</v>
          </cell>
          <cell r="AD516">
            <v>0.85</v>
          </cell>
          <cell r="AE516">
            <v>8500</v>
          </cell>
          <cell r="AF516" t="str">
            <v>Month</v>
          </cell>
          <cell r="AG516">
            <v>1250</v>
          </cell>
          <cell r="AH516" t="str">
            <v>Month</v>
          </cell>
          <cell r="AI516" t="str">
            <v>-</v>
          </cell>
          <cell r="AJ516" t="str">
            <v>-</v>
          </cell>
          <cell r="AK516" t="str">
            <v>-</v>
          </cell>
          <cell r="AL516" t="str">
            <v>-</v>
          </cell>
          <cell r="AM516" t="str">
            <v>-</v>
          </cell>
          <cell r="AN516" t="str">
            <v>-</v>
          </cell>
          <cell r="AO516" t="str">
            <v>-</v>
          </cell>
          <cell r="AP516" t="str">
            <v>-</v>
          </cell>
          <cell r="AQ516" t="str">
            <v>-</v>
          </cell>
          <cell r="AR516" t="str">
            <v>-</v>
          </cell>
          <cell r="AS516" t="str">
            <v>-</v>
          </cell>
          <cell r="AT516" t="str">
            <v>-</v>
          </cell>
          <cell r="AU516" t="str">
            <v>-</v>
          </cell>
          <cell r="AV516" t="str">
            <v>-</v>
          </cell>
          <cell r="AW516" t="str">
            <v>-</v>
          </cell>
          <cell r="AX516" t="str">
            <v>-</v>
          </cell>
          <cell r="AY516" t="str">
            <v>-</v>
          </cell>
          <cell r="AZ516" t="str">
            <v>-</v>
          </cell>
          <cell r="BA516" t="str">
            <v>-</v>
          </cell>
          <cell r="BB516" t="str">
            <v>-</v>
          </cell>
          <cell r="BC516" t="str">
            <v>-</v>
          </cell>
          <cell r="BD516" t="str">
            <v>-</v>
          </cell>
          <cell r="BE516" t="str">
            <v>-</v>
          </cell>
          <cell r="BF516" t="str">
            <v>-</v>
          </cell>
          <cell r="BG516" t="str">
            <v>-</v>
          </cell>
          <cell r="BH516" t="str">
            <v>-</v>
          </cell>
          <cell r="BI516" t="str">
            <v>-</v>
          </cell>
          <cell r="BJ516" t="str">
            <v>-</v>
          </cell>
          <cell r="BK516" t="str">
            <v>-</v>
          </cell>
          <cell r="BL516" t="str">
            <v>-</v>
          </cell>
          <cell r="BM516">
            <v>0.49724999999999991</v>
          </cell>
          <cell r="BN516">
            <v>0.49724999999999991</v>
          </cell>
          <cell r="BO516">
            <v>0.85</v>
          </cell>
          <cell r="BP516">
            <v>0.85</v>
          </cell>
          <cell r="BQ516">
            <v>24464.699999999997</v>
          </cell>
          <cell r="BR516">
            <v>2038.7249999999997</v>
          </cell>
          <cell r="BS516">
            <v>470.47861906630038</v>
          </cell>
          <cell r="BT516">
            <v>94.095723813260079</v>
          </cell>
        </row>
        <row r="517">
          <cell r="A517" t="str">
            <v>Romania2019100 / 100</v>
          </cell>
          <cell r="B517" t="str">
            <v>Romania</v>
          </cell>
          <cell r="C517">
            <v>2019</v>
          </cell>
          <cell r="D517" t="str">
            <v>100 / 100</v>
          </cell>
          <cell r="E517">
            <v>54384</v>
          </cell>
          <cell r="F517">
            <v>4532</v>
          </cell>
          <cell r="G517">
            <v>1045.8541988784527</v>
          </cell>
          <cell r="H517">
            <v>209.17083977569055</v>
          </cell>
          <cell r="I517">
            <v>54384</v>
          </cell>
          <cell r="J517">
            <v>4532</v>
          </cell>
          <cell r="K517">
            <v>1045.8541988784527</v>
          </cell>
          <cell r="L517">
            <v>209.17083977569055</v>
          </cell>
          <cell r="M517">
            <v>31814.04</v>
          </cell>
          <cell r="N517">
            <v>2651.17</v>
          </cell>
          <cell r="O517">
            <v>611.81316779359838</v>
          </cell>
          <cell r="P517">
            <v>122.36263355871968</v>
          </cell>
          <cell r="Q517">
            <v>31814.04</v>
          </cell>
          <cell r="R517">
            <v>2651.17</v>
          </cell>
          <cell r="S517">
            <v>611.81316779359838</v>
          </cell>
          <cell r="T517">
            <v>122.36263355871968</v>
          </cell>
          <cell r="U517" t="str">
            <v>..</v>
          </cell>
          <cell r="V517">
            <v>4.3333000000000004</v>
          </cell>
          <cell r="W517">
            <v>4.3333000000000004</v>
          </cell>
          <cell r="X517">
            <v>0</v>
          </cell>
          <cell r="Y517" t="str">
            <v>-</v>
          </cell>
          <cell r="Z517" t="str">
            <v xml:space="preserve">One month (4.333 weeks), paid as the standard parental leave: Paid at eighty-five (85) per cent of net earnings over the last 12 months. Monthly benefit cannot be lower than RON1,250 [€268.06] nor higher than RON8,500 [€1,822.83]. </v>
          </cell>
          <cell r="AA517" t="str">
            <v>Net</v>
          </cell>
          <cell r="AB517" t="str">
            <v>N</v>
          </cell>
          <cell r="AC517">
            <v>4.3333000000000004</v>
          </cell>
          <cell r="AD517">
            <v>0.85</v>
          </cell>
          <cell r="AE517">
            <v>8500</v>
          </cell>
          <cell r="AF517" t="str">
            <v>Month</v>
          </cell>
          <cell r="AG517">
            <v>1250</v>
          </cell>
          <cell r="AH517" t="str">
            <v>Month</v>
          </cell>
          <cell r="AI517" t="str">
            <v>-</v>
          </cell>
          <cell r="AJ517" t="str">
            <v>-</v>
          </cell>
          <cell r="AK517" t="str">
            <v>-</v>
          </cell>
          <cell r="AL517" t="str">
            <v>-</v>
          </cell>
          <cell r="AM517" t="str">
            <v>-</v>
          </cell>
          <cell r="AN517" t="str">
            <v>-</v>
          </cell>
          <cell r="AO517" t="str">
            <v>-</v>
          </cell>
          <cell r="AP517" t="str">
            <v>-</v>
          </cell>
          <cell r="AQ517" t="str">
            <v>-</v>
          </cell>
          <cell r="AR517" t="str">
            <v>-</v>
          </cell>
          <cell r="AS517" t="str">
            <v>-</v>
          </cell>
          <cell r="AT517" t="str">
            <v>-</v>
          </cell>
          <cell r="AU517" t="str">
            <v>-</v>
          </cell>
          <cell r="AV517" t="str">
            <v>-</v>
          </cell>
          <cell r="AW517" t="str">
            <v>-</v>
          </cell>
          <cell r="AX517" t="str">
            <v>-</v>
          </cell>
          <cell r="AY517" t="str">
            <v>-</v>
          </cell>
          <cell r="AZ517" t="str">
            <v>-</v>
          </cell>
          <cell r="BA517" t="str">
            <v>-</v>
          </cell>
          <cell r="BB517" t="str">
            <v>-</v>
          </cell>
          <cell r="BC517" t="str">
            <v>-</v>
          </cell>
          <cell r="BD517" t="str">
            <v>-</v>
          </cell>
          <cell r="BE517" t="str">
            <v>-</v>
          </cell>
          <cell r="BF517" t="str">
            <v>-</v>
          </cell>
          <cell r="BG517" t="str">
            <v>-</v>
          </cell>
          <cell r="BH517" t="str">
            <v>-</v>
          </cell>
          <cell r="BI517" t="str">
            <v>-</v>
          </cell>
          <cell r="BJ517" t="str">
            <v>-</v>
          </cell>
          <cell r="BK517" t="str">
            <v>-</v>
          </cell>
          <cell r="BL517" t="str">
            <v>-</v>
          </cell>
          <cell r="BM517">
            <v>0.49724062224183579</v>
          </cell>
          <cell r="BN517">
            <v>0.49724062224183579</v>
          </cell>
          <cell r="BO517">
            <v>0.85</v>
          </cell>
          <cell r="BP517">
            <v>0.85</v>
          </cell>
          <cell r="BQ517">
            <v>27041.933999999997</v>
          </cell>
          <cell r="BR517">
            <v>2253.4944999999998</v>
          </cell>
          <cell r="BS517">
            <v>520.04119262455856</v>
          </cell>
          <cell r="BT517">
            <v>104.0082385249117</v>
          </cell>
        </row>
        <row r="518">
          <cell r="A518" t="str">
            <v>Romania2020100 / 100</v>
          </cell>
          <cell r="B518" t="str">
            <v>Romania</v>
          </cell>
          <cell r="C518">
            <v>2020</v>
          </cell>
          <cell r="D518" t="str">
            <v>100 / 100</v>
          </cell>
          <cell r="E518">
            <v>58512</v>
          </cell>
          <cell r="F518">
            <v>4876</v>
          </cell>
          <cell r="G518">
            <v>1125.2394249186532</v>
          </cell>
          <cell r="H518">
            <v>225.04788498373063</v>
          </cell>
          <cell r="I518">
            <v>58512</v>
          </cell>
          <cell r="J518">
            <v>4876</v>
          </cell>
          <cell r="K518">
            <v>1125.2394249186532</v>
          </cell>
          <cell r="L518">
            <v>225.04788498373063</v>
          </cell>
          <cell r="M518">
            <v>34228.720000000001</v>
          </cell>
          <cell r="N518">
            <v>2852.3933333333334</v>
          </cell>
          <cell r="O518">
            <v>658.24967884368334</v>
          </cell>
          <cell r="P518">
            <v>131.64993576873667</v>
          </cell>
          <cell r="Q518">
            <v>34228.720000000001</v>
          </cell>
          <cell r="R518">
            <v>2852.3933333333334</v>
          </cell>
          <cell r="S518">
            <v>658.24967884368334</v>
          </cell>
          <cell r="T518">
            <v>131.64993576873667</v>
          </cell>
          <cell r="U518" t="str">
            <v>..</v>
          </cell>
          <cell r="V518">
            <v>4.3333000000000004</v>
          </cell>
          <cell r="W518">
            <v>4.3333000000000004</v>
          </cell>
          <cell r="X518">
            <v>0</v>
          </cell>
          <cell r="Y518" t="str">
            <v>-</v>
          </cell>
          <cell r="Z518" t="str">
            <v xml:space="preserve">One month (4.333 weeks), paid as the standard parental leave: Paid at eighty-five (85) per cent of net earnings over the last 12 months. Monthly benefit cannot be lower than RON1,250 [€268.06] nor higher than RON8,500 [€1,822.83]. </v>
          </cell>
          <cell r="AA518" t="str">
            <v>Net</v>
          </cell>
          <cell r="AB518" t="str">
            <v>N</v>
          </cell>
          <cell r="AC518">
            <v>4.3333000000000004</v>
          </cell>
          <cell r="AD518">
            <v>0.85</v>
          </cell>
          <cell r="AE518">
            <v>8500</v>
          </cell>
          <cell r="AF518" t="str">
            <v>Month</v>
          </cell>
          <cell r="AG518">
            <v>1250</v>
          </cell>
          <cell r="AH518" t="str">
            <v>Month</v>
          </cell>
          <cell r="AI518" t="str">
            <v>-</v>
          </cell>
          <cell r="AJ518" t="str">
            <v>-</v>
          </cell>
          <cell r="AK518" t="str">
            <v>-</v>
          </cell>
          <cell r="AL518" t="str">
            <v>-</v>
          </cell>
          <cell r="AM518" t="str">
            <v>-</v>
          </cell>
          <cell r="AN518" t="str">
            <v>-</v>
          </cell>
          <cell r="AO518" t="str">
            <v>-</v>
          </cell>
          <cell r="AP518" t="str">
            <v>-</v>
          </cell>
          <cell r="AQ518" t="str">
            <v>-</v>
          </cell>
          <cell r="AR518" t="str">
            <v>-</v>
          </cell>
          <cell r="AS518" t="str">
            <v>-</v>
          </cell>
          <cell r="AT518" t="str">
            <v>-</v>
          </cell>
          <cell r="AU518" t="str">
            <v>-</v>
          </cell>
          <cell r="AV518" t="str">
            <v>-</v>
          </cell>
          <cell r="AW518" t="str">
            <v>-</v>
          </cell>
          <cell r="AX518" t="str">
            <v>-</v>
          </cell>
          <cell r="AY518" t="str">
            <v>-</v>
          </cell>
          <cell r="AZ518" t="str">
            <v>-</v>
          </cell>
          <cell r="BA518" t="str">
            <v>-</v>
          </cell>
          <cell r="BB518" t="str">
            <v>-</v>
          </cell>
          <cell r="BC518" t="str">
            <v>-</v>
          </cell>
          <cell r="BD518" t="str">
            <v>-</v>
          </cell>
          <cell r="BE518" t="str">
            <v>-</v>
          </cell>
          <cell r="BF518" t="str">
            <v>-</v>
          </cell>
          <cell r="BG518" t="str">
            <v>-</v>
          </cell>
          <cell r="BH518" t="str">
            <v>-</v>
          </cell>
          <cell r="BI518" t="str">
            <v>-</v>
          </cell>
          <cell r="BJ518" t="str">
            <v>-</v>
          </cell>
          <cell r="BK518" t="str">
            <v>-</v>
          </cell>
          <cell r="BL518" t="str">
            <v>-</v>
          </cell>
          <cell r="BM518">
            <v>0.4972383784522833</v>
          </cell>
          <cell r="BN518">
            <v>0.4972383784522833</v>
          </cell>
          <cell r="BO518">
            <v>0.85</v>
          </cell>
          <cell r="BP518">
            <v>0.85</v>
          </cell>
          <cell r="BQ518">
            <v>29094.412</v>
          </cell>
          <cell r="BR518">
            <v>2424.5343333333335</v>
          </cell>
          <cell r="BS518">
            <v>559.51222701713084</v>
          </cell>
          <cell r="BT518">
            <v>111.90244540342617</v>
          </cell>
        </row>
        <row r="519">
          <cell r="A519" t="str">
            <v>Romania2021100 / 100</v>
          </cell>
          <cell r="B519" t="str">
            <v>Romania</v>
          </cell>
          <cell r="C519">
            <v>2021</v>
          </cell>
          <cell r="D519" t="str">
            <v>100 / 100</v>
          </cell>
          <cell r="E519">
            <v>62952</v>
          </cell>
          <cell r="F519">
            <v>5246</v>
          </cell>
          <cell r="G519">
            <v>1210.6246971130547</v>
          </cell>
          <cell r="H519">
            <v>242.12493942261094</v>
          </cell>
          <cell r="I519">
            <v>62952</v>
          </cell>
          <cell r="J519">
            <v>5246</v>
          </cell>
          <cell r="K519">
            <v>1210.6246971130547</v>
          </cell>
          <cell r="L519">
            <v>242.12493942261094</v>
          </cell>
          <cell r="M519">
            <v>36826.120000000003</v>
          </cell>
          <cell r="N519">
            <v>3068.8433333333337</v>
          </cell>
          <cell r="O519">
            <v>708.20006307740834</v>
          </cell>
          <cell r="P519">
            <v>141.64001261548168</v>
          </cell>
          <cell r="Q519">
            <v>36826.120000000003</v>
          </cell>
          <cell r="R519">
            <v>3068.8433333333337</v>
          </cell>
          <cell r="S519">
            <v>708.20006307740834</v>
          </cell>
          <cell r="T519">
            <v>141.64001261548168</v>
          </cell>
          <cell r="U519" t="str">
            <v>..</v>
          </cell>
          <cell r="V519">
            <v>4.3333000000000004</v>
          </cell>
          <cell r="W519">
            <v>4.3333000000000004</v>
          </cell>
          <cell r="X519">
            <v>0</v>
          </cell>
          <cell r="Y519" t="str">
            <v>-</v>
          </cell>
          <cell r="Z519" t="str">
            <v xml:space="preserve">One month (4.333 weeks), paid as the standard parental leave: Paid at eighty-five (85) per cent of net earnings over the last 12 months. Monthly benefit cannot be lower than RON1,250 [€268.06] nor higher than RON8,500 [€1,822.83]. </v>
          </cell>
          <cell r="AA519" t="str">
            <v>Net</v>
          </cell>
          <cell r="AB519" t="str">
            <v>N</v>
          </cell>
          <cell r="AC519">
            <v>4.3333000000000004</v>
          </cell>
          <cell r="AD519">
            <v>0.85</v>
          </cell>
          <cell r="AE519">
            <v>8500</v>
          </cell>
          <cell r="AF519" t="str">
            <v>Month</v>
          </cell>
          <cell r="AG519">
            <v>1250</v>
          </cell>
          <cell r="AH519" t="str">
            <v>Month</v>
          </cell>
          <cell r="AI519" t="str">
            <v>-</v>
          </cell>
          <cell r="AJ519" t="str">
            <v>-</v>
          </cell>
          <cell r="AK519" t="str">
            <v>-</v>
          </cell>
          <cell r="AL519" t="str">
            <v>-</v>
          </cell>
          <cell r="AM519" t="str">
            <v>-</v>
          </cell>
          <cell r="AN519" t="str">
            <v>-</v>
          </cell>
          <cell r="AO519" t="str">
            <v>-</v>
          </cell>
          <cell r="AP519" t="str">
            <v>-</v>
          </cell>
          <cell r="AQ519" t="str">
            <v>-</v>
          </cell>
          <cell r="AR519" t="str">
            <v>-</v>
          </cell>
          <cell r="AS519" t="str">
            <v>-</v>
          </cell>
          <cell r="AT519" t="str">
            <v>-</v>
          </cell>
          <cell r="AU519" t="str">
            <v>-</v>
          </cell>
          <cell r="AV519" t="str">
            <v>-</v>
          </cell>
          <cell r="AW519" t="str">
            <v>-</v>
          </cell>
          <cell r="AX519" t="str">
            <v>-</v>
          </cell>
          <cell r="AY519" t="str">
            <v>-</v>
          </cell>
          <cell r="AZ519" t="str">
            <v>-</v>
          </cell>
          <cell r="BA519" t="str">
            <v>-</v>
          </cell>
          <cell r="BB519" t="str">
            <v>-</v>
          </cell>
          <cell r="BC519" t="str">
            <v>-</v>
          </cell>
          <cell r="BD519" t="str">
            <v>-</v>
          </cell>
          <cell r="BE519" t="str">
            <v>-</v>
          </cell>
          <cell r="BF519" t="str">
            <v>-</v>
          </cell>
          <cell r="BG519" t="str">
            <v>-</v>
          </cell>
          <cell r="BH519" t="str">
            <v>-</v>
          </cell>
          <cell r="BI519" t="str">
            <v>-</v>
          </cell>
          <cell r="BJ519" t="str">
            <v>-</v>
          </cell>
          <cell r="BK519" t="str">
            <v>-</v>
          </cell>
          <cell r="BL519" t="str">
            <v>-</v>
          </cell>
          <cell r="BM519">
            <v>0.49723919811920197</v>
          </cell>
          <cell r="BN519">
            <v>0.49723919811920197</v>
          </cell>
          <cell r="BO519">
            <v>0.85</v>
          </cell>
          <cell r="BP519">
            <v>0.85</v>
          </cell>
          <cell r="BQ519">
            <v>31302.202000000001</v>
          </cell>
          <cell r="BR519">
            <v>2608.5168333333336</v>
          </cell>
          <cell r="BS519">
            <v>601.97005361579704</v>
          </cell>
          <cell r="BT519">
            <v>120.39401072315941</v>
          </cell>
        </row>
        <row r="520">
          <cell r="A520" t="str">
            <v>Romania2022100 / 100</v>
          </cell>
          <cell r="B520" t="str">
            <v>Romania</v>
          </cell>
          <cell r="C520">
            <v>2022</v>
          </cell>
          <cell r="D520" t="str">
            <v>100 / 100</v>
          </cell>
          <cell r="E520">
            <v>71004</v>
          </cell>
          <cell r="F520">
            <v>5917</v>
          </cell>
          <cell r="G520">
            <v>1365.4720420926315</v>
          </cell>
          <cell r="H520">
            <v>273.09440841852631</v>
          </cell>
          <cell r="I520">
            <v>71004</v>
          </cell>
          <cell r="J520">
            <v>5917</v>
          </cell>
          <cell r="K520">
            <v>1365.4720420926315</v>
          </cell>
          <cell r="L520">
            <v>273.09440841852631</v>
          </cell>
          <cell r="M520">
            <v>41536.74</v>
          </cell>
          <cell r="N520">
            <v>3461.395</v>
          </cell>
          <cell r="O520">
            <v>798.78960607389286</v>
          </cell>
          <cell r="P520">
            <v>159.75792121477858</v>
          </cell>
          <cell r="Q520">
            <v>41536.74</v>
          </cell>
          <cell r="R520">
            <v>3461.395</v>
          </cell>
          <cell r="S520">
            <v>798.78960607389286</v>
          </cell>
          <cell r="T520">
            <v>159.75792121477858</v>
          </cell>
          <cell r="U520" t="str">
            <v>..</v>
          </cell>
          <cell r="V520">
            <v>4.3333000000000004</v>
          </cell>
          <cell r="W520">
            <v>4.3333000000000004</v>
          </cell>
          <cell r="X520">
            <v>0</v>
          </cell>
          <cell r="Y520" t="str">
            <v>-</v>
          </cell>
          <cell r="Z520" t="str">
            <v xml:space="preserve">One month (4.333 weeks), paid as the standard parental leave: Paid at eighty-five (85) per cent of net earnings over the last 12 months. Monthly benefit cannot be lower than RON1,314 [€265.66] nor higher than RON8,500 [€1,718.49]. </v>
          </cell>
          <cell r="AA520" t="str">
            <v>Net</v>
          </cell>
          <cell r="AB520" t="str">
            <v>N</v>
          </cell>
          <cell r="AC520">
            <v>4.3333000000000004</v>
          </cell>
          <cell r="AD520">
            <v>0.85</v>
          </cell>
          <cell r="AE520">
            <v>8500</v>
          </cell>
          <cell r="AF520" t="str">
            <v>Month</v>
          </cell>
          <cell r="AG520">
            <v>1314</v>
          </cell>
          <cell r="AH520" t="str">
            <v>Month</v>
          </cell>
          <cell r="AI520" t="str">
            <v>-</v>
          </cell>
          <cell r="AJ520" t="str">
            <v>-</v>
          </cell>
          <cell r="AK520" t="str">
            <v>-</v>
          </cell>
          <cell r="AL520" t="str">
            <v>-</v>
          </cell>
          <cell r="AM520" t="str">
            <v>-</v>
          </cell>
          <cell r="AN520" t="str">
            <v>-</v>
          </cell>
          <cell r="AO520" t="str">
            <v>-</v>
          </cell>
          <cell r="AP520" t="str">
            <v>-</v>
          </cell>
          <cell r="AQ520" t="str">
            <v>-</v>
          </cell>
          <cell r="AR520" t="str">
            <v>-</v>
          </cell>
          <cell r="AS520" t="str">
            <v>-</v>
          </cell>
          <cell r="AT520" t="str">
            <v>-</v>
          </cell>
          <cell r="AU520" t="str">
            <v>-</v>
          </cell>
          <cell r="AV520" t="str">
            <v>-</v>
          </cell>
          <cell r="AW520" t="str">
            <v>-</v>
          </cell>
          <cell r="AX520" t="str">
            <v>-</v>
          </cell>
          <cell r="AY520" t="str">
            <v>-</v>
          </cell>
          <cell r="AZ520" t="str">
            <v>-</v>
          </cell>
          <cell r="BA520" t="str">
            <v>-</v>
          </cell>
          <cell r="BB520" t="str">
            <v>-</v>
          </cell>
          <cell r="BC520" t="str">
            <v>-</v>
          </cell>
          <cell r="BD520" t="str">
            <v>-</v>
          </cell>
          <cell r="BE520" t="str">
            <v>-</v>
          </cell>
          <cell r="BF520" t="str">
            <v>-</v>
          </cell>
          <cell r="BG520" t="str">
            <v>-</v>
          </cell>
          <cell r="BH520" t="str">
            <v>-</v>
          </cell>
          <cell r="BI520" t="str">
            <v>-</v>
          </cell>
          <cell r="BJ520" t="str">
            <v>-</v>
          </cell>
          <cell r="BK520" t="str">
            <v>-</v>
          </cell>
          <cell r="BL520" t="str">
            <v>-</v>
          </cell>
          <cell r="BM520">
            <v>0.49724281730606729</v>
          </cell>
          <cell r="BN520">
            <v>0.49724281730606729</v>
          </cell>
          <cell r="BO520">
            <v>0.85</v>
          </cell>
          <cell r="BP520">
            <v>0.85</v>
          </cell>
          <cell r="BQ520">
            <v>35306.228999999999</v>
          </cell>
          <cell r="BR520">
            <v>2942.1857500000001</v>
          </cell>
          <cell r="BS520">
            <v>678.97116516280892</v>
          </cell>
          <cell r="BT520">
            <v>135.79423303256181</v>
          </cell>
        </row>
        <row r="521">
          <cell r="A521" t="str">
            <v>Romania2023100 / 100</v>
          </cell>
          <cell r="B521" t="str">
            <v>Romania</v>
          </cell>
          <cell r="C521">
            <v>2023</v>
          </cell>
          <cell r="D521" t="str">
            <v>100 / 100</v>
          </cell>
          <cell r="E521">
            <v>78258.441000000006</v>
          </cell>
          <cell r="F521">
            <v>6521.5367500000002</v>
          </cell>
          <cell r="G521">
            <v>1504.9815960122769</v>
          </cell>
          <cell r="H521">
            <v>300.99631920245537</v>
          </cell>
          <cell r="I521">
            <v>78258.441000000006</v>
          </cell>
          <cell r="J521">
            <v>6521.5367500000002</v>
          </cell>
          <cell r="K521">
            <v>1504.9815960122769</v>
          </cell>
          <cell r="L521">
            <v>300.99631920245537</v>
          </cell>
          <cell r="M521">
            <v>48276.54</v>
          </cell>
          <cell r="N521">
            <v>4023.0450000000001</v>
          </cell>
          <cell r="O521">
            <v>928.40214155493493</v>
          </cell>
          <cell r="P521">
            <v>185.680428310987</v>
          </cell>
          <cell r="Q521">
            <v>48276.54</v>
          </cell>
          <cell r="R521">
            <v>4023.0450000000001</v>
          </cell>
          <cell r="S521">
            <v>928.40214155493493</v>
          </cell>
          <cell r="T521">
            <v>185.680428310987</v>
          </cell>
          <cell r="U521" t="str">
            <v>..</v>
          </cell>
          <cell r="V521">
            <v>8.6660000000000004</v>
          </cell>
          <cell r="W521">
            <v>8.6660000000000004</v>
          </cell>
          <cell r="X521">
            <v>0</v>
          </cell>
          <cell r="Y521" t="str">
            <v>-</v>
          </cell>
          <cell r="Z521" t="str">
            <v xml:space="preserve">Two months paid at eighty-five (85) per cent of net earnings over the last 12 months. Monthly benefit cannot be lower than RON1,495 [€302] nor higher than RON8,500 [€1,717.03]. </v>
          </cell>
          <cell r="AA521" t="str">
            <v>Net</v>
          </cell>
          <cell r="AB521" t="str">
            <v>N</v>
          </cell>
          <cell r="AC521">
            <v>8.6660000000000004</v>
          </cell>
          <cell r="AD521">
            <v>0.85</v>
          </cell>
          <cell r="AE521">
            <v>8500</v>
          </cell>
          <cell r="AF521" t="str">
            <v>Month</v>
          </cell>
          <cell r="AG521">
            <v>1495</v>
          </cell>
          <cell r="AH521" t="str">
            <v>Month</v>
          </cell>
          <cell r="AI521" t="str">
            <v>-</v>
          </cell>
          <cell r="AJ521" t="str">
            <v>-</v>
          </cell>
          <cell r="AK521" t="str">
            <v>-</v>
          </cell>
          <cell r="AL521" t="str">
            <v>-</v>
          </cell>
          <cell r="AM521" t="str">
            <v>-</v>
          </cell>
          <cell r="AN521" t="str">
            <v>-</v>
          </cell>
          <cell r="AO521" t="str">
            <v>-</v>
          </cell>
          <cell r="AP521" t="str">
            <v>-</v>
          </cell>
          <cell r="AQ521" t="str">
            <v>-</v>
          </cell>
          <cell r="AR521" t="str">
            <v>-</v>
          </cell>
          <cell r="AS521" t="str">
            <v>-</v>
          </cell>
          <cell r="AT521" t="str">
            <v>-</v>
          </cell>
          <cell r="AU521" t="str">
            <v>-</v>
          </cell>
          <cell r="AV521" t="str">
            <v>-</v>
          </cell>
          <cell r="AW521" t="str">
            <v>-</v>
          </cell>
          <cell r="AX521" t="str">
            <v>-</v>
          </cell>
          <cell r="AY521" t="str">
            <v>-</v>
          </cell>
          <cell r="AZ521" t="str">
            <v>-</v>
          </cell>
          <cell r="BA521" t="str">
            <v>-</v>
          </cell>
          <cell r="BB521" t="str">
            <v>-</v>
          </cell>
          <cell r="BC521" t="str">
            <v>-</v>
          </cell>
          <cell r="BD521" t="str">
            <v>-</v>
          </cell>
          <cell r="BE521" t="str">
            <v>-</v>
          </cell>
          <cell r="BF521" t="str">
            <v>-</v>
          </cell>
          <cell r="BG521" t="str">
            <v>-</v>
          </cell>
          <cell r="BH521" t="str">
            <v>-</v>
          </cell>
          <cell r="BI521" t="str">
            <v>-</v>
          </cell>
          <cell r="BJ521" t="str">
            <v>-</v>
          </cell>
          <cell r="BK521" t="str">
            <v>-</v>
          </cell>
          <cell r="BL521" t="str">
            <v>-</v>
          </cell>
          <cell r="BM521">
            <v>0.52435313655174909</v>
          </cell>
          <cell r="BN521">
            <v>0.52435313655174909</v>
          </cell>
          <cell r="BO521">
            <v>0.85</v>
          </cell>
          <cell r="BP521">
            <v>0.85</v>
          </cell>
          <cell r="BQ521">
            <v>41035.059000000001</v>
          </cell>
          <cell r="BR521">
            <v>3419.5882500000002</v>
          </cell>
          <cell r="BS521">
            <v>789.14182032169469</v>
          </cell>
          <cell r="BT521">
            <v>157.82836406433893</v>
          </cell>
        </row>
        <row r="522">
          <cell r="A522" t="str">
            <v>Romania2024100 / 100</v>
          </cell>
          <cell r="B522" t="str">
            <v>Romania</v>
          </cell>
          <cell r="C522">
            <v>2024</v>
          </cell>
          <cell r="D522" t="str">
            <v>100 / 100</v>
          </cell>
          <cell r="E522">
            <v>94625.9</v>
          </cell>
          <cell r="F522">
            <v>7885.4916666666659</v>
          </cell>
          <cell r="G522">
            <v>1819.742844175724</v>
          </cell>
          <cell r="H522">
            <v>363.94856883514478</v>
          </cell>
          <cell r="I522">
            <v>94625.9</v>
          </cell>
          <cell r="J522">
            <v>7885.4916666666659</v>
          </cell>
          <cell r="K522">
            <v>1819.742844175724</v>
          </cell>
          <cell r="L522">
            <v>363.94856883514478</v>
          </cell>
          <cell r="M522">
            <v>58371.3</v>
          </cell>
          <cell r="N522">
            <v>4864.2750000000005</v>
          </cell>
          <cell r="O522">
            <v>1122.5336348741143</v>
          </cell>
          <cell r="P522">
            <v>224.50672697482287</v>
          </cell>
          <cell r="Q522">
            <v>58371.3</v>
          </cell>
          <cell r="R522">
            <v>4864.2750000000005</v>
          </cell>
          <cell r="S522">
            <v>1122.5336348741143</v>
          </cell>
          <cell r="T522">
            <v>224.50672697482287</v>
          </cell>
          <cell r="U522" t="str">
            <v>..</v>
          </cell>
          <cell r="V522">
            <v>8.6660000000000004</v>
          </cell>
          <cell r="W522">
            <v>8.6660000000000004</v>
          </cell>
          <cell r="X522">
            <v>0</v>
          </cell>
          <cell r="Y522" t="str">
            <v>-</v>
          </cell>
          <cell r="Z522" t="str">
            <v xml:space="preserve">Two months paid at eighty-five (85) per cent of net earnings over the last 12 months. Monthly benefit cannot be lower than RON1,651  nor higher than RON8,500. </v>
          </cell>
          <cell r="AA522" t="str">
            <v>Net</v>
          </cell>
          <cell r="AB522" t="str">
            <v>N</v>
          </cell>
          <cell r="AC522">
            <v>8.6660000000000004</v>
          </cell>
          <cell r="AD522">
            <v>0.85</v>
          </cell>
          <cell r="AE522">
            <v>8500</v>
          </cell>
          <cell r="AF522" t="str">
            <v>Month</v>
          </cell>
          <cell r="AG522">
            <v>1651</v>
          </cell>
          <cell r="AH522" t="str">
            <v>Month</v>
          </cell>
          <cell r="AI522" t="str">
            <v>-</v>
          </cell>
          <cell r="AJ522" t="str">
            <v>-</v>
          </cell>
          <cell r="AK522" t="str">
            <v>-</v>
          </cell>
          <cell r="AL522" t="str">
            <v>-</v>
          </cell>
          <cell r="AM522" t="str">
            <v>-</v>
          </cell>
          <cell r="AN522" t="str">
            <v>-</v>
          </cell>
          <cell r="AO522" t="str">
            <v>-</v>
          </cell>
          <cell r="AP522" t="str">
            <v>-</v>
          </cell>
          <cell r="AQ522" t="str">
            <v>-</v>
          </cell>
          <cell r="AR522" t="str">
            <v>-</v>
          </cell>
          <cell r="AS522" t="str">
            <v>-</v>
          </cell>
          <cell r="AT522" t="str">
            <v>-</v>
          </cell>
          <cell r="AU522" t="str">
            <v>-</v>
          </cell>
          <cell r="AV522" t="str">
            <v>-</v>
          </cell>
          <cell r="AW522" t="str">
            <v>-</v>
          </cell>
          <cell r="AX522" t="str">
            <v>-</v>
          </cell>
          <cell r="AY522" t="str">
            <v>-</v>
          </cell>
          <cell r="AZ522" t="str">
            <v>-</v>
          </cell>
          <cell r="BA522" t="str">
            <v>-</v>
          </cell>
          <cell r="BB522" t="str">
            <v>-</v>
          </cell>
          <cell r="BC522" t="str">
            <v>-</v>
          </cell>
          <cell r="BD522" t="str">
            <v>-</v>
          </cell>
          <cell r="BE522" t="str">
            <v>-</v>
          </cell>
          <cell r="BF522" t="str">
            <v>-</v>
          </cell>
          <cell r="BG522" t="str">
            <v>-</v>
          </cell>
          <cell r="BH522" t="str">
            <v>-</v>
          </cell>
          <cell r="BI522" t="str">
            <v>-</v>
          </cell>
          <cell r="BJ522" t="str">
            <v>-</v>
          </cell>
          <cell r="BK522" t="str">
            <v>-</v>
          </cell>
          <cell r="BL522" t="str">
            <v>-</v>
          </cell>
          <cell r="BM522">
            <v>0.5243342995945085</v>
          </cell>
          <cell r="BN522">
            <v>0.5243342995945085</v>
          </cell>
          <cell r="BO522">
            <v>0.85</v>
          </cell>
          <cell r="BP522">
            <v>0.85</v>
          </cell>
          <cell r="BQ522">
            <v>49615.604999999996</v>
          </cell>
          <cell r="BR522">
            <v>4134.63375</v>
          </cell>
          <cell r="BS522">
            <v>954.15358964299708</v>
          </cell>
          <cell r="BT522">
            <v>190.8307179285994</v>
          </cell>
        </row>
        <row r="523">
          <cell r="A523" t="str">
            <v>Romania2025100 / 100</v>
          </cell>
          <cell r="B523" t="str">
            <v>Romania</v>
          </cell>
          <cell r="C523">
            <v>2025</v>
          </cell>
          <cell r="D523" t="str">
            <v>100 / 100</v>
          </cell>
          <cell r="E523">
            <v>94625.9</v>
          </cell>
          <cell r="F523">
            <v>7885.4916666666659</v>
          </cell>
          <cell r="G523">
            <v>1819.742844175724</v>
          </cell>
          <cell r="H523">
            <v>363.94856883514478</v>
          </cell>
          <cell r="I523">
            <v>94625.9</v>
          </cell>
          <cell r="J523">
            <v>7885.4916666666659</v>
          </cell>
          <cell r="K523">
            <v>1819.742844175724</v>
          </cell>
          <cell r="L523">
            <v>363.94856883514478</v>
          </cell>
          <cell r="M523">
            <v>58371.3</v>
          </cell>
          <cell r="N523">
            <v>4864.2750000000005</v>
          </cell>
          <cell r="O523">
            <v>1122.5336348741143</v>
          </cell>
          <cell r="P523">
            <v>224.50672697482287</v>
          </cell>
          <cell r="Q523">
            <v>58371.3</v>
          </cell>
          <cell r="R523">
            <v>4864.2750000000005</v>
          </cell>
          <cell r="S523">
            <v>1122.5336348741143</v>
          </cell>
          <cell r="T523">
            <v>224.50672697482287</v>
          </cell>
          <cell r="U523" t="str">
            <v>..</v>
          </cell>
          <cell r="V523">
            <v>8.6660000000000004</v>
          </cell>
          <cell r="W523">
            <v>8.6660000000000004</v>
          </cell>
          <cell r="X523">
            <v>0</v>
          </cell>
          <cell r="Y523" t="str">
            <v>-</v>
          </cell>
          <cell r="Z523" t="str">
            <v xml:space="preserve">Two months paid at eighty-five (85) per cent of net earnings over the last 12 months. Monthly benefit cannot be lower than RON1,651  nor higher than RON8,500. </v>
          </cell>
          <cell r="AA523" t="str">
            <v>Net</v>
          </cell>
          <cell r="AB523" t="str">
            <v>N</v>
          </cell>
          <cell r="AC523">
            <v>8.6660000000000004</v>
          </cell>
          <cell r="AD523">
            <v>0.85</v>
          </cell>
          <cell r="AE523">
            <v>8500</v>
          </cell>
          <cell r="AF523" t="str">
            <v>Month</v>
          </cell>
          <cell r="AG523">
            <v>1651</v>
          </cell>
          <cell r="AH523" t="str">
            <v>Month</v>
          </cell>
          <cell r="AI523" t="str">
            <v>-</v>
          </cell>
          <cell r="AJ523" t="str">
            <v>-</v>
          </cell>
          <cell r="AK523" t="str">
            <v>-</v>
          </cell>
          <cell r="AL523" t="str">
            <v>-</v>
          </cell>
          <cell r="AM523" t="str">
            <v>-</v>
          </cell>
          <cell r="AN523" t="str">
            <v>-</v>
          </cell>
          <cell r="AO523" t="str">
            <v>-</v>
          </cell>
          <cell r="AP523" t="str">
            <v>-</v>
          </cell>
          <cell r="AQ523" t="str">
            <v>-</v>
          </cell>
          <cell r="AR523" t="str">
            <v>-</v>
          </cell>
          <cell r="AS523" t="str">
            <v>-</v>
          </cell>
          <cell r="AT523" t="str">
            <v>-</v>
          </cell>
          <cell r="AU523" t="str">
            <v>-</v>
          </cell>
          <cell r="AV523" t="str">
            <v>-</v>
          </cell>
          <cell r="AW523" t="str">
            <v>-</v>
          </cell>
          <cell r="AX523" t="str">
            <v>-</v>
          </cell>
          <cell r="AY523" t="str">
            <v>-</v>
          </cell>
          <cell r="AZ523" t="str">
            <v>-</v>
          </cell>
          <cell r="BA523" t="str">
            <v>-</v>
          </cell>
          <cell r="BB523" t="str">
            <v>-</v>
          </cell>
          <cell r="BC523" t="str">
            <v>-</v>
          </cell>
          <cell r="BD523" t="str">
            <v>-</v>
          </cell>
          <cell r="BE523" t="str">
            <v>-</v>
          </cell>
          <cell r="BF523" t="str">
            <v>-</v>
          </cell>
          <cell r="BG523" t="str">
            <v>-</v>
          </cell>
          <cell r="BH523" t="str">
            <v>-</v>
          </cell>
          <cell r="BI523" t="str">
            <v>-</v>
          </cell>
          <cell r="BJ523" t="str">
            <v>-</v>
          </cell>
          <cell r="BK523" t="str">
            <v>-</v>
          </cell>
          <cell r="BL523" t="str">
            <v>-</v>
          </cell>
          <cell r="BM523">
            <v>0.5243342995945085</v>
          </cell>
          <cell r="BN523">
            <v>0.5243342995945085</v>
          </cell>
          <cell r="BO523">
            <v>0.85</v>
          </cell>
          <cell r="BP523">
            <v>0.85</v>
          </cell>
          <cell r="BQ523">
            <v>49615.604999999996</v>
          </cell>
          <cell r="BR523">
            <v>4134.63375</v>
          </cell>
          <cell r="BS523">
            <v>954.15358964299708</v>
          </cell>
          <cell r="BT523">
            <v>190.8307179285994</v>
          </cell>
        </row>
      </sheetData>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6"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customProperty" Target="../customProperty14.bin"/><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K68"/>
  <sheetViews>
    <sheetView showGridLines="0" tabSelected="1" zoomScaleNormal="100" workbookViewId="0">
      <selection sqref="A1:K2"/>
    </sheetView>
  </sheetViews>
  <sheetFormatPr defaultRowHeight="12.5"/>
  <cols>
    <col min="1" max="1" width="10.7265625" customWidth="1"/>
    <col min="2" max="2" width="3.81640625" customWidth="1"/>
    <col min="3" max="11" width="11.453125" customWidth="1"/>
  </cols>
  <sheetData>
    <row r="1" spans="1:11" ht="12.75" customHeight="1">
      <c r="A1" s="131" t="s">
        <v>68</v>
      </c>
      <c r="B1" s="131"/>
      <c r="C1" s="131"/>
      <c r="D1" s="131"/>
      <c r="E1" s="131"/>
      <c r="F1" s="131"/>
      <c r="G1" s="131"/>
      <c r="H1" s="131"/>
      <c r="I1" s="131"/>
      <c r="J1" s="131"/>
      <c r="K1" s="131"/>
    </row>
    <row r="2" spans="1:11">
      <c r="A2" s="131"/>
      <c r="B2" s="131"/>
      <c r="C2" s="131"/>
      <c r="D2" s="131"/>
      <c r="E2" s="131"/>
      <c r="F2" s="131"/>
      <c r="G2" s="131"/>
      <c r="H2" s="131"/>
      <c r="I2" s="131"/>
      <c r="J2" s="131"/>
      <c r="K2" s="131"/>
    </row>
    <row r="3" spans="1:11" ht="12.75" customHeight="1">
      <c r="A3" s="132" t="s">
        <v>91</v>
      </c>
      <c r="B3" s="132"/>
      <c r="C3" s="132"/>
      <c r="D3" s="132"/>
      <c r="E3" s="132"/>
      <c r="F3" s="132"/>
      <c r="G3" s="132"/>
      <c r="H3" s="132"/>
      <c r="I3" s="132"/>
      <c r="J3" s="132"/>
      <c r="K3" s="132"/>
    </row>
    <row r="4" spans="1:11" ht="12.75" customHeight="1">
      <c r="A4" s="132"/>
      <c r="B4" s="132"/>
      <c r="C4" s="132"/>
      <c r="D4" s="132"/>
      <c r="E4" s="132"/>
      <c r="F4" s="132"/>
      <c r="G4" s="132"/>
      <c r="H4" s="132"/>
      <c r="I4" s="132"/>
      <c r="J4" s="132"/>
      <c r="K4" s="132"/>
    </row>
    <row r="5" spans="1:11" ht="13">
      <c r="A5" s="4"/>
      <c r="B5" s="4"/>
      <c r="C5" s="129"/>
      <c r="D5" s="129"/>
      <c r="E5" s="129"/>
      <c r="F5" s="130"/>
      <c r="G5" s="130"/>
      <c r="H5" s="130"/>
      <c r="I5" s="130"/>
      <c r="J5" s="130"/>
      <c r="K5" s="130"/>
    </row>
    <row r="6" spans="1:11" ht="13.5" customHeight="1">
      <c r="A6" s="1"/>
      <c r="B6" s="1"/>
      <c r="C6" s="134" t="s">
        <v>45</v>
      </c>
      <c r="D6" s="135"/>
      <c r="E6" s="136"/>
      <c r="F6" s="134" t="s">
        <v>73</v>
      </c>
      <c r="G6" s="135"/>
      <c r="H6" s="136"/>
      <c r="I6" s="134" t="s">
        <v>54</v>
      </c>
      <c r="J6" s="135"/>
      <c r="K6" s="135"/>
    </row>
    <row r="7" spans="1:11" ht="13.5" customHeight="1">
      <c r="A7" s="1"/>
      <c r="B7" s="1"/>
      <c r="C7" s="27"/>
      <c r="D7" s="28"/>
      <c r="E7" s="29"/>
      <c r="F7" s="134"/>
      <c r="G7" s="135"/>
      <c r="H7" s="136"/>
      <c r="I7" s="27"/>
      <c r="J7" s="28"/>
      <c r="K7" s="28"/>
    </row>
    <row r="8" spans="1:11" ht="13.5" customHeight="1">
      <c r="A8" s="1"/>
      <c r="B8" s="1"/>
      <c r="C8" s="140" t="s">
        <v>70</v>
      </c>
      <c r="D8" s="139" t="s">
        <v>69</v>
      </c>
      <c r="E8" s="138" t="s">
        <v>71</v>
      </c>
      <c r="F8" s="140" t="s">
        <v>70</v>
      </c>
      <c r="G8" s="139" t="s">
        <v>69</v>
      </c>
      <c r="H8" s="138" t="s">
        <v>71</v>
      </c>
      <c r="I8" s="140" t="s">
        <v>70</v>
      </c>
      <c r="J8" s="139" t="s">
        <v>69</v>
      </c>
      <c r="K8" s="139" t="s">
        <v>71</v>
      </c>
    </row>
    <row r="9" spans="1:11">
      <c r="A9" s="1"/>
      <c r="B9" s="1"/>
      <c r="C9" s="140"/>
      <c r="D9" s="139"/>
      <c r="E9" s="138"/>
      <c r="F9" s="140"/>
      <c r="G9" s="139"/>
      <c r="H9" s="138"/>
      <c r="I9" s="140"/>
      <c r="J9" s="139"/>
      <c r="K9" s="139"/>
    </row>
    <row r="10" spans="1:11">
      <c r="A10" s="1"/>
      <c r="B10" s="1"/>
      <c r="C10" s="140"/>
      <c r="D10" s="139"/>
      <c r="E10" s="138"/>
      <c r="F10" s="140"/>
      <c r="G10" s="139"/>
      <c r="H10" s="138"/>
      <c r="I10" s="140"/>
      <c r="J10" s="139"/>
      <c r="K10" s="139"/>
    </row>
    <row r="11" spans="1:11">
      <c r="A11" s="2"/>
      <c r="B11" s="2"/>
      <c r="C11" s="30" t="s">
        <v>40</v>
      </c>
      <c r="D11" s="31" t="s">
        <v>41</v>
      </c>
      <c r="E11" s="32" t="s">
        <v>42</v>
      </c>
      <c r="F11" s="31" t="s">
        <v>43</v>
      </c>
      <c r="G11" s="31" t="s">
        <v>62</v>
      </c>
      <c r="H11" s="32" t="s">
        <v>44</v>
      </c>
      <c r="I11" s="31" t="s">
        <v>63</v>
      </c>
      <c r="J11" s="31" t="s">
        <v>64</v>
      </c>
      <c r="K11" s="31" t="s">
        <v>65</v>
      </c>
    </row>
    <row r="12" spans="1:11">
      <c r="A12" s="26" t="s">
        <v>0</v>
      </c>
      <c r="B12" s="26"/>
      <c r="C12" s="33">
        <v>2</v>
      </c>
      <c r="D12" s="34">
        <v>45.885536389386672</v>
      </c>
      <c r="E12" s="46">
        <v>0.91771072778773344</v>
      </c>
      <c r="F12" s="33">
        <v>18</v>
      </c>
      <c r="G12" s="34">
        <v>45.885536389386672</v>
      </c>
      <c r="H12" s="35">
        <v>8.2593965500896012</v>
      </c>
      <c r="I12" s="36">
        <v>20</v>
      </c>
      <c r="J12" s="36">
        <v>45.885536389386672</v>
      </c>
      <c r="K12" s="36">
        <v>9.1771072778773348</v>
      </c>
    </row>
    <row r="13" spans="1:11">
      <c r="A13" s="3" t="s">
        <v>1</v>
      </c>
      <c r="B13" s="3"/>
      <c r="C13" s="37">
        <v>16</v>
      </c>
      <c r="D13" s="38">
        <v>100</v>
      </c>
      <c r="E13" s="39">
        <v>16</v>
      </c>
      <c r="F13" s="37">
        <v>44</v>
      </c>
      <c r="G13" s="38">
        <v>69.36840214365705</v>
      </c>
      <c r="H13" s="39">
        <v>30.5220969432091</v>
      </c>
      <c r="I13" s="40">
        <v>60</v>
      </c>
      <c r="J13" s="40">
        <v>77.536828238681849</v>
      </c>
      <c r="K13" s="40">
        <v>46.522096943209114</v>
      </c>
    </row>
    <row r="14" spans="1:11">
      <c r="A14" s="26" t="s">
        <v>2</v>
      </c>
      <c r="B14" s="26"/>
      <c r="C14" s="33">
        <v>15</v>
      </c>
      <c r="D14" s="34">
        <v>77.02204000000016</v>
      </c>
      <c r="E14" s="46">
        <v>11.553306000000024</v>
      </c>
      <c r="F14" s="33">
        <v>17.333333333333332</v>
      </c>
      <c r="G14" s="34">
        <v>20.475205864466396</v>
      </c>
      <c r="H14" s="35">
        <v>3.5490356831741749</v>
      </c>
      <c r="I14" s="36">
        <v>32.333333333333329</v>
      </c>
      <c r="J14" s="36">
        <v>46.708273246930524</v>
      </c>
      <c r="K14" s="36">
        <v>15.102341683174201</v>
      </c>
    </row>
    <row r="15" spans="1:11">
      <c r="A15" s="3" t="s">
        <v>3</v>
      </c>
      <c r="B15" s="3"/>
      <c r="C15" s="37">
        <v>16</v>
      </c>
      <c r="D15" s="38">
        <v>36.088888154515907</v>
      </c>
      <c r="E15" s="39">
        <v>5.7742221047225453</v>
      </c>
      <c r="F15" s="37">
        <v>35</v>
      </c>
      <c r="G15" s="38">
        <v>40.900739908451364</v>
      </c>
      <c r="H15" s="39">
        <v>14.315258967957977</v>
      </c>
      <c r="I15" s="40">
        <v>51</v>
      </c>
      <c r="J15" s="40">
        <v>39.391139358197108</v>
      </c>
      <c r="K15" s="40">
        <v>20.089481072680524</v>
      </c>
    </row>
    <row r="16" spans="1:11">
      <c r="A16" s="26" t="s">
        <v>32</v>
      </c>
      <c r="B16" s="26"/>
      <c r="C16" s="33">
        <v>18</v>
      </c>
      <c r="D16" s="34">
        <v>100</v>
      </c>
      <c r="E16" s="46">
        <v>18</v>
      </c>
      <c r="F16" s="33">
        <v>12</v>
      </c>
      <c r="G16" s="34">
        <v>100</v>
      </c>
      <c r="H16" s="35">
        <v>12</v>
      </c>
      <c r="I16" s="36">
        <v>30</v>
      </c>
      <c r="J16" s="36">
        <v>100</v>
      </c>
      <c r="K16" s="36">
        <v>30</v>
      </c>
    </row>
    <row r="17" spans="1:11">
      <c r="A17" s="3" t="s">
        <v>78</v>
      </c>
      <c r="B17" s="3"/>
      <c r="C17" s="37">
        <v>18</v>
      </c>
      <c r="D17" s="38">
        <v>100</v>
      </c>
      <c r="E17" s="39">
        <v>18</v>
      </c>
      <c r="F17" s="37">
        <v>0</v>
      </c>
      <c r="G17" s="38">
        <v>0</v>
      </c>
      <c r="H17" s="39">
        <v>0</v>
      </c>
      <c r="I17" s="40">
        <v>18</v>
      </c>
      <c r="J17" s="40">
        <v>100</v>
      </c>
      <c r="K17" s="40">
        <v>18</v>
      </c>
    </row>
    <row r="18" spans="1:11">
      <c r="A18" s="26" t="s">
        <v>67</v>
      </c>
      <c r="B18" s="26"/>
      <c r="C18" s="33">
        <v>17.333300000000001</v>
      </c>
      <c r="D18" s="34">
        <v>100</v>
      </c>
      <c r="E18" s="46">
        <v>17.333300000000001</v>
      </c>
      <c r="F18" s="33">
        <v>0</v>
      </c>
      <c r="G18" s="34">
        <v>0</v>
      </c>
      <c r="H18" s="35">
        <v>0</v>
      </c>
      <c r="I18" s="36">
        <v>17.333300000000001</v>
      </c>
      <c r="J18" s="36">
        <v>100</v>
      </c>
      <c r="K18" s="36">
        <v>17.333300000000001</v>
      </c>
    </row>
    <row r="19" spans="1:11">
      <c r="A19" s="3" t="s">
        <v>106</v>
      </c>
      <c r="B19" s="3"/>
      <c r="C19" s="37">
        <v>28</v>
      </c>
      <c r="D19" s="38">
        <v>62.552363362793407</v>
      </c>
      <c r="E19" s="39">
        <v>17.514661741582152</v>
      </c>
      <c r="F19" s="37">
        <v>37.80404772336783</v>
      </c>
      <c r="G19" s="38">
        <v>62.552363362793393</v>
      </c>
      <c r="H19" s="39">
        <v>23.647325297764869</v>
      </c>
      <c r="I19" s="40">
        <v>65.80404772336783</v>
      </c>
      <c r="J19" s="40">
        <v>62.5523633627934</v>
      </c>
      <c r="K19" s="40">
        <v>41.161987039347018</v>
      </c>
    </row>
    <row r="20" spans="1:11">
      <c r="A20" s="26" t="s">
        <v>4</v>
      </c>
      <c r="B20" s="26"/>
      <c r="C20" s="33">
        <v>22</v>
      </c>
      <c r="D20" s="34">
        <v>49.691923419085207</v>
      </c>
      <c r="E20" s="46">
        <v>10.932223152198745</v>
      </c>
      <c r="F20" s="33">
        <v>19</v>
      </c>
      <c r="G20" s="34">
        <v>49.691923419085207</v>
      </c>
      <c r="H20" s="35">
        <v>9.4414654496261896</v>
      </c>
      <c r="I20" s="36">
        <v>41</v>
      </c>
      <c r="J20" s="36">
        <v>49.691923419085207</v>
      </c>
      <c r="K20" s="36">
        <v>20.373688601824934</v>
      </c>
    </row>
    <row r="21" spans="1:11">
      <c r="A21" s="3" t="s">
        <v>5</v>
      </c>
      <c r="B21" s="3"/>
      <c r="C21" s="37">
        <v>14.285714285714286</v>
      </c>
      <c r="D21" s="38">
        <v>100</v>
      </c>
      <c r="E21" s="39">
        <v>14.285714285714286</v>
      </c>
      <c r="F21" s="37">
        <v>67.857142857142861</v>
      </c>
      <c r="G21" s="38">
        <v>100</v>
      </c>
      <c r="H21" s="39">
        <v>67.857142857142861</v>
      </c>
      <c r="I21" s="40">
        <v>82.142857142857153</v>
      </c>
      <c r="J21" s="40">
        <v>100</v>
      </c>
      <c r="K21" s="40">
        <v>82.142857142857153</v>
      </c>
    </row>
    <row r="22" spans="1:11">
      <c r="A22" s="26" t="s">
        <v>6</v>
      </c>
      <c r="B22" s="26"/>
      <c r="C22" s="33">
        <v>6.67</v>
      </c>
      <c r="D22" s="34">
        <v>84.763833143924955</v>
      </c>
      <c r="E22" s="46">
        <v>5.6537476706997944</v>
      </c>
      <c r="F22" s="33">
        <v>154.33000000000001</v>
      </c>
      <c r="G22" s="34">
        <v>22.059403699928019</v>
      </c>
      <c r="H22" s="35">
        <v>34.044277730098912</v>
      </c>
      <c r="I22" s="36">
        <v>161</v>
      </c>
      <c r="J22" s="36">
        <v>24.657158634036467</v>
      </c>
      <c r="K22" s="36">
        <v>39.698025400798713</v>
      </c>
    </row>
    <row r="23" spans="1:11">
      <c r="A23" s="3" t="s">
        <v>7</v>
      </c>
      <c r="B23" s="3"/>
      <c r="C23" s="37">
        <v>16</v>
      </c>
      <c r="D23" s="38">
        <v>100</v>
      </c>
      <c r="E23" s="39">
        <v>16</v>
      </c>
      <c r="F23" s="37">
        <v>26</v>
      </c>
      <c r="G23" s="38">
        <v>13.722153422677739</v>
      </c>
      <c r="H23" s="39">
        <v>3.567759889896212</v>
      </c>
      <c r="I23" s="40">
        <v>42</v>
      </c>
      <c r="J23" s="40">
        <v>46.58990449975289</v>
      </c>
      <c r="K23" s="40">
        <v>19.567759889896212</v>
      </c>
    </row>
    <row r="24" spans="1:11">
      <c r="A24" s="26" t="s">
        <v>8</v>
      </c>
      <c r="B24" s="26"/>
      <c r="C24" s="33">
        <v>14</v>
      </c>
      <c r="D24" s="34">
        <v>100</v>
      </c>
      <c r="E24" s="46">
        <v>14</v>
      </c>
      <c r="F24" s="33">
        <v>44</v>
      </c>
      <c r="G24" s="34">
        <v>55.049182366727457</v>
      </c>
      <c r="H24" s="35">
        <v>24.221640241360081</v>
      </c>
      <c r="I24" s="36">
        <v>58</v>
      </c>
      <c r="J24" s="36">
        <v>65.899379726482906</v>
      </c>
      <c r="K24" s="36">
        <v>38.221640241360085</v>
      </c>
    </row>
    <row r="25" spans="1:11">
      <c r="A25" s="3" t="s">
        <v>9</v>
      </c>
      <c r="B25" s="3"/>
      <c r="C25" s="37">
        <v>56</v>
      </c>
      <c r="D25" s="38">
        <v>59.543341164320672</v>
      </c>
      <c r="E25" s="39">
        <v>33.344271052019579</v>
      </c>
      <c r="F25" s="37">
        <v>8.6666659999999993</v>
      </c>
      <c r="G25" s="38">
        <v>41.924509148337918</v>
      </c>
      <c r="H25" s="39">
        <v>3.6334571800258915</v>
      </c>
      <c r="I25" s="40">
        <v>64.666665999999992</v>
      </c>
      <c r="J25" s="40">
        <v>57.182054556586337</v>
      </c>
      <c r="K25" s="40">
        <v>36.977728232045465</v>
      </c>
    </row>
    <row r="26" spans="1:11">
      <c r="A26" s="26" t="s">
        <v>10</v>
      </c>
      <c r="B26" s="26"/>
      <c r="C26" s="33">
        <v>24</v>
      </c>
      <c r="D26" s="34">
        <v>100</v>
      </c>
      <c r="E26" s="46">
        <v>24</v>
      </c>
      <c r="F26" s="33">
        <v>136</v>
      </c>
      <c r="G26" s="34">
        <v>38.148585577893272</v>
      </c>
      <c r="H26" s="35">
        <v>51.882076385934852</v>
      </c>
      <c r="I26" s="36">
        <v>160</v>
      </c>
      <c r="J26" s="36">
        <v>47.426297741209282</v>
      </c>
      <c r="K26" s="36">
        <v>75.882076385934852</v>
      </c>
    </row>
    <row r="27" spans="1:11">
      <c r="A27" s="3" t="s">
        <v>11</v>
      </c>
      <c r="B27" s="3"/>
      <c r="C27" s="37">
        <v>26</v>
      </c>
      <c r="D27" s="38">
        <v>80</v>
      </c>
      <c r="E27" s="39">
        <v>20.8</v>
      </c>
      <c r="F27" s="37">
        <v>6</v>
      </c>
      <c r="G27" s="38">
        <v>80.000000000000014</v>
      </c>
      <c r="H27" s="39">
        <v>4.8000000000000007</v>
      </c>
      <c r="I27" s="40">
        <v>32</v>
      </c>
      <c r="J27" s="40">
        <v>80</v>
      </c>
      <c r="K27" s="40">
        <v>25.6</v>
      </c>
    </row>
    <row r="28" spans="1:11">
      <c r="A28" s="26" t="s">
        <v>12</v>
      </c>
      <c r="B28" s="26"/>
      <c r="C28" s="33">
        <v>26</v>
      </c>
      <c r="D28" s="34">
        <v>23.423064352044445</v>
      </c>
      <c r="E28" s="46">
        <v>6.0899967315315555</v>
      </c>
      <c r="F28" s="33">
        <v>9</v>
      </c>
      <c r="G28" s="34">
        <v>23.423064352044445</v>
      </c>
      <c r="H28" s="35">
        <v>2.1080757916840001</v>
      </c>
      <c r="I28" s="36">
        <v>35</v>
      </c>
      <c r="J28" s="36">
        <v>23.423064352044445</v>
      </c>
      <c r="K28" s="36">
        <v>8.198072523215556</v>
      </c>
    </row>
    <row r="29" spans="1:11">
      <c r="A29" s="3" t="s">
        <v>34</v>
      </c>
      <c r="B29" s="3"/>
      <c r="C29" s="37">
        <v>15</v>
      </c>
      <c r="D29" s="38">
        <v>100</v>
      </c>
      <c r="E29" s="39">
        <v>15</v>
      </c>
      <c r="F29" s="37">
        <v>0</v>
      </c>
      <c r="G29" s="38">
        <v>0</v>
      </c>
      <c r="H29" s="39">
        <v>0</v>
      </c>
      <c r="I29" s="40">
        <v>15</v>
      </c>
      <c r="J29" s="40">
        <v>100</v>
      </c>
      <c r="K29" s="40">
        <v>15</v>
      </c>
    </row>
    <row r="30" spans="1:11">
      <c r="A30" s="26" t="s">
        <v>13</v>
      </c>
      <c r="B30" s="26"/>
      <c r="C30" s="33">
        <v>21.7</v>
      </c>
      <c r="D30" s="34">
        <v>80</v>
      </c>
      <c r="E30" s="46">
        <v>17.36</v>
      </c>
      <c r="F30" s="33">
        <v>26</v>
      </c>
      <c r="G30" s="34">
        <v>55.000000000000007</v>
      </c>
      <c r="H30" s="35">
        <v>14.3</v>
      </c>
      <c r="I30" s="36">
        <v>47.7</v>
      </c>
      <c r="J30" s="36">
        <v>66.373165618448638</v>
      </c>
      <c r="K30" s="36">
        <v>31.66</v>
      </c>
    </row>
    <row r="31" spans="1:11">
      <c r="A31" s="3" t="s">
        <v>14</v>
      </c>
      <c r="B31" s="3"/>
      <c r="C31" s="37">
        <v>14</v>
      </c>
      <c r="D31" s="38">
        <v>67</v>
      </c>
      <c r="E31" s="39">
        <v>9.3800000000000008</v>
      </c>
      <c r="F31" s="37">
        <v>44</v>
      </c>
      <c r="G31" s="38">
        <v>61.116883116883123</v>
      </c>
      <c r="H31" s="39">
        <v>26.891428571428577</v>
      </c>
      <c r="I31" s="40">
        <v>58</v>
      </c>
      <c r="J31" s="40">
        <v>62.536945812807886</v>
      </c>
      <c r="K31" s="40">
        <v>36.271428571428572</v>
      </c>
    </row>
    <row r="32" spans="1:11">
      <c r="A32" s="26" t="s">
        <v>15</v>
      </c>
      <c r="B32" s="26"/>
      <c r="C32" s="33">
        <v>12.857142857142858</v>
      </c>
      <c r="D32" s="34">
        <v>81.938754733089766</v>
      </c>
      <c r="E32" s="46">
        <v>10.534982751397257</v>
      </c>
      <c r="F32" s="33">
        <v>78</v>
      </c>
      <c r="G32" s="34">
        <v>47.494515635140004</v>
      </c>
      <c r="H32" s="35">
        <v>37.045722195409205</v>
      </c>
      <c r="I32" s="36">
        <v>90.857142857142861</v>
      </c>
      <c r="J32" s="36">
        <v>52.368700413151757</v>
      </c>
      <c r="K32" s="36">
        <v>47.580704946806456</v>
      </c>
    </row>
    <row r="33" spans="1:11">
      <c r="A33" s="3" t="s">
        <v>16</v>
      </c>
      <c r="B33" s="3"/>
      <c r="C33" s="37">
        <v>16</v>
      </c>
      <c r="D33" s="38">
        <v>80</v>
      </c>
      <c r="E33" s="39">
        <v>12.8</v>
      </c>
      <c r="F33" s="37">
        <v>78</v>
      </c>
      <c r="G33" s="38">
        <v>39.900230099994957</v>
      </c>
      <c r="H33" s="39">
        <v>31.122179477996063</v>
      </c>
      <c r="I33" s="40">
        <v>94</v>
      </c>
      <c r="J33" s="40">
        <v>46.725722848931987</v>
      </c>
      <c r="K33" s="40">
        <v>43.922179477996067</v>
      </c>
    </row>
    <row r="34" spans="1:11">
      <c r="A34" s="26" t="s">
        <v>17</v>
      </c>
      <c r="B34" s="26"/>
      <c r="C34" s="33">
        <v>18</v>
      </c>
      <c r="D34" s="34">
        <v>77.58</v>
      </c>
      <c r="E34" s="46">
        <v>13.964399999999999</v>
      </c>
      <c r="F34" s="33">
        <v>61.66666</v>
      </c>
      <c r="G34" s="34">
        <v>62.469870753499535</v>
      </c>
      <c r="H34" s="35">
        <v>38.523082799999997</v>
      </c>
      <c r="I34" s="36">
        <v>79.666660000000007</v>
      </c>
      <c r="J34" s="36">
        <v>65.883875136725948</v>
      </c>
      <c r="K34" s="36">
        <v>52.487482799999995</v>
      </c>
    </row>
    <row r="35" spans="1:11">
      <c r="A35" s="3" t="s">
        <v>18</v>
      </c>
      <c r="B35" s="3"/>
      <c r="C35" s="37">
        <v>20</v>
      </c>
      <c r="D35" s="38">
        <v>100</v>
      </c>
      <c r="E35" s="39">
        <v>20</v>
      </c>
      <c r="F35" s="37">
        <v>26</v>
      </c>
      <c r="G35" s="38">
        <v>71.007989163294098</v>
      </c>
      <c r="H35" s="39">
        <v>18.462077182456465</v>
      </c>
      <c r="I35" s="40">
        <v>46</v>
      </c>
      <c r="J35" s="40">
        <v>83.613211266209703</v>
      </c>
      <c r="K35" s="40">
        <v>38.462077182456468</v>
      </c>
    </row>
    <row r="36" spans="1:11">
      <c r="A36" s="26" t="s">
        <v>19</v>
      </c>
      <c r="B36" s="26"/>
      <c r="C36" s="33">
        <v>12</v>
      </c>
      <c r="D36" s="34">
        <v>100</v>
      </c>
      <c r="E36" s="46">
        <v>12</v>
      </c>
      <c r="F36" s="33">
        <v>0</v>
      </c>
      <c r="G36" s="34">
        <v>0</v>
      </c>
      <c r="H36" s="35">
        <v>0</v>
      </c>
      <c r="I36" s="36">
        <v>12</v>
      </c>
      <c r="J36" s="36">
        <v>100</v>
      </c>
      <c r="K36" s="36">
        <v>12</v>
      </c>
    </row>
    <row r="37" spans="1:11">
      <c r="A37" s="3" t="s">
        <v>20</v>
      </c>
      <c r="B37" s="3"/>
      <c r="C37" s="37">
        <v>16</v>
      </c>
      <c r="D37" s="38">
        <v>100</v>
      </c>
      <c r="E37" s="39">
        <v>16</v>
      </c>
      <c r="F37" s="37">
        <v>9</v>
      </c>
      <c r="G37" s="38">
        <v>70</v>
      </c>
      <c r="H37" s="39">
        <v>6.3</v>
      </c>
      <c r="I37" s="40">
        <v>25</v>
      </c>
      <c r="J37" s="40">
        <v>89.2</v>
      </c>
      <c r="K37" s="40">
        <v>22.3</v>
      </c>
    </row>
    <row r="38" spans="1:11">
      <c r="A38" s="26" t="s">
        <v>21</v>
      </c>
      <c r="B38" s="26"/>
      <c r="C38" s="33">
        <v>26</v>
      </c>
      <c r="D38" s="34">
        <v>49.05452211599745</v>
      </c>
      <c r="E38" s="46">
        <v>12.754175750159337</v>
      </c>
      <c r="F38" s="33">
        <v>0</v>
      </c>
      <c r="G38" s="34">
        <v>0</v>
      </c>
      <c r="H38" s="35">
        <v>0</v>
      </c>
      <c r="I38" s="36">
        <v>26</v>
      </c>
      <c r="J38" s="36">
        <v>49.054522115997443</v>
      </c>
      <c r="K38" s="36">
        <v>12.754175750159336</v>
      </c>
    </row>
    <row r="39" spans="1:11">
      <c r="A39" s="3" t="s">
        <v>22</v>
      </c>
      <c r="B39" s="3"/>
      <c r="C39" s="37">
        <v>18</v>
      </c>
      <c r="D39" s="38">
        <v>97.438203852551709</v>
      </c>
      <c r="E39" s="39">
        <v>17.538876693459308</v>
      </c>
      <c r="F39" s="37">
        <v>68</v>
      </c>
      <c r="G39" s="38">
        <v>31.938097441443357</v>
      </c>
      <c r="H39" s="39">
        <v>21.717906260181483</v>
      </c>
      <c r="I39" s="40">
        <v>86</v>
      </c>
      <c r="J39" s="40">
        <v>45.647422039117203</v>
      </c>
      <c r="K39" s="40">
        <v>39.256782953640794</v>
      </c>
    </row>
    <row r="40" spans="1:11">
      <c r="A40" s="26" t="s">
        <v>23</v>
      </c>
      <c r="B40" s="26"/>
      <c r="C40" s="33">
        <v>20</v>
      </c>
      <c r="D40" s="34">
        <v>100</v>
      </c>
      <c r="E40" s="46">
        <v>20</v>
      </c>
      <c r="F40" s="33">
        <v>32</v>
      </c>
      <c r="G40" s="34">
        <v>63.437499999999993</v>
      </c>
      <c r="H40" s="35">
        <v>20.299999999999997</v>
      </c>
      <c r="I40" s="36">
        <v>52</v>
      </c>
      <c r="J40" s="36">
        <v>77.5</v>
      </c>
      <c r="K40" s="36">
        <v>40.300000000000004</v>
      </c>
    </row>
    <row r="41" spans="1:11">
      <c r="A41" s="3" t="s">
        <v>24</v>
      </c>
      <c r="B41" s="3"/>
      <c r="C41" s="37">
        <v>6</v>
      </c>
      <c r="D41" s="38">
        <v>100</v>
      </c>
      <c r="E41" s="39">
        <v>6</v>
      </c>
      <c r="F41" s="37">
        <v>24.14</v>
      </c>
      <c r="G41" s="38">
        <v>67.688483844241915</v>
      </c>
      <c r="H41" s="39">
        <v>16.34</v>
      </c>
      <c r="I41" s="40">
        <v>30.14</v>
      </c>
      <c r="J41" s="40">
        <v>74.120769741207695</v>
      </c>
      <c r="K41" s="40">
        <v>22.34</v>
      </c>
    </row>
    <row r="42" spans="1:11">
      <c r="A42" s="26" t="s">
        <v>25</v>
      </c>
      <c r="B42" s="26"/>
      <c r="C42" s="33">
        <v>34</v>
      </c>
      <c r="D42" s="34">
        <v>75</v>
      </c>
      <c r="E42" s="46">
        <v>25.5</v>
      </c>
      <c r="F42" s="33">
        <v>130</v>
      </c>
      <c r="G42" s="34">
        <v>31.216706766965984</v>
      </c>
      <c r="H42" s="35">
        <v>40.581718797055778</v>
      </c>
      <c r="I42" s="36">
        <v>164</v>
      </c>
      <c r="J42" s="36">
        <v>40.293730973814505</v>
      </c>
      <c r="K42" s="36">
        <v>66.081718797055785</v>
      </c>
    </row>
    <row r="43" spans="1:11">
      <c r="A43" s="3" t="s">
        <v>26</v>
      </c>
      <c r="B43" s="3"/>
      <c r="C43" s="37">
        <v>15</v>
      </c>
      <c r="D43" s="38">
        <v>100</v>
      </c>
      <c r="E43" s="39">
        <v>15</v>
      </c>
      <c r="F43" s="37">
        <v>37.142857142857146</v>
      </c>
      <c r="G43" s="38">
        <v>100</v>
      </c>
      <c r="H43" s="39">
        <v>37.142857142857146</v>
      </c>
      <c r="I43" s="40">
        <v>52.142857142857146</v>
      </c>
      <c r="J43" s="40">
        <v>100</v>
      </c>
      <c r="K43" s="40">
        <v>52.142857142857146</v>
      </c>
    </row>
    <row r="44" spans="1:11">
      <c r="A44" s="26" t="s">
        <v>27</v>
      </c>
      <c r="B44" s="26"/>
      <c r="C44" s="33">
        <v>16</v>
      </c>
      <c r="D44" s="34">
        <v>100</v>
      </c>
      <c r="E44" s="46">
        <v>16</v>
      </c>
      <c r="F44" s="33">
        <v>0</v>
      </c>
      <c r="G44" s="34">
        <v>0</v>
      </c>
      <c r="H44" s="35">
        <v>0</v>
      </c>
      <c r="I44" s="36">
        <v>16</v>
      </c>
      <c r="J44" s="36">
        <v>100</v>
      </c>
      <c r="K44" s="36">
        <v>16</v>
      </c>
    </row>
    <row r="45" spans="1:11">
      <c r="A45" s="3" t="s">
        <v>28</v>
      </c>
      <c r="B45" s="3"/>
      <c r="C45" s="37">
        <v>12.857142857142858</v>
      </c>
      <c r="D45" s="38">
        <v>77.600000000000009</v>
      </c>
      <c r="E45" s="39">
        <v>9.9771428571428586</v>
      </c>
      <c r="F45" s="37">
        <v>42.857142857142854</v>
      </c>
      <c r="G45" s="38">
        <v>56.933035937281517</v>
      </c>
      <c r="H45" s="39">
        <v>24.399872544549218</v>
      </c>
      <c r="I45" s="40">
        <v>55.714285714285708</v>
      </c>
      <c r="J45" s="40">
        <v>61.702335336370403</v>
      </c>
      <c r="K45" s="40">
        <v>34.377015401692077</v>
      </c>
    </row>
    <row r="46" spans="1:11">
      <c r="A46" s="26" t="s">
        <v>29</v>
      </c>
      <c r="B46" s="26"/>
      <c r="C46" s="33">
        <v>14</v>
      </c>
      <c r="D46" s="34">
        <v>57.52738555934851</v>
      </c>
      <c r="E46" s="46">
        <v>8.0538339783087913</v>
      </c>
      <c r="F46" s="33">
        <v>0</v>
      </c>
      <c r="G46" s="34">
        <v>0</v>
      </c>
      <c r="H46" s="35">
        <v>0</v>
      </c>
      <c r="I46" s="36">
        <v>14</v>
      </c>
      <c r="J46" s="36">
        <v>57.52738555934851</v>
      </c>
      <c r="K46" s="36">
        <v>8.0538339783087913</v>
      </c>
    </row>
    <row r="47" spans="1:11">
      <c r="A47" s="3" t="s">
        <v>81</v>
      </c>
      <c r="B47" s="3"/>
      <c r="C47" s="37">
        <v>16</v>
      </c>
      <c r="D47" s="38">
        <v>100</v>
      </c>
      <c r="E47" s="39">
        <v>16</v>
      </c>
      <c r="F47" s="37">
        <v>0</v>
      </c>
      <c r="G47" s="38">
        <v>0</v>
      </c>
      <c r="H47" s="39">
        <v>0</v>
      </c>
      <c r="I47" s="40">
        <v>16</v>
      </c>
      <c r="J47" s="40">
        <v>89.999999999999957</v>
      </c>
      <c r="K47" s="40">
        <v>14.399999999999993</v>
      </c>
    </row>
    <row r="48" spans="1:11">
      <c r="A48" s="26" t="s">
        <v>30</v>
      </c>
      <c r="B48" s="26"/>
      <c r="C48" s="33">
        <v>39</v>
      </c>
      <c r="D48" s="34">
        <v>29.897320161756983</v>
      </c>
      <c r="E48" s="46">
        <v>11.659954863085224</v>
      </c>
      <c r="F48" s="33">
        <v>0</v>
      </c>
      <c r="G48" s="34">
        <v>0</v>
      </c>
      <c r="H48" s="35">
        <v>0</v>
      </c>
      <c r="I48" s="36">
        <v>39</v>
      </c>
      <c r="J48" s="36">
        <v>29.897320161756987</v>
      </c>
      <c r="K48" s="36">
        <v>11.659954863085224</v>
      </c>
    </row>
    <row r="49" spans="1:11">
      <c r="A49" s="6" t="s">
        <v>31</v>
      </c>
      <c r="B49" s="6"/>
      <c r="C49" s="41">
        <v>0</v>
      </c>
      <c r="D49" s="42">
        <v>0</v>
      </c>
      <c r="E49" s="43">
        <v>0</v>
      </c>
      <c r="F49" s="41">
        <v>0</v>
      </c>
      <c r="G49" s="42">
        <v>0</v>
      </c>
      <c r="H49" s="43">
        <v>0</v>
      </c>
      <c r="I49" s="42">
        <v>0</v>
      </c>
      <c r="J49" s="42">
        <v>0</v>
      </c>
      <c r="K49" s="42">
        <v>0</v>
      </c>
    </row>
    <row r="50" spans="1:11">
      <c r="A50" s="67" t="s">
        <v>33</v>
      </c>
      <c r="B50" s="67"/>
      <c r="C50" s="68">
        <v>18.360613157894736</v>
      </c>
      <c r="D50" s="69" t="s">
        <v>46</v>
      </c>
      <c r="E50" s="70" t="s">
        <v>46</v>
      </c>
      <c r="F50" s="68">
        <v>33.99468026089064</v>
      </c>
      <c r="G50" s="69" t="s">
        <v>46</v>
      </c>
      <c r="H50" s="71" t="s">
        <v>46</v>
      </c>
      <c r="I50" s="69">
        <v>52.355293418785379</v>
      </c>
      <c r="J50" s="69" t="s">
        <v>46</v>
      </c>
      <c r="K50" s="69" t="s">
        <v>46</v>
      </c>
    </row>
    <row r="51" spans="1:11">
      <c r="A51" s="3" t="s">
        <v>35</v>
      </c>
      <c r="B51" s="3"/>
      <c r="C51" s="37">
        <v>58.571428571428598</v>
      </c>
      <c r="D51" s="38">
        <v>89.999999999999957</v>
      </c>
      <c r="E51" s="39">
        <v>52.714285714285715</v>
      </c>
      <c r="F51" s="37">
        <v>51.86</v>
      </c>
      <c r="G51" s="38">
        <v>33.535237437363271</v>
      </c>
      <c r="H51" s="39">
        <v>17.391374135016591</v>
      </c>
      <c r="I51" s="40">
        <v>110.4314285714286</v>
      </c>
      <c r="J51" s="40">
        <v>63.483431081358319</v>
      </c>
      <c r="K51" s="40">
        <v>70.105659849302313</v>
      </c>
    </row>
    <row r="52" spans="1:11">
      <c r="A52" s="26" t="s">
        <v>36</v>
      </c>
      <c r="B52" s="26"/>
      <c r="C52" s="33">
        <v>30</v>
      </c>
      <c r="D52" s="34">
        <v>100</v>
      </c>
      <c r="E52" s="46">
        <v>30</v>
      </c>
      <c r="F52" s="33">
        <v>26</v>
      </c>
      <c r="G52" s="34">
        <v>100</v>
      </c>
      <c r="H52" s="35">
        <v>26</v>
      </c>
      <c r="I52" s="36">
        <v>56</v>
      </c>
      <c r="J52" s="36">
        <v>100</v>
      </c>
      <c r="K52" s="36">
        <v>56</v>
      </c>
    </row>
    <row r="53" spans="1:11">
      <c r="A53" s="3" t="s">
        <v>37</v>
      </c>
      <c r="B53" s="3"/>
      <c r="C53" s="37">
        <v>22</v>
      </c>
      <c r="D53" s="38">
        <v>72</v>
      </c>
      <c r="E53" s="39">
        <v>15.84</v>
      </c>
      <c r="F53" s="37">
        <v>8</v>
      </c>
      <c r="G53" s="38">
        <v>64.643031094608489</v>
      </c>
      <c r="H53" s="39">
        <v>5.1714424875686795</v>
      </c>
      <c r="I53" s="40">
        <v>30</v>
      </c>
      <c r="J53" s="40">
        <v>70.038141625228931</v>
      </c>
      <c r="K53" s="40">
        <v>21.011442487568679</v>
      </c>
    </row>
    <row r="54" spans="1:11">
      <c r="A54" s="26" t="s">
        <v>38</v>
      </c>
      <c r="B54" s="26"/>
      <c r="C54" s="33">
        <v>18</v>
      </c>
      <c r="D54" s="34">
        <v>87.878782951998375</v>
      </c>
      <c r="E54" s="46">
        <v>15.818180931359709</v>
      </c>
      <c r="F54" s="33">
        <v>8.6660000000000004</v>
      </c>
      <c r="G54" s="34">
        <v>46.157396722824828</v>
      </c>
      <c r="H54" s="35">
        <v>4</v>
      </c>
      <c r="I54" s="36">
        <v>26.666</v>
      </c>
      <c r="J54" s="36">
        <v>74.320036493511239</v>
      </c>
      <c r="K54" s="36">
        <v>19.818180931359709</v>
      </c>
    </row>
    <row r="55" spans="1:11">
      <c r="A55" s="6" t="s">
        <v>39</v>
      </c>
      <c r="B55" s="6"/>
      <c r="C55" s="41">
        <v>18</v>
      </c>
      <c r="D55" s="42">
        <v>85</v>
      </c>
      <c r="E55" s="43">
        <v>15.299999999999999</v>
      </c>
      <c r="F55" s="41">
        <v>86.33</v>
      </c>
      <c r="G55" s="42">
        <v>85</v>
      </c>
      <c r="H55" s="43">
        <v>73.380499999999998</v>
      </c>
      <c r="I55" s="42">
        <v>104.33</v>
      </c>
      <c r="J55" s="42">
        <v>85</v>
      </c>
      <c r="K55" s="42">
        <v>88.680499999999995</v>
      </c>
    </row>
    <row r="56" spans="1:11">
      <c r="A56" s="67" t="s">
        <v>66</v>
      </c>
      <c r="B56" s="67"/>
      <c r="C56" s="68">
        <v>21.484603174603173</v>
      </c>
      <c r="D56" s="69" t="s">
        <v>46</v>
      </c>
      <c r="E56" s="70" t="s">
        <v>46</v>
      </c>
      <c r="F56" s="68">
        <v>44.876068515327546</v>
      </c>
      <c r="G56" s="69" t="s">
        <v>46</v>
      </c>
      <c r="H56" s="71" t="s">
        <v>46</v>
      </c>
      <c r="I56" s="68">
        <v>66.360671689930726</v>
      </c>
      <c r="J56" s="69" t="s">
        <v>46</v>
      </c>
      <c r="K56" s="69" t="s">
        <v>46</v>
      </c>
    </row>
    <row r="57" spans="1:11">
      <c r="A57" s="26"/>
      <c r="B57" s="26"/>
      <c r="C57" s="34"/>
      <c r="D57" s="34"/>
      <c r="E57" s="75"/>
      <c r="F57" s="34"/>
      <c r="G57" s="34"/>
      <c r="H57" s="34"/>
      <c r="I57" s="34"/>
      <c r="J57" s="36"/>
      <c r="K57" s="36"/>
    </row>
    <row r="58" spans="1:11" ht="13.5" customHeight="1">
      <c r="A58" s="133" t="s">
        <v>96</v>
      </c>
      <c r="B58" s="133"/>
      <c r="C58" s="133"/>
      <c r="D58" s="133"/>
      <c r="E58" s="133"/>
      <c r="F58" s="133"/>
      <c r="G58" s="133"/>
      <c r="H58" s="133"/>
      <c r="I58" s="133"/>
      <c r="J58" s="133"/>
      <c r="K58" s="133"/>
    </row>
    <row r="59" spans="1:11" ht="13.5" customHeight="1">
      <c r="A59" s="133"/>
      <c r="B59" s="133"/>
      <c r="C59" s="133"/>
      <c r="D59" s="133"/>
      <c r="E59" s="133"/>
      <c r="F59" s="133"/>
      <c r="G59" s="133"/>
      <c r="H59" s="133"/>
      <c r="I59" s="133"/>
      <c r="J59" s="133"/>
      <c r="K59" s="133"/>
    </row>
    <row r="60" spans="1:11" ht="13.5" customHeight="1">
      <c r="A60" s="133"/>
      <c r="B60" s="133"/>
      <c r="C60" s="133"/>
      <c r="D60" s="133"/>
      <c r="E60" s="133"/>
      <c r="F60" s="133"/>
      <c r="G60" s="133"/>
      <c r="H60" s="133"/>
      <c r="I60" s="133"/>
      <c r="J60" s="133"/>
      <c r="K60" s="133"/>
    </row>
    <row r="61" spans="1:11" ht="13.5" customHeight="1">
      <c r="A61" s="133"/>
      <c r="B61" s="133"/>
      <c r="C61" s="133"/>
      <c r="D61" s="133"/>
      <c r="E61" s="133"/>
      <c r="F61" s="133"/>
      <c r="G61" s="133"/>
      <c r="H61" s="133"/>
      <c r="I61" s="133"/>
      <c r="J61" s="133"/>
      <c r="K61" s="133"/>
    </row>
    <row r="62" spans="1:11" ht="13.5" customHeight="1">
      <c r="A62" s="133"/>
      <c r="B62" s="133"/>
      <c r="C62" s="133"/>
      <c r="D62" s="133"/>
      <c r="E62" s="133"/>
      <c r="F62" s="133"/>
      <c r="G62" s="133"/>
      <c r="H62" s="133"/>
      <c r="I62" s="133"/>
      <c r="J62" s="133"/>
      <c r="K62" s="133"/>
    </row>
    <row r="63" spans="1:11" ht="12.75" customHeight="1">
      <c r="A63" s="133"/>
      <c r="B63" s="133"/>
      <c r="C63" s="133"/>
      <c r="D63" s="133"/>
      <c r="E63" s="133"/>
      <c r="F63" s="133"/>
      <c r="G63" s="133"/>
      <c r="H63" s="133"/>
      <c r="I63" s="133"/>
      <c r="J63" s="133"/>
      <c r="K63" s="133"/>
    </row>
    <row r="64" spans="1:11">
      <c r="A64" s="133"/>
      <c r="B64" s="133"/>
      <c r="C64" s="133"/>
      <c r="D64" s="133"/>
      <c r="E64" s="133"/>
      <c r="F64" s="133"/>
      <c r="G64" s="133"/>
      <c r="H64" s="133"/>
      <c r="I64" s="133"/>
      <c r="J64" s="133"/>
      <c r="K64" s="133"/>
    </row>
    <row r="65" spans="1:11" ht="18" customHeight="1">
      <c r="A65" s="133"/>
      <c r="B65" s="133"/>
      <c r="C65" s="133"/>
      <c r="D65" s="133"/>
      <c r="E65" s="133"/>
      <c r="F65" s="133"/>
      <c r="G65" s="133"/>
      <c r="H65" s="133"/>
      <c r="I65" s="133"/>
      <c r="J65" s="133"/>
      <c r="K65" s="133"/>
    </row>
    <row r="66" spans="1:11">
      <c r="A66" s="137" t="s">
        <v>90</v>
      </c>
      <c r="B66" s="137"/>
      <c r="C66" s="137"/>
      <c r="D66" s="137"/>
      <c r="E66" s="137"/>
      <c r="F66" s="137"/>
      <c r="G66" s="137"/>
      <c r="H66" s="137"/>
      <c r="I66" s="137"/>
      <c r="J66" s="137"/>
      <c r="K66" s="137"/>
    </row>
    <row r="67" spans="1:11" ht="12.75" customHeight="1"/>
    <row r="68" spans="1:11">
      <c r="C68" s="5"/>
      <c r="D68" s="5"/>
      <c r="E68" s="5"/>
      <c r="F68" s="5"/>
      <c r="G68" s="5"/>
      <c r="H68" s="5"/>
      <c r="I68" s="5"/>
      <c r="J68" s="5"/>
      <c r="K68" s="5"/>
    </row>
  </sheetData>
  <mergeCells count="19">
    <mergeCell ref="A58:K65"/>
    <mergeCell ref="F6:H7"/>
    <mergeCell ref="A66:K66"/>
    <mergeCell ref="C6:E6"/>
    <mergeCell ref="E8:E10"/>
    <mergeCell ref="I6:K6"/>
    <mergeCell ref="G8:G10"/>
    <mergeCell ref="H8:H10"/>
    <mergeCell ref="J8:J10"/>
    <mergeCell ref="K8:K10"/>
    <mergeCell ref="C8:C10"/>
    <mergeCell ref="F8:F10"/>
    <mergeCell ref="I8:I10"/>
    <mergeCell ref="D8:D10"/>
    <mergeCell ref="C5:E5"/>
    <mergeCell ref="F5:H5"/>
    <mergeCell ref="I5:K5"/>
    <mergeCell ref="A1:K2"/>
    <mergeCell ref="A3:K4"/>
  </mergeCells>
  <pageMargins left="0.70866141732283472" right="0.70866141732283472" top="0.74803149606299213" bottom="0.74803149606299213" header="0.31496062992125984" footer="0.31496062992125984"/>
  <pageSetup paperSize="9" scale="74" orientation="portrait" r:id="rId1"/>
  <headerFooter>
    <oddHeader>&amp;LOECD Family Database (http://www.oecd.org/els/family/database.htm)</oddHeader>
    <oddFooter>&amp;C_x000D_&amp;1#&amp;"Calibri"&amp;10&amp;K0000FF Restricted Use - À usage restreint</oddFooter>
  </headerFooter>
  <ignoredErrors>
    <ignoredError sqref="C11 D11:K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pageSetUpPr fitToPage="1"/>
  </sheetPr>
  <dimension ref="A1:K67"/>
  <sheetViews>
    <sheetView showGridLines="0" zoomScale="85" zoomScaleNormal="85" workbookViewId="0">
      <selection sqref="A1:K2"/>
    </sheetView>
  </sheetViews>
  <sheetFormatPr defaultRowHeight="12.5"/>
  <cols>
    <col min="1" max="1" width="10.54296875" customWidth="1"/>
    <col min="2" max="2" width="3.81640625" customWidth="1"/>
    <col min="3" max="11" width="11.453125" customWidth="1"/>
  </cols>
  <sheetData>
    <row r="1" spans="1:11">
      <c r="A1" s="131" t="s">
        <v>72</v>
      </c>
      <c r="B1" s="131"/>
      <c r="C1" s="131"/>
      <c r="D1" s="131"/>
      <c r="E1" s="131"/>
      <c r="F1" s="131"/>
      <c r="G1" s="131"/>
      <c r="H1" s="131"/>
      <c r="I1" s="131"/>
      <c r="J1" s="131"/>
      <c r="K1" s="131"/>
    </row>
    <row r="2" spans="1:11">
      <c r="A2" s="131"/>
      <c r="B2" s="131"/>
      <c r="C2" s="131"/>
      <c r="D2" s="131"/>
      <c r="E2" s="131"/>
      <c r="F2" s="131"/>
      <c r="G2" s="131"/>
      <c r="H2" s="131"/>
      <c r="I2" s="131"/>
      <c r="J2" s="131"/>
      <c r="K2" s="131"/>
    </row>
    <row r="3" spans="1:11" ht="12.75" customHeight="1">
      <c r="A3" s="141" t="s">
        <v>92</v>
      </c>
      <c r="B3" s="141"/>
      <c r="C3" s="141"/>
      <c r="D3" s="141"/>
      <c r="E3" s="141"/>
      <c r="F3" s="141"/>
      <c r="G3" s="141"/>
      <c r="H3" s="141"/>
      <c r="I3" s="141"/>
      <c r="J3" s="141"/>
      <c r="K3" s="141"/>
    </row>
    <row r="4" spans="1:11" ht="12.75" customHeight="1">
      <c r="A4" s="141"/>
      <c r="B4" s="141"/>
      <c r="C4" s="141"/>
      <c r="D4" s="141"/>
      <c r="E4" s="141"/>
      <c r="F4" s="141"/>
      <c r="G4" s="141"/>
      <c r="H4" s="141"/>
      <c r="I4" s="141"/>
      <c r="J4" s="141"/>
      <c r="K4" s="141"/>
    </row>
    <row r="5" spans="1:11" ht="13">
      <c r="A5" s="4"/>
      <c r="B5" s="4"/>
      <c r="C5" s="129"/>
      <c r="D5" s="129"/>
      <c r="E5" s="129"/>
      <c r="F5" s="130"/>
      <c r="G5" s="130"/>
      <c r="H5" s="130"/>
      <c r="I5" s="130"/>
      <c r="J5" s="130"/>
      <c r="K5" s="130"/>
    </row>
    <row r="6" spans="1:11" ht="13.5" customHeight="1">
      <c r="A6" s="1"/>
      <c r="B6" s="1"/>
      <c r="C6" s="134" t="s">
        <v>55</v>
      </c>
      <c r="D6" s="135"/>
      <c r="E6" s="136"/>
      <c r="F6" s="134" t="s">
        <v>74</v>
      </c>
      <c r="G6" s="135"/>
      <c r="H6" s="136"/>
      <c r="I6" s="134" t="s">
        <v>56</v>
      </c>
      <c r="J6" s="135"/>
      <c r="K6" s="135"/>
    </row>
    <row r="7" spans="1:11" ht="13.5" customHeight="1">
      <c r="A7" s="1"/>
      <c r="B7" s="1"/>
      <c r="C7" s="7"/>
      <c r="D7" s="8"/>
      <c r="E7" s="9"/>
      <c r="F7" s="134"/>
      <c r="G7" s="135"/>
      <c r="H7" s="136"/>
      <c r="I7" s="7"/>
      <c r="J7" s="8"/>
      <c r="K7" s="8"/>
    </row>
    <row r="8" spans="1:11" ht="13.5" customHeight="1">
      <c r="A8" s="1"/>
      <c r="B8" s="1"/>
      <c r="C8" s="140" t="s">
        <v>70</v>
      </c>
      <c r="D8" s="139" t="s">
        <v>69</v>
      </c>
      <c r="E8" s="138" t="s">
        <v>71</v>
      </c>
      <c r="F8" s="140" t="s">
        <v>70</v>
      </c>
      <c r="G8" s="139" t="s">
        <v>69</v>
      </c>
      <c r="H8" s="138" t="s">
        <v>71</v>
      </c>
      <c r="I8" s="140" t="s">
        <v>70</v>
      </c>
      <c r="J8" s="139" t="s">
        <v>69</v>
      </c>
      <c r="K8" s="139" t="s">
        <v>71</v>
      </c>
    </row>
    <row r="9" spans="1:11">
      <c r="A9" s="1"/>
      <c r="B9" s="1"/>
      <c r="C9" s="140"/>
      <c r="D9" s="139"/>
      <c r="E9" s="138"/>
      <c r="F9" s="140"/>
      <c r="G9" s="139"/>
      <c r="H9" s="138"/>
      <c r="I9" s="140"/>
      <c r="J9" s="139"/>
      <c r="K9" s="139"/>
    </row>
    <row r="10" spans="1:11">
      <c r="A10" s="1"/>
      <c r="B10" s="1"/>
      <c r="C10" s="140"/>
      <c r="D10" s="139"/>
      <c r="E10" s="138"/>
      <c r="F10" s="140"/>
      <c r="G10" s="139"/>
      <c r="H10" s="138"/>
      <c r="I10" s="140"/>
      <c r="J10" s="139"/>
      <c r="K10" s="139"/>
    </row>
    <row r="11" spans="1:11">
      <c r="A11" s="2"/>
      <c r="B11" s="2"/>
      <c r="C11" s="30" t="s">
        <v>40</v>
      </c>
      <c r="D11" s="31" t="s">
        <v>41</v>
      </c>
      <c r="E11" s="32" t="s">
        <v>42</v>
      </c>
      <c r="F11" s="31" t="s">
        <v>43</v>
      </c>
      <c r="G11" s="31" t="s">
        <v>62</v>
      </c>
      <c r="H11" s="32" t="s">
        <v>44</v>
      </c>
      <c r="I11" s="31" t="s">
        <v>63</v>
      </c>
      <c r="J11" s="31" t="s">
        <v>64</v>
      </c>
      <c r="K11" s="31" t="s">
        <v>65</v>
      </c>
    </row>
    <row r="12" spans="1:11">
      <c r="A12" s="26" t="s">
        <v>0</v>
      </c>
      <c r="B12" s="26"/>
      <c r="C12" s="33">
        <v>0</v>
      </c>
      <c r="D12" s="34">
        <v>0</v>
      </c>
      <c r="E12" s="46">
        <v>0</v>
      </c>
      <c r="F12" s="33">
        <v>2</v>
      </c>
      <c r="G12" s="34">
        <v>45.885536389386672</v>
      </c>
      <c r="H12" s="35">
        <v>0.91771072778773344</v>
      </c>
      <c r="I12" s="36">
        <v>2</v>
      </c>
      <c r="J12" s="36">
        <v>45.885536389386672</v>
      </c>
      <c r="K12" s="36">
        <v>0.91771072778773344</v>
      </c>
    </row>
    <row r="13" spans="1:11">
      <c r="A13" s="3" t="s">
        <v>1</v>
      </c>
      <c r="B13" s="3"/>
      <c r="C13" s="37">
        <v>4.33</v>
      </c>
      <c r="D13" s="38">
        <v>48.106327800095293</v>
      </c>
      <c r="E13" s="39">
        <v>2.0830039937441263</v>
      </c>
      <c r="F13" s="37">
        <v>8.6666659999999993</v>
      </c>
      <c r="G13" s="38">
        <v>69.395087636411347</v>
      </c>
      <c r="H13" s="39">
        <v>6.0142404658550657</v>
      </c>
      <c r="I13" s="40">
        <v>12.996665999999999</v>
      </c>
      <c r="J13" s="40">
        <v>62.302474031410767</v>
      </c>
      <c r="K13" s="40">
        <v>8.0972444595991924</v>
      </c>
    </row>
    <row r="14" spans="1:11">
      <c r="A14" s="26" t="s">
        <v>2</v>
      </c>
      <c r="B14" s="26"/>
      <c r="C14" s="33">
        <v>4</v>
      </c>
      <c r="D14" s="34">
        <v>81.519976132870937</v>
      </c>
      <c r="E14" s="46">
        <v>3.2607990453148377</v>
      </c>
      <c r="F14" s="33">
        <v>17.333333333333332</v>
      </c>
      <c r="G14" s="34">
        <v>20.475205864466357</v>
      </c>
      <c r="H14" s="35">
        <v>3.5490356831741683</v>
      </c>
      <c r="I14" s="36">
        <v>21.333333333333332</v>
      </c>
      <c r="J14" s="36">
        <v>31.921100289792218</v>
      </c>
      <c r="K14" s="36">
        <v>6.8098347284890064</v>
      </c>
    </row>
    <row r="15" spans="1:11">
      <c r="A15" s="3" t="s">
        <v>3</v>
      </c>
      <c r="B15" s="3"/>
      <c r="C15" s="37">
        <v>0</v>
      </c>
      <c r="D15" s="38">
        <v>0</v>
      </c>
      <c r="E15" s="39">
        <v>0</v>
      </c>
      <c r="F15" s="37">
        <v>5</v>
      </c>
      <c r="G15" s="38">
        <v>40.900739908451364</v>
      </c>
      <c r="H15" s="39">
        <v>2.045036995422568</v>
      </c>
      <c r="I15" s="40">
        <v>5</v>
      </c>
      <c r="J15" s="40">
        <v>40.900739908451364</v>
      </c>
      <c r="K15" s="40">
        <v>2.045036995422568</v>
      </c>
    </row>
    <row r="16" spans="1:11">
      <c r="A16" s="26" t="s">
        <v>32</v>
      </c>
      <c r="B16" s="26"/>
      <c r="C16" s="33">
        <v>1</v>
      </c>
      <c r="D16" s="34">
        <v>100</v>
      </c>
      <c r="E16" s="46">
        <v>1</v>
      </c>
      <c r="F16" s="33">
        <v>0</v>
      </c>
      <c r="G16" s="34">
        <v>0</v>
      </c>
      <c r="H16" s="35">
        <v>0</v>
      </c>
      <c r="I16" s="36">
        <v>1</v>
      </c>
      <c r="J16" s="36">
        <v>100</v>
      </c>
      <c r="K16" s="36">
        <v>1</v>
      </c>
    </row>
    <row r="17" spans="1:11">
      <c r="A17" s="3" t="s">
        <v>78</v>
      </c>
      <c r="B17" s="3"/>
      <c r="C17" s="37">
        <v>2.8</v>
      </c>
      <c r="D17" s="38">
        <v>100</v>
      </c>
      <c r="E17" s="39">
        <v>2.8</v>
      </c>
      <c r="F17" s="37">
        <v>0</v>
      </c>
      <c r="G17" s="38">
        <v>0</v>
      </c>
      <c r="H17" s="39">
        <v>0</v>
      </c>
      <c r="I17" s="40">
        <v>2.8</v>
      </c>
      <c r="J17" s="40">
        <v>100</v>
      </c>
      <c r="K17" s="40">
        <v>2.8</v>
      </c>
    </row>
    <row r="18" spans="1:11">
      <c r="A18" s="26" t="s">
        <v>67</v>
      </c>
      <c r="B18" s="26"/>
      <c r="C18" s="33">
        <v>1.6</v>
      </c>
      <c r="D18" s="34">
        <v>100</v>
      </c>
      <c r="E18" s="46">
        <v>1.6</v>
      </c>
      <c r="F18" s="33">
        <v>0</v>
      </c>
      <c r="G18" s="34">
        <v>0</v>
      </c>
      <c r="H18" s="35">
        <v>0</v>
      </c>
      <c r="I18" s="36">
        <v>1.6</v>
      </c>
      <c r="J18" s="36">
        <v>100</v>
      </c>
      <c r="K18" s="36">
        <v>1.6</v>
      </c>
    </row>
    <row r="19" spans="1:11">
      <c r="A19" s="3" t="s">
        <v>106</v>
      </c>
      <c r="B19" s="3"/>
      <c r="C19" s="37">
        <v>2</v>
      </c>
      <c r="D19" s="38">
        <v>61.41350817645305</v>
      </c>
      <c r="E19" s="39">
        <v>1.2282701635290609</v>
      </c>
      <c r="F19" s="37">
        <v>0</v>
      </c>
      <c r="G19" s="38">
        <v>0</v>
      </c>
      <c r="H19" s="39">
        <v>0</v>
      </c>
      <c r="I19" s="40">
        <v>2</v>
      </c>
      <c r="J19" s="40">
        <v>61.41350817645305</v>
      </c>
      <c r="K19" s="40">
        <v>1.2282701635290609</v>
      </c>
    </row>
    <row r="20" spans="1:11">
      <c r="A20" s="26" t="s">
        <v>4</v>
      </c>
      <c r="B20" s="26"/>
      <c r="C20" s="33">
        <v>2</v>
      </c>
      <c r="D20" s="34">
        <v>49.691923419085207</v>
      </c>
      <c r="E20" s="46">
        <v>0.99383846838170409</v>
      </c>
      <c r="F20" s="33">
        <v>9</v>
      </c>
      <c r="G20" s="34">
        <v>49.691923419085199</v>
      </c>
      <c r="H20" s="35">
        <v>4.4722731077176681</v>
      </c>
      <c r="I20" s="36">
        <v>11</v>
      </c>
      <c r="J20" s="36">
        <v>49.691923419085199</v>
      </c>
      <c r="K20" s="36">
        <v>5.4661115760993715</v>
      </c>
    </row>
    <row r="21" spans="1:11">
      <c r="A21" s="3" t="s">
        <v>5</v>
      </c>
      <c r="B21" s="3"/>
      <c r="C21" s="37">
        <v>4.2857142857142856</v>
      </c>
      <c r="D21" s="38">
        <v>100</v>
      </c>
      <c r="E21" s="39">
        <v>4.2857142857142856</v>
      </c>
      <c r="F21" s="37">
        <v>0</v>
      </c>
      <c r="G21" s="38">
        <v>0</v>
      </c>
      <c r="H21" s="39">
        <v>0</v>
      </c>
      <c r="I21" s="40">
        <v>4.2857142857142856</v>
      </c>
      <c r="J21" s="40">
        <v>100</v>
      </c>
      <c r="K21" s="40">
        <v>4.2857142857142856</v>
      </c>
    </row>
    <row r="22" spans="1:11">
      <c r="A22" s="26" t="s">
        <v>6</v>
      </c>
      <c r="B22" s="26"/>
      <c r="C22" s="33">
        <v>3</v>
      </c>
      <c r="D22" s="34">
        <v>82.090249758218363</v>
      </c>
      <c r="E22" s="46">
        <v>2.4627074927465507</v>
      </c>
      <c r="F22" s="33">
        <v>13.166</v>
      </c>
      <c r="G22" s="34">
        <v>63.046279094131307</v>
      </c>
      <c r="H22" s="35">
        <v>8.3006731055333276</v>
      </c>
      <c r="I22" s="36">
        <v>16.166</v>
      </c>
      <c r="J22" s="36">
        <v>66.580357529876778</v>
      </c>
      <c r="K22" s="36">
        <v>10.76338059827988</v>
      </c>
    </row>
    <row r="23" spans="1:11">
      <c r="A23" s="3" t="s">
        <v>7</v>
      </c>
      <c r="B23" s="3"/>
      <c r="C23" s="37">
        <v>4.17</v>
      </c>
      <c r="D23" s="38">
        <v>100</v>
      </c>
      <c r="E23" s="39">
        <v>4.17</v>
      </c>
      <c r="F23" s="37">
        <v>26</v>
      </c>
      <c r="G23" s="38">
        <v>13.722153422677739</v>
      </c>
      <c r="H23" s="39">
        <v>3.567759889896212</v>
      </c>
      <c r="I23" s="40">
        <v>30.17</v>
      </c>
      <c r="J23" s="40">
        <v>25.647198839563185</v>
      </c>
      <c r="K23" s="40">
        <v>7.7377598898962132</v>
      </c>
    </row>
    <row r="24" spans="1:11">
      <c r="A24" s="26" t="s">
        <v>8</v>
      </c>
      <c r="B24" s="26"/>
      <c r="C24" s="33">
        <v>0</v>
      </c>
      <c r="D24" s="34">
        <v>0</v>
      </c>
      <c r="E24" s="46">
        <v>0</v>
      </c>
      <c r="F24" s="33">
        <v>8.6666000000000007</v>
      </c>
      <c r="G24" s="34">
        <v>55.261335078407768</v>
      </c>
      <c r="H24" s="35">
        <v>4.7892788659052883</v>
      </c>
      <c r="I24" s="36">
        <v>8.6666000000000007</v>
      </c>
      <c r="J24" s="36">
        <v>55.261335078407768</v>
      </c>
      <c r="K24" s="36">
        <v>4.7892788659052883</v>
      </c>
    </row>
    <row r="25" spans="1:11">
      <c r="A25" s="3" t="s">
        <v>9</v>
      </c>
      <c r="B25" s="3"/>
      <c r="C25" s="37">
        <v>2.8</v>
      </c>
      <c r="D25" s="38">
        <v>100</v>
      </c>
      <c r="E25" s="39">
        <v>2.8</v>
      </c>
      <c r="F25" s="37">
        <v>8.6666659999999993</v>
      </c>
      <c r="G25" s="38">
        <v>41.908387312870722</v>
      </c>
      <c r="H25" s="39">
        <v>3.6320599543928802</v>
      </c>
      <c r="I25" s="40">
        <v>11.466666</v>
      </c>
      <c r="J25" s="40">
        <v>56.093549375144271</v>
      </c>
      <c r="K25" s="40">
        <v>6.43205995439288</v>
      </c>
    </row>
    <row r="26" spans="1:11">
      <c r="A26" s="26" t="s">
        <v>10</v>
      </c>
      <c r="B26" s="26"/>
      <c r="C26" s="33">
        <v>2</v>
      </c>
      <c r="D26" s="34">
        <v>70</v>
      </c>
      <c r="E26" s="46">
        <v>1.4</v>
      </c>
      <c r="F26" s="33">
        <v>8.8000000000000007</v>
      </c>
      <c r="G26" s="34">
        <v>10</v>
      </c>
      <c r="H26" s="35">
        <v>0.88000000000000012</v>
      </c>
      <c r="I26" s="36">
        <v>10.8</v>
      </c>
      <c r="J26" s="36">
        <v>21.111111111111111</v>
      </c>
      <c r="K26" s="36">
        <v>2.2800000000000002</v>
      </c>
    </row>
    <row r="27" spans="1:11">
      <c r="A27" s="3" t="s">
        <v>11</v>
      </c>
      <c r="B27" s="3"/>
      <c r="C27" s="37">
        <v>0</v>
      </c>
      <c r="D27" s="38">
        <v>0</v>
      </c>
      <c r="E27" s="39">
        <v>0</v>
      </c>
      <c r="F27" s="37">
        <v>20</v>
      </c>
      <c r="G27" s="38">
        <v>80</v>
      </c>
      <c r="H27" s="39">
        <v>16</v>
      </c>
      <c r="I27" s="40">
        <v>20</v>
      </c>
      <c r="J27" s="40">
        <v>80</v>
      </c>
      <c r="K27" s="40">
        <v>16</v>
      </c>
    </row>
    <row r="28" spans="1:11">
      <c r="A28" s="26" t="s">
        <v>12</v>
      </c>
      <c r="B28" s="26"/>
      <c r="C28" s="33">
        <v>2</v>
      </c>
      <c r="D28" s="34">
        <v>23.423064352044445</v>
      </c>
      <c r="E28" s="46">
        <v>0.46846128704088891</v>
      </c>
      <c r="F28" s="33">
        <v>7</v>
      </c>
      <c r="G28" s="34">
        <v>23.423064352044445</v>
      </c>
      <c r="H28" s="35">
        <v>1.6396145046431112</v>
      </c>
      <c r="I28" s="36">
        <v>9</v>
      </c>
      <c r="J28" s="36">
        <v>23.423064352044449</v>
      </c>
      <c r="K28" s="36">
        <v>2.1080757916840005</v>
      </c>
    </row>
    <row r="29" spans="1:11">
      <c r="A29" s="3" t="s">
        <v>34</v>
      </c>
      <c r="B29" s="3"/>
      <c r="C29" s="37">
        <v>0</v>
      </c>
      <c r="D29" s="38">
        <v>0</v>
      </c>
      <c r="E29" s="39">
        <v>0</v>
      </c>
      <c r="F29" s="37">
        <v>0</v>
      </c>
      <c r="G29" s="38">
        <v>0</v>
      </c>
      <c r="H29" s="39">
        <v>0</v>
      </c>
      <c r="I29" s="40">
        <v>0</v>
      </c>
      <c r="J29" s="40">
        <v>0</v>
      </c>
      <c r="K29" s="40">
        <v>0</v>
      </c>
    </row>
    <row r="30" spans="1:11">
      <c r="A30" s="26" t="s">
        <v>13</v>
      </c>
      <c r="B30" s="26"/>
      <c r="C30" s="33">
        <v>2</v>
      </c>
      <c r="D30" s="34">
        <v>100</v>
      </c>
      <c r="E30" s="46">
        <v>2</v>
      </c>
      <c r="F30" s="126">
        <f>VLOOKUP(CONCATENATE($A30,"2025","100 / 100"),'[4]Parental_fathers-only'!$A$8:$BT$600,23,FALSE)</f>
        <v>13</v>
      </c>
      <c r="G30" s="127">
        <f>VLOOKUP(CONCATENATE($A30,"2025","100 / 100"),'[4]Parental_fathers-only'!$A$8:$BT$600,65,FALSE)*100</f>
        <v>30</v>
      </c>
      <c r="H30" s="128">
        <f t="shared" ref="H30" si="0">F30*(G30/100)</f>
        <v>3.9</v>
      </c>
      <c r="I30" s="127">
        <f t="shared" ref="I30" si="1">C30+F30</f>
        <v>15</v>
      </c>
      <c r="J30" s="127">
        <f t="shared" ref="J30" si="2">IFERROR(((D30*C30)+(G30*F30))/(C30+F30),0)</f>
        <v>39.333333333333336</v>
      </c>
      <c r="K30" s="127">
        <f t="shared" ref="K30" si="3">I30*(J30/100)</f>
        <v>5.9</v>
      </c>
    </row>
    <row r="31" spans="1:11">
      <c r="A31" s="3" t="s">
        <v>14</v>
      </c>
      <c r="B31" s="3"/>
      <c r="C31" s="37">
        <v>4</v>
      </c>
      <c r="D31" s="38">
        <v>80</v>
      </c>
      <c r="E31" s="39">
        <v>3.2</v>
      </c>
      <c r="F31" s="37">
        <v>48</v>
      </c>
      <c r="G31" s="38">
        <v>59.107142857142883</v>
      </c>
      <c r="H31" s="39">
        <v>28.371428571428581</v>
      </c>
      <c r="I31" s="40">
        <v>52</v>
      </c>
      <c r="J31" s="40">
        <v>60.714285714285737</v>
      </c>
      <c r="K31" s="40">
        <v>31.57142857142858</v>
      </c>
    </row>
    <row r="32" spans="1:11">
      <c r="A32" s="26" t="s">
        <v>15</v>
      </c>
      <c r="B32" s="26"/>
      <c r="C32" s="33">
        <v>4</v>
      </c>
      <c r="D32" s="34">
        <v>100</v>
      </c>
      <c r="E32" s="46">
        <v>4</v>
      </c>
      <c r="F32" s="33">
        <v>78</v>
      </c>
      <c r="G32" s="34">
        <v>47.494515635140004</v>
      </c>
      <c r="H32" s="35">
        <v>37.045722195409205</v>
      </c>
      <c r="I32" s="36">
        <v>82</v>
      </c>
      <c r="J32" s="36">
        <v>50.055758774889263</v>
      </c>
      <c r="K32" s="36">
        <v>41.045722195409191</v>
      </c>
    </row>
    <row r="33" spans="1:11">
      <c r="A33" s="3" t="s">
        <v>16</v>
      </c>
      <c r="B33" s="3"/>
      <c r="C33" s="37">
        <v>2</v>
      </c>
      <c r="D33" s="38">
        <v>80</v>
      </c>
      <c r="E33" s="39">
        <v>1.6</v>
      </c>
      <c r="F33" s="37">
        <v>8.6660000000000004</v>
      </c>
      <c r="G33" s="38">
        <v>60</v>
      </c>
      <c r="H33" s="39">
        <v>5.1996000000000002</v>
      </c>
      <c r="I33" s="40">
        <v>10.666</v>
      </c>
      <c r="J33" s="40">
        <v>63.750234389649357</v>
      </c>
      <c r="K33" s="40">
        <v>6.7995999999999999</v>
      </c>
    </row>
    <row r="34" spans="1:11">
      <c r="A34" s="26" t="s">
        <v>17</v>
      </c>
      <c r="B34" s="26"/>
      <c r="C34" s="33">
        <v>4</v>
      </c>
      <c r="D34" s="34">
        <v>77.58</v>
      </c>
      <c r="E34" s="46">
        <v>3.1031999999999997</v>
      </c>
      <c r="F34" s="33">
        <v>8.6660000000000004</v>
      </c>
      <c r="G34" s="34">
        <v>77.58</v>
      </c>
      <c r="H34" s="35">
        <v>6.7230827999999994</v>
      </c>
      <c r="I34" s="36">
        <v>12.666</v>
      </c>
      <c r="J34" s="36">
        <v>77.579999999999984</v>
      </c>
      <c r="K34" s="36">
        <v>9.8262827999999978</v>
      </c>
    </row>
    <row r="35" spans="1:11">
      <c r="A35" s="3" t="s">
        <v>18</v>
      </c>
      <c r="B35" s="3"/>
      <c r="C35" s="37">
        <v>2</v>
      </c>
      <c r="D35" s="38">
        <v>100</v>
      </c>
      <c r="E35" s="39">
        <v>2</v>
      </c>
      <c r="F35" s="37">
        <v>26</v>
      </c>
      <c r="G35" s="38">
        <v>71.007989163294098</v>
      </c>
      <c r="H35" s="39">
        <v>18.462077182456465</v>
      </c>
      <c r="I35" s="40">
        <v>28</v>
      </c>
      <c r="J35" s="40">
        <v>73.078847080201655</v>
      </c>
      <c r="K35" s="40">
        <v>20.462077182456465</v>
      </c>
    </row>
    <row r="36" spans="1:11">
      <c r="A36" s="26" t="s">
        <v>19</v>
      </c>
      <c r="B36" s="26"/>
      <c r="C36" s="33">
        <v>1</v>
      </c>
      <c r="D36" s="34">
        <v>100</v>
      </c>
      <c r="E36" s="46">
        <v>1</v>
      </c>
      <c r="F36" s="33">
        <v>0</v>
      </c>
      <c r="G36" s="34">
        <v>0</v>
      </c>
      <c r="H36" s="35">
        <v>0</v>
      </c>
      <c r="I36" s="36">
        <v>1</v>
      </c>
      <c r="J36" s="36">
        <v>100</v>
      </c>
      <c r="K36" s="36">
        <v>1</v>
      </c>
    </row>
    <row r="37" spans="1:11">
      <c r="A37" s="3" t="s">
        <v>20</v>
      </c>
      <c r="B37" s="3"/>
      <c r="C37" s="37">
        <v>6</v>
      </c>
      <c r="D37" s="38">
        <v>83.6832346356112</v>
      </c>
      <c r="E37" s="39">
        <v>5.0209940781366722</v>
      </c>
      <c r="F37" s="37">
        <v>9</v>
      </c>
      <c r="G37" s="38">
        <v>70</v>
      </c>
      <c r="H37" s="39">
        <v>6.3</v>
      </c>
      <c r="I37" s="40">
        <v>15</v>
      </c>
      <c r="J37" s="40">
        <v>75.473293854244488</v>
      </c>
      <c r="K37" s="40">
        <v>11.320994078136673</v>
      </c>
    </row>
    <row r="38" spans="1:11">
      <c r="A38" s="26" t="s">
        <v>21</v>
      </c>
      <c r="B38" s="26"/>
      <c r="C38" s="33">
        <v>0</v>
      </c>
      <c r="D38" s="34">
        <v>0</v>
      </c>
      <c r="E38" s="46">
        <v>0</v>
      </c>
      <c r="F38" s="33">
        <v>0</v>
      </c>
      <c r="G38" s="34">
        <v>0</v>
      </c>
      <c r="H38" s="35">
        <v>0</v>
      </c>
      <c r="I38" s="36">
        <v>0</v>
      </c>
      <c r="J38" s="36">
        <v>0</v>
      </c>
      <c r="K38" s="36">
        <v>0</v>
      </c>
    </row>
    <row r="39" spans="1:11">
      <c r="A39" s="3" t="s">
        <v>22</v>
      </c>
      <c r="B39" s="3"/>
      <c r="C39" s="37">
        <v>0</v>
      </c>
      <c r="D39" s="38">
        <v>0</v>
      </c>
      <c r="E39" s="39">
        <v>0</v>
      </c>
      <c r="F39" s="37">
        <v>15</v>
      </c>
      <c r="G39" s="38">
        <v>97.438203852551723</v>
      </c>
      <c r="H39" s="39">
        <v>14.615730577882758</v>
      </c>
      <c r="I39" s="40">
        <v>15</v>
      </c>
      <c r="J39" s="40">
        <v>97.438203852551723</v>
      </c>
      <c r="K39" s="40">
        <v>14.615730577882758</v>
      </c>
    </row>
    <row r="40" spans="1:11">
      <c r="A40" s="26" t="s">
        <v>23</v>
      </c>
      <c r="B40" s="26"/>
      <c r="C40" s="33">
        <v>2</v>
      </c>
      <c r="D40" s="34">
        <v>100</v>
      </c>
      <c r="E40" s="46">
        <v>2</v>
      </c>
      <c r="F40" s="33">
        <v>9</v>
      </c>
      <c r="G40" s="34">
        <v>70</v>
      </c>
      <c r="H40" s="35">
        <v>6.3</v>
      </c>
      <c r="I40" s="36">
        <v>11</v>
      </c>
      <c r="J40" s="36">
        <v>75.454545454545453</v>
      </c>
      <c r="K40" s="36">
        <v>8.2999999999999989</v>
      </c>
    </row>
    <row r="41" spans="1:11">
      <c r="A41" s="3" t="s">
        <v>24</v>
      </c>
      <c r="B41" s="3"/>
      <c r="C41" s="37">
        <v>5</v>
      </c>
      <c r="D41" s="38">
        <v>100</v>
      </c>
      <c r="E41" s="39">
        <v>5</v>
      </c>
      <c r="F41" s="37">
        <v>17.285714285714299</v>
      </c>
      <c r="G41" s="38">
        <v>54.876033057851203</v>
      </c>
      <c r="H41" s="39">
        <v>9.4857142857142875</v>
      </c>
      <c r="I41" s="40">
        <v>22.285714285714299</v>
      </c>
      <c r="J41" s="40">
        <v>64.999999999999972</v>
      </c>
      <c r="K41" s="40">
        <v>14.485714285714288</v>
      </c>
    </row>
    <row r="42" spans="1:11">
      <c r="A42" s="26" t="s">
        <v>25</v>
      </c>
      <c r="B42" s="26"/>
      <c r="C42" s="33">
        <v>2</v>
      </c>
      <c r="D42" s="34">
        <v>75</v>
      </c>
      <c r="E42" s="46">
        <v>1.5</v>
      </c>
      <c r="F42" s="33">
        <v>26</v>
      </c>
      <c r="G42" s="34">
        <v>75</v>
      </c>
      <c r="H42" s="35">
        <v>19.5</v>
      </c>
      <c r="I42" s="36">
        <v>28</v>
      </c>
      <c r="J42" s="36">
        <v>75</v>
      </c>
      <c r="K42" s="36">
        <v>21</v>
      </c>
    </row>
    <row r="43" spans="1:11">
      <c r="A43" s="3" t="s">
        <v>26</v>
      </c>
      <c r="B43" s="3"/>
      <c r="C43" s="37">
        <v>2.1428571428571428</v>
      </c>
      <c r="D43" s="38">
        <v>100</v>
      </c>
      <c r="E43" s="39">
        <v>2.1428571428571428</v>
      </c>
      <c r="F43" s="37">
        <v>8.5714285714285712</v>
      </c>
      <c r="G43" s="38">
        <v>100</v>
      </c>
      <c r="H43" s="39">
        <v>8.5714285714285712</v>
      </c>
      <c r="I43" s="40">
        <v>10.714285714285714</v>
      </c>
      <c r="J43" s="40">
        <v>100</v>
      </c>
      <c r="K43" s="40">
        <v>10.714285714285714</v>
      </c>
    </row>
    <row r="44" spans="1:11">
      <c r="A44" s="26" t="s">
        <v>27</v>
      </c>
      <c r="B44" s="26"/>
      <c r="C44" s="33">
        <v>16</v>
      </c>
      <c r="D44" s="34">
        <v>100</v>
      </c>
      <c r="E44" s="46">
        <v>16</v>
      </c>
      <c r="F44" s="33">
        <v>0</v>
      </c>
      <c r="G44" s="34">
        <v>0</v>
      </c>
      <c r="H44" s="35">
        <v>0</v>
      </c>
      <c r="I44" s="36">
        <v>16</v>
      </c>
      <c r="J44" s="36">
        <v>100</v>
      </c>
      <c r="K44" s="36">
        <v>16</v>
      </c>
    </row>
    <row r="45" spans="1:11">
      <c r="A45" s="3" t="s">
        <v>28</v>
      </c>
      <c r="B45" s="3"/>
      <c r="C45" s="37">
        <v>1.4285714285714286</v>
      </c>
      <c r="D45" s="38">
        <v>63.691565883322468</v>
      </c>
      <c r="E45" s="39">
        <v>0.90987951261889233</v>
      </c>
      <c r="F45" s="37">
        <v>12.857142857142858</v>
      </c>
      <c r="G45" s="38">
        <v>77.600000000000009</v>
      </c>
      <c r="H45" s="39">
        <v>9.9771428571428586</v>
      </c>
      <c r="I45" s="40">
        <v>14.285714285714286</v>
      </c>
      <c r="J45" s="40">
        <v>76.209156588332249</v>
      </c>
      <c r="K45" s="40">
        <v>10.88702236976175</v>
      </c>
    </row>
    <row r="46" spans="1:11">
      <c r="A46" s="26" t="s">
        <v>29</v>
      </c>
      <c r="B46" s="26"/>
      <c r="C46" s="33">
        <v>2</v>
      </c>
      <c r="D46" s="34">
        <v>57.52738555934851</v>
      </c>
      <c r="E46" s="46">
        <v>1.1505477111869702</v>
      </c>
      <c r="F46" s="33">
        <v>0</v>
      </c>
      <c r="G46" s="34">
        <v>0</v>
      </c>
      <c r="H46" s="35">
        <v>0</v>
      </c>
      <c r="I46" s="36">
        <v>2</v>
      </c>
      <c r="J46" s="36">
        <v>57.52738555934851</v>
      </c>
      <c r="K46" s="36">
        <v>1.1505477111869702</v>
      </c>
    </row>
    <row r="47" spans="1:11">
      <c r="A47" s="3" t="s">
        <v>81</v>
      </c>
      <c r="B47" s="3"/>
      <c r="C47" s="37">
        <v>1</v>
      </c>
      <c r="D47" s="38">
        <v>100</v>
      </c>
      <c r="E47" s="39">
        <v>1</v>
      </c>
      <c r="F47" s="37">
        <v>0</v>
      </c>
      <c r="G47" s="38">
        <v>0</v>
      </c>
      <c r="H47" s="39">
        <v>0</v>
      </c>
      <c r="I47" s="40">
        <v>1</v>
      </c>
      <c r="J47" s="40">
        <v>100</v>
      </c>
      <c r="K47" s="40">
        <v>1</v>
      </c>
    </row>
    <row r="48" spans="1:11">
      <c r="A48" s="26" t="s">
        <v>30</v>
      </c>
      <c r="B48" s="26"/>
      <c r="C48" s="33">
        <v>2</v>
      </c>
      <c r="D48" s="34">
        <v>18.969560191167343</v>
      </c>
      <c r="E48" s="46">
        <v>0.37939120382334685</v>
      </c>
      <c r="F48" s="33">
        <v>0</v>
      </c>
      <c r="G48" s="34">
        <v>0</v>
      </c>
      <c r="H48" s="35">
        <v>0</v>
      </c>
      <c r="I48" s="36">
        <v>2</v>
      </c>
      <c r="J48" s="36">
        <v>18.969560191167343</v>
      </c>
      <c r="K48" s="36">
        <v>0.37939120382334685</v>
      </c>
    </row>
    <row r="49" spans="1:11">
      <c r="A49" s="6" t="s">
        <v>31</v>
      </c>
      <c r="B49" s="6"/>
      <c r="C49" s="41">
        <v>0</v>
      </c>
      <c r="D49" s="42">
        <v>0</v>
      </c>
      <c r="E49" s="43">
        <v>0</v>
      </c>
      <c r="F49" s="41">
        <v>0</v>
      </c>
      <c r="G49" s="42">
        <v>0</v>
      </c>
      <c r="H49" s="43">
        <v>0</v>
      </c>
      <c r="I49" s="42">
        <v>0</v>
      </c>
      <c r="J49" s="42">
        <v>0</v>
      </c>
      <c r="K49" s="42">
        <v>0</v>
      </c>
    </row>
    <row r="50" spans="1:11">
      <c r="A50" s="67" t="s">
        <v>33</v>
      </c>
      <c r="B50" s="67"/>
      <c r="C50" s="68">
        <v>2.4883458646616541</v>
      </c>
      <c r="D50" s="69" t="s">
        <v>46</v>
      </c>
      <c r="E50" s="70" t="s">
        <v>46</v>
      </c>
      <c r="F50" s="68">
        <v>10.903830290726816</v>
      </c>
      <c r="G50" s="69" t="s">
        <v>46</v>
      </c>
      <c r="H50" s="71" t="s">
        <v>46</v>
      </c>
      <c r="I50" s="68">
        <v>13.392176155388469</v>
      </c>
      <c r="J50" s="69" t="s">
        <v>46</v>
      </c>
      <c r="K50" s="69" t="s">
        <v>46</v>
      </c>
    </row>
    <row r="51" spans="1:11">
      <c r="A51" s="3" t="s">
        <v>35</v>
      </c>
      <c r="B51" s="3"/>
      <c r="C51" s="37">
        <v>2.1428571428571428</v>
      </c>
      <c r="D51" s="38">
        <v>90</v>
      </c>
      <c r="E51" s="39">
        <v>1.9285714285714286</v>
      </c>
      <c r="F51" s="37">
        <v>0</v>
      </c>
      <c r="G51" s="38">
        <v>0</v>
      </c>
      <c r="H51" s="39">
        <v>0</v>
      </c>
      <c r="I51" s="40">
        <v>2.1428571428571428</v>
      </c>
      <c r="J51" s="40">
        <v>90</v>
      </c>
      <c r="K51" s="40">
        <v>1.9285714285714286</v>
      </c>
    </row>
    <row r="52" spans="1:11">
      <c r="A52" s="26" t="s">
        <v>36</v>
      </c>
      <c r="B52" s="26"/>
      <c r="C52" s="33">
        <v>4</v>
      </c>
      <c r="D52" s="34">
        <v>100</v>
      </c>
      <c r="E52" s="46">
        <v>4</v>
      </c>
      <c r="F52" s="33">
        <v>8.6666000000000007</v>
      </c>
      <c r="G52" s="34">
        <v>100</v>
      </c>
      <c r="H52" s="35">
        <v>8.6666000000000007</v>
      </c>
      <c r="I52" s="36">
        <v>12.666600000000001</v>
      </c>
      <c r="J52" s="36">
        <v>100</v>
      </c>
      <c r="K52" s="36">
        <v>12.666600000000001</v>
      </c>
    </row>
    <row r="53" spans="1:11">
      <c r="A53" s="3" t="s">
        <v>37</v>
      </c>
      <c r="B53" s="3"/>
      <c r="C53" s="37">
        <v>2</v>
      </c>
      <c r="D53" s="38">
        <v>72</v>
      </c>
      <c r="E53" s="39">
        <v>1.44</v>
      </c>
      <c r="F53" s="37">
        <v>0</v>
      </c>
      <c r="G53" s="38">
        <v>0</v>
      </c>
      <c r="H53" s="39">
        <v>0</v>
      </c>
      <c r="I53" s="40">
        <v>2</v>
      </c>
      <c r="J53" s="40">
        <v>72</v>
      </c>
      <c r="K53" s="40">
        <v>1.44</v>
      </c>
    </row>
    <row r="54" spans="1:11">
      <c r="A54" s="26" t="s">
        <v>38</v>
      </c>
      <c r="B54" s="26"/>
      <c r="C54" s="33">
        <v>2</v>
      </c>
      <c r="D54" s="34">
        <v>100</v>
      </c>
      <c r="E54" s="46">
        <v>2</v>
      </c>
      <c r="F54" s="33">
        <v>8.6660000000000004</v>
      </c>
      <c r="G54" s="34">
        <v>50</v>
      </c>
      <c r="H54" s="35">
        <v>4.3330000000000002</v>
      </c>
      <c r="I54" s="36">
        <v>10.666</v>
      </c>
      <c r="J54" s="36">
        <v>59.375585974123375</v>
      </c>
      <c r="K54" s="36">
        <v>6.3330000000000002</v>
      </c>
    </row>
    <row r="55" spans="1:11">
      <c r="A55" s="6" t="s">
        <v>39</v>
      </c>
      <c r="B55" s="6"/>
      <c r="C55" s="41">
        <v>2</v>
      </c>
      <c r="D55" s="42">
        <v>100</v>
      </c>
      <c r="E55" s="43">
        <v>2</v>
      </c>
      <c r="F55" s="41">
        <v>8.6660000000000004</v>
      </c>
      <c r="G55" s="42">
        <v>85</v>
      </c>
      <c r="H55" s="43">
        <v>7.3661000000000003</v>
      </c>
      <c r="I55" s="42">
        <v>10.666</v>
      </c>
      <c r="J55" s="42">
        <v>87.812675792237016</v>
      </c>
      <c r="K55" s="42">
        <v>9.3661000000000012</v>
      </c>
    </row>
    <row r="56" spans="1:11">
      <c r="A56" s="67" t="s">
        <v>66</v>
      </c>
      <c r="B56" s="67"/>
      <c r="C56" s="68">
        <v>3.2333333333333334</v>
      </c>
      <c r="D56" s="69" t="s">
        <v>46</v>
      </c>
      <c r="E56" s="70" t="s">
        <v>46</v>
      </c>
      <c r="F56" s="68">
        <v>10.086820409171079</v>
      </c>
      <c r="G56" s="69" t="s">
        <v>46</v>
      </c>
      <c r="H56" s="71" t="s">
        <v>46</v>
      </c>
      <c r="I56" s="69">
        <v>13.320153742504411</v>
      </c>
      <c r="J56" s="69" t="s">
        <v>46</v>
      </c>
      <c r="K56" s="69" t="s">
        <v>46</v>
      </c>
    </row>
    <row r="57" spans="1:11" s="66" customFormat="1">
      <c r="A57" s="76"/>
      <c r="B57" s="76"/>
      <c r="C57" s="34"/>
      <c r="D57" s="34"/>
      <c r="E57" s="75"/>
      <c r="F57" s="34"/>
      <c r="G57" s="34"/>
      <c r="H57" s="34"/>
      <c r="I57" s="34"/>
      <c r="J57" s="34"/>
      <c r="K57" s="34"/>
    </row>
    <row r="58" spans="1:11" ht="13.5" customHeight="1">
      <c r="A58" s="133" t="s">
        <v>97</v>
      </c>
      <c r="B58" s="133"/>
      <c r="C58" s="133"/>
      <c r="D58" s="133"/>
      <c r="E58" s="133"/>
      <c r="F58" s="133"/>
      <c r="G58" s="133"/>
      <c r="H58" s="133"/>
      <c r="I58" s="133"/>
      <c r="J58" s="133"/>
      <c r="K58" s="133"/>
    </row>
    <row r="59" spans="1:11" ht="13.5" customHeight="1">
      <c r="A59" s="133"/>
      <c r="B59" s="133"/>
      <c r="C59" s="133"/>
      <c r="D59" s="133"/>
      <c r="E59" s="133"/>
      <c r="F59" s="133"/>
      <c r="G59" s="133"/>
      <c r="H59" s="133"/>
      <c r="I59" s="133"/>
      <c r="J59" s="133"/>
      <c r="K59" s="133"/>
    </row>
    <row r="60" spans="1:11" ht="12.75" customHeight="1">
      <c r="A60" s="133"/>
      <c r="B60" s="133"/>
      <c r="C60" s="133"/>
      <c r="D60" s="133"/>
      <c r="E60" s="133"/>
      <c r="F60" s="133"/>
      <c r="G60" s="133"/>
      <c r="H60" s="133"/>
      <c r="I60" s="133"/>
      <c r="J60" s="133"/>
      <c r="K60" s="133"/>
    </row>
    <row r="61" spans="1:11" ht="12.75" customHeight="1">
      <c r="A61" s="133"/>
      <c r="B61" s="133"/>
      <c r="C61" s="133"/>
      <c r="D61" s="133"/>
      <c r="E61" s="133"/>
      <c r="F61" s="133"/>
      <c r="G61" s="133"/>
      <c r="H61" s="133"/>
      <c r="I61" s="133"/>
      <c r="J61" s="133"/>
      <c r="K61" s="133"/>
    </row>
    <row r="62" spans="1:11" ht="12.75" customHeight="1">
      <c r="A62" s="133"/>
      <c r="B62" s="133"/>
      <c r="C62" s="133"/>
      <c r="D62" s="133"/>
      <c r="E62" s="133"/>
      <c r="F62" s="133"/>
      <c r="G62" s="133"/>
      <c r="H62" s="133"/>
      <c r="I62" s="133"/>
      <c r="J62" s="133"/>
      <c r="K62" s="133"/>
    </row>
    <row r="63" spans="1:11" ht="12.75" customHeight="1">
      <c r="A63" s="133"/>
      <c r="B63" s="133"/>
      <c r="C63" s="133"/>
      <c r="D63" s="133"/>
      <c r="E63" s="133"/>
      <c r="F63" s="133"/>
      <c r="G63" s="133"/>
      <c r="H63" s="133"/>
      <c r="I63" s="133"/>
      <c r="J63" s="133"/>
      <c r="K63" s="133"/>
    </row>
    <row r="64" spans="1:11" ht="12.75" customHeight="1">
      <c r="A64" s="133"/>
      <c r="B64" s="133"/>
      <c r="C64" s="133"/>
      <c r="D64" s="133"/>
      <c r="E64" s="133"/>
      <c r="F64" s="133"/>
      <c r="G64" s="133"/>
      <c r="H64" s="133"/>
      <c r="I64" s="133"/>
      <c r="J64" s="133"/>
      <c r="K64" s="133"/>
    </row>
    <row r="65" spans="1:11" ht="47" customHeight="1">
      <c r="A65" s="133"/>
      <c r="B65" s="133"/>
      <c r="C65" s="133"/>
      <c r="D65" s="133"/>
      <c r="E65" s="133"/>
      <c r="F65" s="133"/>
      <c r="G65" s="133"/>
      <c r="H65" s="133"/>
      <c r="I65" s="133"/>
      <c r="J65" s="133"/>
      <c r="K65" s="133"/>
    </row>
    <row r="66" spans="1:11">
      <c r="A66" s="137"/>
      <c r="B66" s="137"/>
      <c r="C66" s="137"/>
      <c r="D66" s="137"/>
      <c r="E66" s="137"/>
      <c r="F66" s="137"/>
      <c r="G66" s="137"/>
      <c r="H66" s="137"/>
      <c r="I66" s="137"/>
      <c r="J66" s="137"/>
      <c r="K66" s="137"/>
    </row>
    <row r="67" spans="1:11">
      <c r="A67" s="137" t="s">
        <v>90</v>
      </c>
      <c r="B67" s="137"/>
      <c r="C67" s="137"/>
      <c r="D67" s="137"/>
      <c r="E67" s="137"/>
      <c r="F67" s="137"/>
      <c r="G67" s="137"/>
      <c r="H67" s="137"/>
      <c r="I67" s="137"/>
      <c r="J67" s="137"/>
      <c r="K67" s="137"/>
    </row>
  </sheetData>
  <mergeCells count="20">
    <mergeCell ref="A67:K67"/>
    <mergeCell ref="A58:K65"/>
    <mergeCell ref="A66:K66"/>
    <mergeCell ref="C5:E5"/>
    <mergeCell ref="F5:H5"/>
    <mergeCell ref="I5:K5"/>
    <mergeCell ref="A1:K2"/>
    <mergeCell ref="A3:K4"/>
    <mergeCell ref="C6:E6"/>
    <mergeCell ref="I6:K6"/>
    <mergeCell ref="G8:G10"/>
    <mergeCell ref="H8:H10"/>
    <mergeCell ref="J8:J10"/>
    <mergeCell ref="K8:K10"/>
    <mergeCell ref="F6:H7"/>
    <mergeCell ref="C8:C10"/>
    <mergeCell ref="F8:F10"/>
    <mergeCell ref="I8:I10"/>
    <mergeCell ref="D8:D10"/>
    <mergeCell ref="E8:E10"/>
  </mergeCells>
  <pageMargins left="0.70866141732283472" right="0.70866141732283472" top="0.74803149606299213" bottom="0.74803149606299213" header="0.31496062992125984" footer="0.31496062992125984"/>
  <pageSetup paperSize="9" scale="74" orientation="portrait" r:id="rId1"/>
  <headerFooter>
    <oddHeader>&amp;LOECD Family Database (http://www.oecd.org/els/family/database.htm)</oddHeader>
    <oddFooter>&amp;C_x000D_&amp;1#&amp;"Calibri"&amp;10&amp;K0000FF Restricted Use - À usage restreint</oddFooter>
  </headerFooter>
  <ignoredErrors>
    <ignoredError sqref="C11:K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pageSetUpPr fitToPage="1"/>
  </sheetPr>
  <dimension ref="A1:V63"/>
  <sheetViews>
    <sheetView showGridLines="0" zoomScaleNormal="100" workbookViewId="0">
      <selection activeCell="B1" sqref="B1:N2"/>
    </sheetView>
  </sheetViews>
  <sheetFormatPr defaultColWidth="8.81640625" defaultRowHeight="13"/>
  <cols>
    <col min="1" max="1" width="2.453125" style="10" customWidth="1"/>
    <col min="2" max="2" width="2.81640625" style="10" customWidth="1"/>
    <col min="3" max="6" width="7.453125" style="10" customWidth="1"/>
    <col min="7" max="7" width="7.453125" style="12" customWidth="1"/>
    <col min="8" max="8" width="10.54296875" style="12" bestFit="1" customWidth="1"/>
    <col min="9" max="9" width="7.453125" style="12" customWidth="1"/>
    <col min="10" max="13" width="7.453125" style="10" customWidth="1"/>
    <col min="14" max="14" width="5.54296875" style="10" customWidth="1"/>
    <col min="15" max="15" width="2.453125" style="14" customWidth="1"/>
    <col min="16" max="17" width="8.81640625" style="19"/>
    <col min="18" max="18" width="14.26953125" style="20" customWidth="1"/>
    <col min="19" max="20" width="16.453125" style="21" customWidth="1"/>
    <col min="21" max="21" width="8.81640625" style="19"/>
    <col min="22" max="16384" width="8.81640625" style="10"/>
  </cols>
  <sheetData>
    <row r="1" spans="1:22">
      <c r="A1" s="47"/>
      <c r="B1" s="145" t="s">
        <v>79</v>
      </c>
      <c r="C1" s="145"/>
      <c r="D1" s="145"/>
      <c r="E1" s="145"/>
      <c r="F1" s="145"/>
      <c r="G1" s="145"/>
      <c r="H1" s="145"/>
      <c r="I1" s="145"/>
      <c r="J1" s="145"/>
      <c r="K1" s="145"/>
      <c r="L1" s="145"/>
      <c r="M1" s="145"/>
      <c r="N1" s="145"/>
      <c r="O1" s="25"/>
      <c r="P1" s="25"/>
      <c r="Q1" s="25"/>
      <c r="R1" s="48"/>
      <c r="S1" s="48"/>
      <c r="T1" s="48"/>
      <c r="U1" s="15"/>
    </row>
    <row r="2" spans="1:22">
      <c r="A2" s="47"/>
      <c r="B2" s="145"/>
      <c r="C2" s="145"/>
      <c r="D2" s="145"/>
      <c r="E2" s="145"/>
      <c r="F2" s="145"/>
      <c r="G2" s="145"/>
      <c r="H2" s="145"/>
      <c r="I2" s="145"/>
      <c r="J2" s="145"/>
      <c r="K2" s="145"/>
      <c r="L2" s="145"/>
      <c r="M2" s="145"/>
      <c r="N2" s="145"/>
      <c r="O2" s="25"/>
      <c r="P2" s="25"/>
      <c r="Q2" s="25"/>
      <c r="R2" s="48"/>
      <c r="S2" s="48"/>
      <c r="T2" s="48"/>
      <c r="U2" s="15"/>
    </row>
    <row r="3" spans="1:22" ht="12.75" customHeight="1">
      <c r="A3" s="47"/>
      <c r="B3" s="148" t="s">
        <v>93</v>
      </c>
      <c r="C3" s="148"/>
      <c r="D3" s="148"/>
      <c r="E3" s="148"/>
      <c r="F3" s="148"/>
      <c r="G3" s="148"/>
      <c r="H3" s="148"/>
      <c r="I3" s="148"/>
      <c r="J3" s="148"/>
      <c r="K3" s="148"/>
      <c r="L3" s="148"/>
      <c r="M3" s="148"/>
      <c r="N3" s="148"/>
      <c r="O3" s="148"/>
      <c r="P3" s="25"/>
      <c r="Q3" s="25"/>
      <c r="R3" s="49"/>
      <c r="S3" s="49"/>
      <c r="T3" s="49"/>
      <c r="U3" s="15"/>
    </row>
    <row r="4" spans="1:22">
      <c r="A4" s="47"/>
      <c r="B4" s="148"/>
      <c r="C4" s="148"/>
      <c r="D4" s="148"/>
      <c r="E4" s="148"/>
      <c r="F4" s="148"/>
      <c r="G4" s="148"/>
      <c r="H4" s="148"/>
      <c r="I4" s="148"/>
      <c r="J4" s="148"/>
      <c r="K4" s="148"/>
      <c r="L4" s="148"/>
      <c r="M4" s="148"/>
      <c r="N4" s="148"/>
      <c r="O4" s="148"/>
      <c r="P4" s="25"/>
      <c r="Q4" s="25"/>
      <c r="R4" s="49"/>
      <c r="S4" s="49"/>
      <c r="T4" s="49"/>
      <c r="U4" s="15"/>
    </row>
    <row r="5" spans="1:22">
      <c r="A5" s="47"/>
      <c r="B5" s="50"/>
      <c r="C5" s="50"/>
      <c r="D5" s="50"/>
      <c r="E5" s="50"/>
      <c r="F5" s="50"/>
      <c r="G5" s="50"/>
      <c r="H5" s="50"/>
      <c r="I5" s="50"/>
      <c r="J5" s="50"/>
      <c r="K5" s="50"/>
      <c r="L5" s="50"/>
      <c r="M5" s="50"/>
      <c r="N5" s="50"/>
      <c r="O5" s="25"/>
      <c r="P5" s="25"/>
      <c r="Q5" s="25"/>
      <c r="R5" s="49"/>
      <c r="S5" s="49"/>
      <c r="T5" s="49"/>
      <c r="U5" s="15"/>
    </row>
    <row r="6" spans="1:22" ht="10.5" customHeight="1">
      <c r="A6" s="47"/>
      <c r="C6" s="146" t="s">
        <v>53</v>
      </c>
      <c r="D6" s="146"/>
      <c r="E6" s="146"/>
      <c r="F6" s="146"/>
      <c r="G6" s="146"/>
      <c r="H6" s="60"/>
      <c r="I6" s="147" t="s">
        <v>61</v>
      </c>
      <c r="J6" s="147"/>
      <c r="K6" s="147"/>
      <c r="L6" s="147"/>
      <c r="M6" s="147"/>
      <c r="N6" s="57"/>
      <c r="O6" s="25"/>
      <c r="P6" s="25"/>
      <c r="Q6" s="25"/>
      <c r="R6" s="49"/>
      <c r="S6" s="49"/>
      <c r="T6" s="49"/>
      <c r="U6" s="15"/>
    </row>
    <row r="7" spans="1:22" ht="13.5" customHeight="1">
      <c r="A7" s="47"/>
      <c r="B7" s="59"/>
      <c r="C7" s="59"/>
      <c r="D7" s="59"/>
      <c r="E7" s="59"/>
      <c r="F7" s="59"/>
      <c r="G7" s="51"/>
      <c r="H7" s="51"/>
      <c r="I7" s="51"/>
      <c r="J7" s="57"/>
      <c r="K7" s="57"/>
      <c r="L7" s="57"/>
      <c r="M7" s="57"/>
      <c r="N7" s="57"/>
      <c r="O7" s="25"/>
      <c r="P7" s="25"/>
      <c r="Q7" s="25"/>
      <c r="R7" s="90"/>
      <c r="S7" s="144" t="s">
        <v>45</v>
      </c>
      <c r="T7" s="144"/>
      <c r="U7" s="15"/>
    </row>
    <row r="8" spans="1:22" ht="13.5" customHeight="1">
      <c r="A8" s="47"/>
      <c r="B8" s="47"/>
      <c r="C8" s="47"/>
      <c r="D8" s="47"/>
      <c r="E8" s="47"/>
      <c r="F8" s="47"/>
      <c r="G8" s="51"/>
      <c r="H8" s="51"/>
      <c r="I8" s="51"/>
      <c r="J8" s="47"/>
      <c r="K8" s="47"/>
      <c r="L8" s="47"/>
      <c r="M8" s="47"/>
      <c r="N8" s="47"/>
      <c r="O8" s="25"/>
      <c r="P8" s="25"/>
      <c r="Q8" s="25"/>
      <c r="R8" s="91"/>
      <c r="S8" s="53" t="s">
        <v>50</v>
      </c>
      <c r="T8" s="53" t="s">
        <v>48</v>
      </c>
      <c r="U8" s="15"/>
    </row>
    <row r="9" spans="1:22" ht="9" customHeight="1">
      <c r="A9" s="47"/>
      <c r="B9" s="60"/>
      <c r="C9" s="60"/>
      <c r="D9" s="60"/>
      <c r="E9" s="60"/>
      <c r="F9" s="60"/>
      <c r="G9" s="60"/>
      <c r="H9" s="73" t="str">
        <f>R9</f>
        <v>Bulgaria</v>
      </c>
      <c r="I9" s="60"/>
      <c r="J9" s="60"/>
      <c r="K9" s="60"/>
      <c r="L9" s="60"/>
      <c r="M9" s="47"/>
      <c r="N9" s="47"/>
      <c r="O9" s="25"/>
      <c r="P9" s="25"/>
      <c r="Q9" s="25"/>
      <c r="R9" s="54" t="s">
        <v>35</v>
      </c>
      <c r="S9" s="55">
        <v>58.571428571428598</v>
      </c>
      <c r="T9" s="55">
        <v>89.999999999999957</v>
      </c>
      <c r="U9" s="17"/>
      <c r="V9" s="18"/>
    </row>
    <row r="10" spans="1:22" ht="9" customHeight="1">
      <c r="A10" s="47"/>
      <c r="B10" s="60"/>
      <c r="C10" s="60"/>
      <c r="D10" s="60"/>
      <c r="E10" s="60"/>
      <c r="F10" s="60"/>
      <c r="G10" s="60"/>
      <c r="H10" s="73" t="str">
        <f t="shared" ref="H10:H53" si="0">R10</f>
        <v>Greece</v>
      </c>
      <c r="I10" s="60"/>
      <c r="J10" s="60"/>
      <c r="K10" s="60"/>
      <c r="L10" s="60"/>
      <c r="M10" s="47"/>
      <c r="N10" s="47"/>
      <c r="O10" s="25"/>
      <c r="P10" s="25"/>
      <c r="Q10" s="25"/>
      <c r="R10" s="54" t="s">
        <v>9</v>
      </c>
      <c r="S10" s="55">
        <v>56</v>
      </c>
      <c r="T10" s="55">
        <v>59.543341164320672</v>
      </c>
      <c r="U10" s="17"/>
      <c r="V10" s="18"/>
    </row>
    <row r="11" spans="1:22" ht="9" customHeight="1">
      <c r="A11" s="47"/>
      <c r="B11" s="60"/>
      <c r="C11" s="60"/>
      <c r="D11" s="60"/>
      <c r="E11" s="60"/>
      <c r="F11" s="60"/>
      <c r="G11" s="60"/>
      <c r="H11" s="73" t="str">
        <f t="shared" si="0"/>
        <v>United Kingdom</v>
      </c>
      <c r="I11" s="60"/>
      <c r="J11" s="60"/>
      <c r="K11" s="60"/>
      <c r="L11" s="60"/>
      <c r="M11" s="47"/>
      <c r="N11" s="47"/>
      <c r="O11" s="25"/>
      <c r="P11" s="25"/>
      <c r="Q11" s="25"/>
      <c r="R11" s="54" t="s">
        <v>30</v>
      </c>
      <c r="S11" s="55">
        <v>39</v>
      </c>
      <c r="T11" s="55">
        <v>29.897320161756983</v>
      </c>
      <c r="U11" s="17"/>
      <c r="V11" s="18"/>
    </row>
    <row r="12" spans="1:22" ht="9" customHeight="1">
      <c r="A12" s="47"/>
      <c r="B12" s="60"/>
      <c r="C12" s="60"/>
      <c r="D12" s="60"/>
      <c r="E12" s="60"/>
      <c r="F12" s="60"/>
      <c r="G12" s="60"/>
      <c r="H12" s="73" t="str">
        <f t="shared" si="0"/>
        <v>Slovak Republic</v>
      </c>
      <c r="I12" s="60"/>
      <c r="J12" s="60"/>
      <c r="K12" s="60"/>
      <c r="L12" s="60"/>
      <c r="M12" s="47"/>
      <c r="N12" s="47"/>
      <c r="O12" s="25"/>
      <c r="P12" s="25"/>
      <c r="Q12" s="25"/>
      <c r="R12" s="54" t="s">
        <v>25</v>
      </c>
      <c r="S12" s="55">
        <v>34</v>
      </c>
      <c r="T12" s="55">
        <v>75</v>
      </c>
      <c r="U12" s="17"/>
      <c r="V12" s="18"/>
    </row>
    <row r="13" spans="1:22" ht="9" customHeight="1">
      <c r="A13" s="47"/>
      <c r="B13" s="60"/>
      <c r="C13" s="60"/>
      <c r="D13" s="60"/>
      <c r="E13" s="60"/>
      <c r="F13" s="60"/>
      <c r="G13" s="60"/>
      <c r="H13" s="73" t="str">
        <f t="shared" si="0"/>
        <v>Croatia</v>
      </c>
      <c r="I13" s="60"/>
      <c r="J13" s="60"/>
      <c r="K13" s="60"/>
      <c r="L13" s="60"/>
      <c r="M13" s="47"/>
      <c r="N13" s="47"/>
      <c r="O13" s="25"/>
      <c r="P13" s="25"/>
      <c r="Q13" s="25"/>
      <c r="R13" s="54" t="s">
        <v>36</v>
      </c>
      <c r="S13" s="55">
        <v>30</v>
      </c>
      <c r="T13" s="55">
        <v>100</v>
      </c>
      <c r="U13" s="17"/>
      <c r="V13" s="18"/>
    </row>
    <row r="14" spans="1:22" ht="9" customHeight="1">
      <c r="A14" s="47"/>
      <c r="B14" s="60"/>
      <c r="C14" s="60"/>
      <c r="D14" s="60"/>
      <c r="E14" s="60"/>
      <c r="F14" s="60"/>
      <c r="G14" s="60"/>
      <c r="H14" s="73" t="str">
        <f t="shared" si="0"/>
        <v>Czechia</v>
      </c>
      <c r="I14" s="60"/>
      <c r="J14" s="60"/>
      <c r="K14" s="60"/>
      <c r="L14" s="60"/>
      <c r="M14" s="47"/>
      <c r="N14" s="47"/>
      <c r="O14" s="25"/>
      <c r="P14" s="25"/>
      <c r="Q14" s="25"/>
      <c r="R14" s="54" t="s">
        <v>106</v>
      </c>
      <c r="S14" s="55">
        <v>28</v>
      </c>
      <c r="T14" s="55">
        <v>62.552363362793407</v>
      </c>
      <c r="U14" s="17"/>
      <c r="V14" s="18"/>
    </row>
    <row r="15" spans="1:22" ht="9" customHeight="1">
      <c r="A15" s="47"/>
      <c r="B15" s="60"/>
      <c r="C15" s="60"/>
      <c r="D15" s="60"/>
      <c r="E15" s="60"/>
      <c r="F15" s="60"/>
      <c r="G15" s="60"/>
      <c r="H15" s="73" t="str">
        <f t="shared" si="0"/>
        <v>Iceland</v>
      </c>
      <c r="I15" s="60"/>
      <c r="J15" s="60"/>
      <c r="K15" s="60"/>
      <c r="L15" s="60"/>
      <c r="M15" s="47"/>
      <c r="N15" s="47"/>
      <c r="O15" s="25"/>
      <c r="P15" s="25"/>
      <c r="Q15" s="25"/>
      <c r="R15" s="54" t="s">
        <v>11</v>
      </c>
      <c r="S15" s="55">
        <v>26</v>
      </c>
      <c r="T15" s="55">
        <v>80</v>
      </c>
      <c r="U15" s="17"/>
      <c r="V15" s="18"/>
    </row>
    <row r="16" spans="1:22" ht="9" customHeight="1">
      <c r="A16" s="47"/>
      <c r="B16" s="60"/>
      <c r="C16" s="60"/>
      <c r="D16" s="60"/>
      <c r="E16" s="60"/>
      <c r="F16" s="60"/>
      <c r="G16" s="60"/>
      <c r="H16" s="73" t="str">
        <f t="shared" si="0"/>
        <v>New Zealand</v>
      </c>
      <c r="I16" s="60"/>
      <c r="J16" s="60"/>
      <c r="K16" s="60"/>
      <c r="L16" s="60"/>
      <c r="M16" s="47"/>
      <c r="N16" s="47"/>
      <c r="O16" s="25"/>
      <c r="P16" s="25"/>
      <c r="Q16" s="25"/>
      <c r="R16" s="54" t="s">
        <v>21</v>
      </c>
      <c r="S16" s="55">
        <v>26</v>
      </c>
      <c r="T16" s="55">
        <v>49.05452211599745</v>
      </c>
      <c r="U16" s="17"/>
      <c r="V16" s="18"/>
    </row>
    <row r="17" spans="1:22" ht="9" customHeight="1">
      <c r="A17" s="47"/>
      <c r="B17" s="60"/>
      <c r="C17" s="60"/>
      <c r="D17" s="60"/>
      <c r="E17" s="60"/>
      <c r="F17" s="60"/>
      <c r="G17" s="60"/>
      <c r="H17" s="73" t="str">
        <f t="shared" si="0"/>
        <v>Ireland</v>
      </c>
      <c r="I17" s="60"/>
      <c r="J17" s="60"/>
      <c r="K17" s="60"/>
      <c r="L17" s="60"/>
      <c r="M17" s="47"/>
      <c r="N17" s="47"/>
      <c r="O17" s="25"/>
      <c r="P17" s="25"/>
      <c r="Q17" s="25"/>
      <c r="R17" s="54" t="s">
        <v>12</v>
      </c>
      <c r="S17" s="55">
        <v>26</v>
      </c>
      <c r="T17" s="55">
        <v>23.423064352044445</v>
      </c>
      <c r="U17" s="17"/>
      <c r="V17" s="18"/>
    </row>
    <row r="18" spans="1:22" ht="9" customHeight="1">
      <c r="A18" s="47"/>
      <c r="B18" s="60"/>
      <c r="C18" s="60"/>
      <c r="D18" s="60"/>
      <c r="E18" s="60"/>
      <c r="F18" s="60"/>
      <c r="G18" s="60"/>
      <c r="H18" s="73" t="str">
        <f t="shared" si="0"/>
        <v>Hungary</v>
      </c>
      <c r="I18" s="60"/>
      <c r="J18" s="60"/>
      <c r="K18" s="60"/>
      <c r="L18" s="60"/>
      <c r="M18" s="47"/>
      <c r="N18" s="47"/>
      <c r="O18" s="25"/>
      <c r="P18" s="25"/>
      <c r="Q18" s="25"/>
      <c r="R18" s="54" t="s">
        <v>10</v>
      </c>
      <c r="S18" s="55">
        <v>24</v>
      </c>
      <c r="T18" s="55">
        <v>100</v>
      </c>
      <c r="U18" s="17"/>
      <c r="V18" s="18"/>
    </row>
    <row r="19" spans="1:22" ht="9" customHeight="1">
      <c r="A19" s="47"/>
      <c r="B19" s="60"/>
      <c r="C19" s="60"/>
      <c r="D19" s="60"/>
      <c r="E19" s="60"/>
      <c r="F19" s="60"/>
      <c r="G19" s="60"/>
      <c r="H19" s="73" t="str">
        <f t="shared" si="0"/>
        <v>Denmark</v>
      </c>
      <c r="I19" s="60"/>
      <c r="J19" s="60"/>
      <c r="K19" s="60"/>
      <c r="L19" s="60"/>
      <c r="M19" s="47"/>
      <c r="N19" s="47"/>
      <c r="O19" s="25"/>
      <c r="P19" s="25"/>
      <c r="Q19" s="25"/>
      <c r="R19" s="54" t="s">
        <v>4</v>
      </c>
      <c r="S19" s="55">
        <v>22</v>
      </c>
      <c r="T19" s="55">
        <v>49.691923419085207</v>
      </c>
      <c r="U19" s="17"/>
      <c r="V19" s="18"/>
    </row>
    <row r="20" spans="1:22" ht="9" customHeight="1">
      <c r="A20" s="47"/>
      <c r="B20" s="60"/>
      <c r="C20" s="60"/>
      <c r="D20" s="60"/>
      <c r="E20" s="60"/>
      <c r="F20" s="60"/>
      <c r="G20" s="60"/>
      <c r="H20" s="73" t="str">
        <f t="shared" si="0"/>
        <v>Cyprus</v>
      </c>
      <c r="I20" s="60"/>
      <c r="J20" s="60"/>
      <c r="K20" s="60"/>
      <c r="L20" s="60"/>
      <c r="M20" s="47"/>
      <c r="N20" s="47"/>
      <c r="O20" s="25"/>
      <c r="P20" s="25"/>
      <c r="Q20" s="25"/>
      <c r="R20" s="54" t="s">
        <v>37</v>
      </c>
      <c r="S20" s="55">
        <v>22</v>
      </c>
      <c r="T20" s="55">
        <v>72</v>
      </c>
      <c r="U20" s="17"/>
      <c r="V20" s="18"/>
    </row>
    <row r="21" spans="1:22" ht="9" customHeight="1">
      <c r="A21" s="47"/>
      <c r="B21" s="60"/>
      <c r="C21" s="60"/>
      <c r="D21" s="60"/>
      <c r="E21" s="60"/>
      <c r="F21" s="60"/>
      <c r="G21" s="60"/>
      <c r="H21" s="73" t="str">
        <f t="shared" si="0"/>
        <v>Italy</v>
      </c>
      <c r="I21" s="60"/>
      <c r="J21" s="60"/>
      <c r="K21" s="60"/>
      <c r="L21" s="60"/>
      <c r="M21" s="47"/>
      <c r="N21" s="47"/>
      <c r="O21" s="25"/>
      <c r="P21" s="25"/>
      <c r="Q21" s="25"/>
      <c r="R21" s="54" t="s">
        <v>13</v>
      </c>
      <c r="S21" s="55">
        <v>21.7</v>
      </c>
      <c r="T21" s="55">
        <v>80</v>
      </c>
      <c r="U21" s="17"/>
      <c r="V21" s="18"/>
    </row>
    <row r="22" spans="1:22" ht="9" customHeight="1">
      <c r="A22" s="47"/>
      <c r="B22" s="60"/>
      <c r="C22" s="60"/>
      <c r="D22" s="60"/>
      <c r="E22" s="60"/>
      <c r="F22" s="60"/>
      <c r="G22" s="60"/>
      <c r="H22" s="73" t="str">
        <f t="shared" si="0"/>
        <v>EU average</v>
      </c>
      <c r="I22" s="60"/>
      <c r="J22" s="60"/>
      <c r="K22" s="60"/>
      <c r="L22" s="60"/>
      <c r="M22" s="47"/>
      <c r="N22" s="47"/>
      <c r="O22" s="25"/>
      <c r="P22" s="25"/>
      <c r="Q22" s="25"/>
      <c r="R22" s="54" t="s">
        <v>66</v>
      </c>
      <c r="S22" s="55">
        <v>21.484603174603173</v>
      </c>
      <c r="T22" s="55" t="s">
        <v>46</v>
      </c>
      <c r="U22" s="17"/>
      <c r="V22" s="18"/>
    </row>
    <row r="23" spans="1:22" ht="9" customHeight="1">
      <c r="A23" s="47"/>
      <c r="B23" s="60"/>
      <c r="C23" s="60"/>
      <c r="D23" s="60"/>
      <c r="E23" s="60"/>
      <c r="F23" s="60"/>
      <c r="G23" s="60"/>
      <c r="H23" s="73" t="str">
        <f t="shared" si="0"/>
        <v>Luxembourg</v>
      </c>
      <c r="I23" s="60"/>
      <c r="J23" s="60"/>
      <c r="K23" s="60"/>
      <c r="L23" s="60"/>
      <c r="M23" s="47"/>
      <c r="N23" s="47"/>
      <c r="O23" s="25"/>
      <c r="P23" s="25"/>
      <c r="Q23" s="25"/>
      <c r="R23" s="54" t="s">
        <v>18</v>
      </c>
      <c r="S23" s="55">
        <v>20</v>
      </c>
      <c r="T23" s="55">
        <v>100</v>
      </c>
      <c r="U23" s="17"/>
      <c r="V23" s="18"/>
    </row>
    <row r="24" spans="1:22" ht="9" customHeight="1">
      <c r="A24" s="47"/>
      <c r="B24" s="60"/>
      <c r="C24" s="60"/>
      <c r="D24" s="60"/>
      <c r="E24" s="60"/>
      <c r="F24" s="60"/>
      <c r="G24" s="60"/>
      <c r="H24" s="73" t="str">
        <f t="shared" si="0"/>
        <v>Poland</v>
      </c>
      <c r="I24" s="60"/>
      <c r="J24" s="60"/>
      <c r="K24" s="60"/>
      <c r="L24" s="60"/>
      <c r="M24" s="47"/>
      <c r="N24" s="47"/>
      <c r="O24" s="25"/>
      <c r="P24" s="25"/>
      <c r="Q24" s="25"/>
      <c r="R24" s="54" t="s">
        <v>23</v>
      </c>
      <c r="S24" s="55">
        <v>20</v>
      </c>
      <c r="T24" s="55">
        <v>100</v>
      </c>
      <c r="U24" s="17"/>
      <c r="V24" s="18"/>
    </row>
    <row r="25" spans="1:22" ht="9" customHeight="1">
      <c r="A25" s="47"/>
      <c r="B25" s="60"/>
      <c r="C25" s="60"/>
      <c r="D25" s="60"/>
      <c r="E25" s="60"/>
      <c r="F25" s="60"/>
      <c r="G25" s="60"/>
      <c r="H25" s="73" t="str">
        <f t="shared" si="0"/>
        <v>OECD average</v>
      </c>
      <c r="I25" s="60"/>
      <c r="J25" s="60"/>
      <c r="K25" s="60"/>
      <c r="L25" s="60"/>
      <c r="M25" s="47"/>
      <c r="N25" s="47"/>
      <c r="O25" s="25"/>
      <c r="P25" s="25"/>
      <c r="Q25" s="25"/>
      <c r="R25" s="54" t="s">
        <v>33</v>
      </c>
      <c r="S25" s="55">
        <v>18.360613157894736</v>
      </c>
      <c r="T25" s="55" t="s">
        <v>46</v>
      </c>
      <c r="U25" s="22"/>
      <c r="V25" s="18"/>
    </row>
    <row r="26" spans="1:22" ht="9" customHeight="1">
      <c r="A26" s="47"/>
      <c r="B26" s="60"/>
      <c r="C26" s="60"/>
      <c r="D26" s="60"/>
      <c r="E26" s="60"/>
      <c r="F26" s="60"/>
      <c r="G26" s="60"/>
      <c r="H26" s="73" t="str">
        <f t="shared" si="0"/>
        <v>Chile</v>
      </c>
      <c r="I26" s="60"/>
      <c r="J26" s="60"/>
      <c r="K26" s="60"/>
      <c r="L26" s="60"/>
      <c r="M26" s="47"/>
      <c r="N26" s="47"/>
      <c r="O26" s="25"/>
      <c r="P26" s="25"/>
      <c r="Q26" s="25"/>
      <c r="R26" s="54" t="s">
        <v>32</v>
      </c>
      <c r="S26" s="55">
        <v>18</v>
      </c>
      <c r="T26" s="55">
        <v>100</v>
      </c>
      <c r="U26" s="17"/>
      <c r="V26" s="18"/>
    </row>
    <row r="27" spans="1:22" ht="9" customHeight="1">
      <c r="A27" s="47"/>
      <c r="B27" s="60"/>
      <c r="C27" s="60"/>
      <c r="D27" s="60"/>
      <c r="E27" s="60"/>
      <c r="F27" s="60"/>
      <c r="G27" s="60"/>
      <c r="H27" s="73" t="str">
        <f t="shared" si="0"/>
        <v>Colombia</v>
      </c>
      <c r="I27" s="60"/>
      <c r="J27" s="60"/>
      <c r="K27" s="60"/>
      <c r="L27" s="60"/>
      <c r="M27" s="47"/>
      <c r="N27" s="47"/>
      <c r="O27" s="25"/>
      <c r="P27" s="25"/>
      <c r="Q27" s="25"/>
      <c r="R27" s="54" t="s">
        <v>78</v>
      </c>
      <c r="S27" s="55">
        <v>18</v>
      </c>
      <c r="T27" s="55">
        <v>100</v>
      </c>
      <c r="U27" s="17"/>
      <c r="V27" s="18"/>
    </row>
    <row r="28" spans="1:22" ht="9" customHeight="1">
      <c r="A28" s="47"/>
      <c r="B28" s="60"/>
      <c r="C28" s="60"/>
      <c r="D28" s="60"/>
      <c r="E28" s="60"/>
      <c r="F28" s="60"/>
      <c r="G28" s="60"/>
      <c r="H28" s="73" t="str">
        <f t="shared" si="0"/>
        <v>Norway</v>
      </c>
      <c r="I28" s="60"/>
      <c r="J28" s="60"/>
      <c r="K28" s="60"/>
      <c r="L28" s="60"/>
      <c r="M28" s="47"/>
      <c r="N28" s="47"/>
      <c r="O28" s="25"/>
      <c r="P28" s="25"/>
      <c r="Q28" s="25"/>
      <c r="R28" s="54" t="s">
        <v>22</v>
      </c>
      <c r="S28" s="55">
        <v>18</v>
      </c>
      <c r="T28" s="55">
        <v>97.438203852551709</v>
      </c>
      <c r="U28" s="17"/>
      <c r="V28" s="18"/>
    </row>
    <row r="29" spans="1:22" ht="9" customHeight="1">
      <c r="A29" s="47"/>
      <c r="B29" s="60"/>
      <c r="C29" s="60"/>
      <c r="D29" s="60"/>
      <c r="E29" s="60"/>
      <c r="F29" s="60"/>
      <c r="G29" s="60"/>
      <c r="H29" s="73" t="str">
        <f t="shared" si="0"/>
        <v>Malta</v>
      </c>
      <c r="I29" s="60"/>
      <c r="J29" s="60"/>
      <c r="K29" s="60"/>
      <c r="L29" s="60"/>
      <c r="M29" s="47"/>
      <c r="N29" s="47"/>
      <c r="O29" s="25"/>
      <c r="P29" s="25"/>
      <c r="Q29" s="25"/>
      <c r="R29" s="54" t="s">
        <v>38</v>
      </c>
      <c r="S29" s="55">
        <v>18</v>
      </c>
      <c r="T29" s="55">
        <v>87.878782951998375</v>
      </c>
      <c r="U29" s="17"/>
      <c r="V29" s="18"/>
    </row>
    <row r="30" spans="1:22" ht="9" customHeight="1">
      <c r="A30" s="47"/>
      <c r="B30" s="60"/>
      <c r="C30" s="60"/>
      <c r="D30" s="60"/>
      <c r="E30" s="60"/>
      <c r="F30" s="60"/>
      <c r="G30" s="60"/>
      <c r="H30" s="73" t="str">
        <f t="shared" si="0"/>
        <v>Romania</v>
      </c>
      <c r="I30" s="60"/>
      <c r="J30" s="60"/>
      <c r="K30" s="60"/>
      <c r="L30" s="60"/>
      <c r="M30" s="47"/>
      <c r="N30" s="47"/>
      <c r="O30" s="25"/>
      <c r="P30" s="25"/>
      <c r="Q30" s="25"/>
      <c r="R30" s="54" t="s">
        <v>39</v>
      </c>
      <c r="S30" s="55">
        <v>18</v>
      </c>
      <c r="T30" s="55">
        <v>85</v>
      </c>
      <c r="U30" s="17"/>
      <c r="V30" s="18"/>
    </row>
    <row r="31" spans="1:22" ht="9" customHeight="1">
      <c r="A31" s="47"/>
      <c r="B31" s="60"/>
      <c r="C31" s="60"/>
      <c r="D31" s="60"/>
      <c r="E31" s="60"/>
      <c r="F31" s="60"/>
      <c r="G31" s="60"/>
      <c r="H31" s="73" t="str">
        <f t="shared" si="0"/>
        <v>Lithuania</v>
      </c>
      <c r="I31" s="60"/>
      <c r="J31" s="60"/>
      <c r="K31" s="60"/>
      <c r="L31" s="60"/>
      <c r="M31" s="47"/>
      <c r="N31" s="47"/>
      <c r="O31" s="25"/>
      <c r="P31" s="25"/>
      <c r="Q31" s="54"/>
      <c r="R31" s="54" t="s">
        <v>17</v>
      </c>
      <c r="S31" s="55">
        <v>18</v>
      </c>
      <c r="T31" s="55">
        <v>77.58</v>
      </c>
      <c r="U31" s="17"/>
      <c r="V31" s="18"/>
    </row>
    <row r="32" spans="1:22" ht="9" customHeight="1">
      <c r="A32" s="47"/>
      <c r="B32" s="60"/>
      <c r="C32" s="60"/>
      <c r="D32" s="60"/>
      <c r="E32" s="60"/>
      <c r="F32" s="60"/>
      <c r="G32" s="60"/>
      <c r="H32" s="73" t="str">
        <f t="shared" si="0"/>
        <v>Costa Rica</v>
      </c>
      <c r="I32" s="60"/>
      <c r="J32" s="60"/>
      <c r="K32" s="60"/>
      <c r="L32" s="60"/>
      <c r="M32" s="47"/>
      <c r="N32" s="47"/>
      <c r="O32" s="25"/>
      <c r="P32" s="25"/>
      <c r="Q32" s="25"/>
      <c r="R32" s="54" t="s">
        <v>67</v>
      </c>
      <c r="S32" s="55">
        <v>17.333300000000001</v>
      </c>
      <c r="T32" s="55">
        <v>100</v>
      </c>
      <c r="U32" s="17"/>
      <c r="V32" s="18"/>
    </row>
    <row r="33" spans="1:22" ht="9" customHeight="1">
      <c r="A33" s="47"/>
      <c r="B33" s="60"/>
      <c r="C33" s="60"/>
      <c r="D33" s="60"/>
      <c r="E33" s="60"/>
      <c r="F33" s="60"/>
      <c r="G33" s="60"/>
      <c r="H33" s="73" t="str">
        <f t="shared" si="0"/>
        <v>Austria</v>
      </c>
      <c r="I33" s="60"/>
      <c r="J33" s="60"/>
      <c r="K33" s="60"/>
      <c r="L33" s="60"/>
      <c r="M33" s="47"/>
      <c r="N33" s="47"/>
      <c r="O33" s="25"/>
      <c r="P33" s="25"/>
      <c r="Q33" s="25"/>
      <c r="R33" s="54" t="s">
        <v>1</v>
      </c>
      <c r="S33" s="55">
        <v>16</v>
      </c>
      <c r="T33" s="55">
        <v>100</v>
      </c>
      <c r="U33" s="17"/>
      <c r="V33" s="18"/>
    </row>
    <row r="34" spans="1:22" ht="9" customHeight="1">
      <c r="A34" s="47"/>
      <c r="B34" s="60"/>
      <c r="C34" s="60"/>
      <c r="D34" s="60"/>
      <c r="E34" s="60"/>
      <c r="F34" s="60"/>
      <c r="G34" s="60"/>
      <c r="H34" s="73" t="str">
        <f t="shared" si="0"/>
        <v>Netherlands</v>
      </c>
      <c r="I34" s="60"/>
      <c r="J34" s="60"/>
      <c r="K34" s="60"/>
      <c r="L34" s="60"/>
      <c r="M34" s="47"/>
      <c r="N34" s="47"/>
      <c r="O34" s="25"/>
      <c r="P34" s="25"/>
      <c r="Q34" s="25"/>
      <c r="R34" s="54" t="s">
        <v>20</v>
      </c>
      <c r="S34" s="55">
        <v>16</v>
      </c>
      <c r="T34" s="55">
        <v>100</v>
      </c>
      <c r="U34" s="17"/>
      <c r="V34" s="18"/>
    </row>
    <row r="35" spans="1:22" ht="9" customHeight="1">
      <c r="A35" s="47"/>
      <c r="B35" s="60"/>
      <c r="C35" s="60"/>
      <c r="D35" s="60"/>
      <c r="E35" s="60"/>
      <c r="F35" s="60"/>
      <c r="G35" s="60"/>
      <c r="H35" s="73" t="str">
        <f t="shared" si="0"/>
        <v>France</v>
      </c>
      <c r="I35" s="60"/>
      <c r="J35" s="60"/>
      <c r="K35" s="60"/>
      <c r="L35" s="60"/>
      <c r="M35" s="47"/>
      <c r="N35" s="47"/>
      <c r="O35" s="25"/>
      <c r="P35" s="25"/>
      <c r="Q35" s="25"/>
      <c r="R35" s="54" t="s">
        <v>7</v>
      </c>
      <c r="S35" s="55">
        <v>16</v>
      </c>
      <c r="T35" s="55">
        <v>100</v>
      </c>
      <c r="U35" s="17"/>
      <c r="V35" s="18"/>
    </row>
    <row r="36" spans="1:22" ht="9" customHeight="1">
      <c r="A36" s="47"/>
      <c r="B36" s="60"/>
      <c r="C36" s="60"/>
      <c r="D36" s="60"/>
      <c r="E36" s="60"/>
      <c r="F36" s="60"/>
      <c r="G36" s="60"/>
      <c r="H36" s="73" t="str">
        <f t="shared" si="0"/>
        <v>Türkiye</v>
      </c>
      <c r="I36" s="60"/>
      <c r="J36" s="60"/>
      <c r="K36" s="60"/>
      <c r="L36" s="60"/>
      <c r="M36" s="47"/>
      <c r="N36" s="47"/>
      <c r="O36" s="25"/>
      <c r="P36" s="25"/>
      <c r="Q36" s="25"/>
      <c r="R36" s="54" t="s">
        <v>81</v>
      </c>
      <c r="S36" s="55">
        <v>16</v>
      </c>
      <c r="T36" s="55">
        <v>100</v>
      </c>
      <c r="U36" s="17"/>
      <c r="V36" s="18"/>
    </row>
    <row r="37" spans="1:22" ht="9" customHeight="1">
      <c r="A37" s="47"/>
      <c r="B37" s="60"/>
      <c r="C37" s="60"/>
      <c r="D37" s="60"/>
      <c r="E37" s="60"/>
      <c r="F37" s="60"/>
      <c r="G37" s="60"/>
      <c r="H37" s="73" t="str">
        <f t="shared" si="0"/>
        <v>Spain</v>
      </c>
      <c r="I37" s="60"/>
      <c r="J37" s="60"/>
      <c r="K37" s="60"/>
      <c r="L37" s="60"/>
      <c r="M37" s="47"/>
      <c r="N37" s="47"/>
      <c r="O37" s="25"/>
      <c r="P37" s="25"/>
      <c r="Q37" s="25"/>
      <c r="R37" s="54" t="s">
        <v>27</v>
      </c>
      <c r="S37" s="55">
        <v>16</v>
      </c>
      <c r="T37" s="55">
        <v>100</v>
      </c>
      <c r="U37" s="17"/>
      <c r="V37" s="18"/>
    </row>
    <row r="38" spans="1:22" ht="9" customHeight="1">
      <c r="A38" s="47"/>
      <c r="B38" s="60"/>
      <c r="C38" s="60"/>
      <c r="D38" s="60"/>
      <c r="E38" s="60"/>
      <c r="F38" s="60"/>
      <c r="G38" s="60"/>
      <c r="H38" s="73" t="str">
        <f t="shared" si="0"/>
        <v>Latvia</v>
      </c>
      <c r="I38" s="60"/>
      <c r="J38" s="60"/>
      <c r="K38" s="60"/>
      <c r="L38" s="60"/>
      <c r="M38" s="47"/>
      <c r="N38" s="47"/>
      <c r="O38" s="25"/>
      <c r="P38" s="25"/>
      <c r="Q38" s="25"/>
      <c r="R38" s="54" t="s">
        <v>16</v>
      </c>
      <c r="S38" s="55">
        <v>16</v>
      </c>
      <c r="T38" s="55">
        <v>80</v>
      </c>
      <c r="U38" s="17"/>
      <c r="V38" s="18"/>
    </row>
    <row r="39" spans="1:22" ht="9" customHeight="1">
      <c r="A39" s="47"/>
      <c r="B39" s="60"/>
      <c r="C39" s="60"/>
      <c r="D39" s="60"/>
      <c r="E39" s="60"/>
      <c r="F39" s="60"/>
      <c r="G39" s="60"/>
      <c r="H39" s="73" t="str">
        <f t="shared" si="0"/>
        <v>Canada</v>
      </c>
      <c r="I39" s="60"/>
      <c r="J39" s="60"/>
      <c r="K39" s="60"/>
      <c r="L39" s="60"/>
      <c r="M39" s="47"/>
      <c r="N39" s="47"/>
      <c r="O39" s="25"/>
      <c r="P39" s="25"/>
      <c r="Q39" s="25"/>
      <c r="R39" s="54" t="s">
        <v>3</v>
      </c>
      <c r="S39" s="55">
        <v>16</v>
      </c>
      <c r="T39" s="55">
        <v>36.088888154515907</v>
      </c>
      <c r="U39" s="17"/>
      <c r="V39" s="18"/>
    </row>
    <row r="40" spans="1:22" ht="9" customHeight="1">
      <c r="A40" s="47"/>
      <c r="B40" s="60"/>
      <c r="C40" s="60"/>
      <c r="D40" s="60"/>
      <c r="E40" s="60"/>
      <c r="F40" s="60"/>
      <c r="G40" s="60"/>
      <c r="H40" s="73" t="str">
        <f t="shared" si="0"/>
        <v>Israel</v>
      </c>
      <c r="I40" s="60"/>
      <c r="J40" s="60"/>
      <c r="K40" s="60"/>
      <c r="L40" s="60"/>
      <c r="M40" s="47"/>
      <c r="N40" s="47"/>
      <c r="O40" s="25"/>
      <c r="P40" s="25"/>
      <c r="Q40" s="25"/>
      <c r="R40" s="54" t="s">
        <v>34</v>
      </c>
      <c r="S40" s="55">
        <v>15</v>
      </c>
      <c r="T40" s="55">
        <v>100</v>
      </c>
      <c r="U40" s="17"/>
      <c r="V40" s="18"/>
    </row>
    <row r="41" spans="1:22" ht="9" customHeight="1">
      <c r="A41" s="47"/>
      <c r="B41" s="60"/>
      <c r="C41" s="60"/>
      <c r="D41" s="60"/>
      <c r="E41" s="60"/>
      <c r="F41" s="60"/>
      <c r="G41" s="60"/>
      <c r="H41" s="73" t="str">
        <f t="shared" si="0"/>
        <v>Slovenia</v>
      </c>
      <c r="I41" s="60"/>
      <c r="J41" s="60"/>
      <c r="K41" s="60"/>
      <c r="L41" s="60"/>
      <c r="M41" s="47"/>
      <c r="N41" s="47"/>
      <c r="O41" s="25"/>
      <c r="P41" s="25"/>
      <c r="Q41" s="25"/>
      <c r="R41" s="54" t="s">
        <v>26</v>
      </c>
      <c r="S41" s="55">
        <v>15</v>
      </c>
      <c r="T41" s="55">
        <v>100</v>
      </c>
      <c r="U41" s="17"/>
      <c r="V41" s="18"/>
    </row>
    <row r="42" spans="1:22" ht="9" customHeight="1">
      <c r="A42" s="47"/>
      <c r="B42" s="60"/>
      <c r="C42" s="60"/>
      <c r="D42" s="60"/>
      <c r="E42" s="60"/>
      <c r="F42" s="60"/>
      <c r="G42" s="60"/>
      <c r="H42" s="73" t="str">
        <f t="shared" si="0"/>
        <v>Belgium</v>
      </c>
      <c r="I42" s="60"/>
      <c r="J42" s="60"/>
      <c r="K42" s="60"/>
      <c r="L42" s="60"/>
      <c r="M42" s="47"/>
      <c r="N42" s="47"/>
      <c r="O42" s="25"/>
      <c r="P42" s="25"/>
      <c r="Q42" s="54"/>
      <c r="R42" s="54" t="s">
        <v>2</v>
      </c>
      <c r="S42" s="55">
        <v>15</v>
      </c>
      <c r="T42" s="55">
        <v>77.02204000000016</v>
      </c>
      <c r="U42" s="15"/>
      <c r="V42" s="18"/>
    </row>
    <row r="43" spans="1:22" ht="9" customHeight="1">
      <c r="A43" s="47"/>
      <c r="B43" s="60"/>
      <c r="C43" s="60"/>
      <c r="D43" s="60"/>
      <c r="E43" s="60"/>
      <c r="F43" s="60"/>
      <c r="G43" s="60"/>
      <c r="H43" s="73" t="str">
        <f t="shared" si="0"/>
        <v>Estonia</v>
      </c>
      <c r="I43" s="60"/>
      <c r="J43" s="60"/>
      <c r="K43" s="60"/>
      <c r="L43" s="60"/>
      <c r="M43" s="47"/>
      <c r="N43" s="47"/>
      <c r="O43" s="25"/>
      <c r="P43" s="25"/>
      <c r="Q43" s="25"/>
      <c r="R43" s="54" t="s">
        <v>5</v>
      </c>
      <c r="S43" s="55">
        <v>14.285714285714286</v>
      </c>
      <c r="T43" s="55">
        <v>100</v>
      </c>
      <c r="U43" s="15"/>
      <c r="V43" s="18"/>
    </row>
    <row r="44" spans="1:22" ht="9" customHeight="1">
      <c r="A44" s="47"/>
      <c r="B44" s="60"/>
      <c r="C44" s="60"/>
      <c r="D44" s="60"/>
      <c r="E44" s="60"/>
      <c r="F44" s="60"/>
      <c r="G44" s="60"/>
      <c r="H44" s="73" t="str">
        <f t="shared" si="0"/>
        <v>Germany</v>
      </c>
      <c r="I44" s="60"/>
      <c r="J44" s="60"/>
      <c r="K44" s="60"/>
      <c r="L44" s="60"/>
      <c r="M44" s="47"/>
      <c r="N44" s="47"/>
      <c r="O44" s="25"/>
      <c r="P44" s="25"/>
      <c r="Q44" s="25"/>
      <c r="R44" s="54" t="s">
        <v>8</v>
      </c>
      <c r="S44" s="55">
        <v>14</v>
      </c>
      <c r="T44" s="55">
        <v>100</v>
      </c>
      <c r="U44" s="15"/>
      <c r="V44" s="18"/>
    </row>
    <row r="45" spans="1:22" ht="9" customHeight="1">
      <c r="A45" s="47"/>
      <c r="B45" s="60"/>
      <c r="C45" s="60"/>
      <c r="D45" s="60"/>
      <c r="E45" s="60"/>
      <c r="F45" s="60"/>
      <c r="G45" s="60"/>
      <c r="H45" s="73" t="str">
        <f t="shared" si="0"/>
        <v>Japan</v>
      </c>
      <c r="I45" s="60"/>
      <c r="J45" s="60"/>
      <c r="K45" s="60"/>
      <c r="L45" s="60"/>
      <c r="M45" s="47"/>
      <c r="N45" s="47"/>
      <c r="O45" s="25"/>
      <c r="P45" s="25"/>
      <c r="Q45" s="25"/>
      <c r="R45" s="54" t="s">
        <v>14</v>
      </c>
      <c r="S45" s="55">
        <v>14</v>
      </c>
      <c r="T45" s="55">
        <v>67</v>
      </c>
      <c r="U45" s="15"/>
      <c r="V45" s="18"/>
    </row>
    <row r="46" spans="1:22" ht="9" customHeight="1">
      <c r="A46" s="47"/>
      <c r="B46" s="60"/>
      <c r="C46" s="60"/>
      <c r="D46" s="60"/>
      <c r="E46" s="60"/>
      <c r="F46" s="60"/>
      <c r="G46" s="60"/>
      <c r="H46" s="73" t="str">
        <f t="shared" si="0"/>
        <v>Switzerland</v>
      </c>
      <c r="I46" s="60"/>
      <c r="J46" s="60"/>
      <c r="K46" s="60"/>
      <c r="L46" s="60"/>
      <c r="M46" s="47"/>
      <c r="N46" s="47"/>
      <c r="O46" s="25"/>
      <c r="P46" s="25"/>
      <c r="Q46" s="25"/>
      <c r="R46" s="54" t="s">
        <v>29</v>
      </c>
      <c r="S46" s="55">
        <v>14</v>
      </c>
      <c r="T46" s="55">
        <v>57.52738555934851</v>
      </c>
      <c r="V46" s="18"/>
    </row>
    <row r="47" spans="1:22" ht="9" customHeight="1">
      <c r="A47" s="47"/>
      <c r="B47" s="60"/>
      <c r="C47" s="60"/>
      <c r="D47" s="60"/>
      <c r="E47" s="60"/>
      <c r="F47" s="60"/>
      <c r="G47" s="60"/>
      <c r="H47" s="73" t="str">
        <f t="shared" si="0"/>
        <v>Korea</v>
      </c>
      <c r="I47" s="60"/>
      <c r="J47" s="60"/>
      <c r="K47" s="60"/>
      <c r="L47" s="60"/>
      <c r="M47" s="56"/>
      <c r="N47" s="47"/>
      <c r="O47" s="25"/>
      <c r="P47" s="25"/>
      <c r="Q47" s="25"/>
      <c r="R47" s="54" t="s">
        <v>15</v>
      </c>
      <c r="S47" s="55">
        <v>12.857142857142858</v>
      </c>
      <c r="T47" s="55">
        <v>81.938754733089766</v>
      </c>
      <c r="V47" s="18"/>
    </row>
    <row r="48" spans="1:22" ht="9" customHeight="1">
      <c r="A48" s="47"/>
      <c r="B48" s="60"/>
      <c r="C48" s="60"/>
      <c r="D48" s="60"/>
      <c r="E48" s="60"/>
      <c r="F48" s="60"/>
      <c r="G48" s="60"/>
      <c r="H48" s="73" t="str">
        <f t="shared" si="0"/>
        <v>Sweden</v>
      </c>
      <c r="I48" s="60"/>
      <c r="J48" s="60"/>
      <c r="K48" s="60"/>
      <c r="L48" s="60"/>
      <c r="M48" s="56"/>
      <c r="N48" s="47"/>
      <c r="O48" s="25"/>
      <c r="P48" s="25"/>
      <c r="Q48" s="25"/>
      <c r="R48" s="54" t="s">
        <v>28</v>
      </c>
      <c r="S48" s="55">
        <v>12.857142857142858</v>
      </c>
      <c r="T48" s="55">
        <v>77.600000000000009</v>
      </c>
      <c r="U48" s="17"/>
      <c r="V48" s="18"/>
    </row>
    <row r="49" spans="1:22" ht="9" customHeight="1">
      <c r="A49" s="47"/>
      <c r="B49" s="60"/>
      <c r="C49" s="60"/>
      <c r="D49" s="60"/>
      <c r="E49" s="60"/>
      <c r="F49" s="60"/>
      <c r="G49" s="60"/>
      <c r="H49" s="73" t="str">
        <f t="shared" si="0"/>
        <v>Mexico</v>
      </c>
      <c r="I49" s="60"/>
      <c r="J49" s="60"/>
      <c r="K49" s="60"/>
      <c r="L49" s="60"/>
      <c r="M49" s="57"/>
      <c r="N49" s="57"/>
      <c r="O49" s="58"/>
      <c r="P49" s="25"/>
      <c r="Q49" s="25"/>
      <c r="R49" s="54" t="s">
        <v>19</v>
      </c>
      <c r="S49" s="55">
        <v>12</v>
      </c>
      <c r="T49" s="55">
        <v>100</v>
      </c>
      <c r="V49" s="18"/>
    </row>
    <row r="50" spans="1:22" ht="9" customHeight="1">
      <c r="A50" s="47"/>
      <c r="B50" s="60"/>
      <c r="C50" s="60"/>
      <c r="D50" s="60"/>
      <c r="E50" s="60"/>
      <c r="F50" s="60"/>
      <c r="G50" s="60"/>
      <c r="H50" s="73" t="str">
        <f t="shared" si="0"/>
        <v>Finland</v>
      </c>
      <c r="I50" s="60"/>
      <c r="J50" s="60"/>
      <c r="K50" s="60"/>
      <c r="L50" s="60"/>
      <c r="M50" s="57"/>
      <c r="N50" s="57"/>
      <c r="O50" s="58"/>
      <c r="P50" s="25"/>
      <c r="Q50" s="25"/>
      <c r="R50" s="54" t="s">
        <v>6</v>
      </c>
      <c r="S50" s="55">
        <v>6.67</v>
      </c>
      <c r="T50" s="55">
        <v>84.763833143924955</v>
      </c>
      <c r="U50" s="17"/>
      <c r="V50" s="18"/>
    </row>
    <row r="51" spans="1:22" ht="9" customHeight="1">
      <c r="A51" s="47"/>
      <c r="B51" s="60"/>
      <c r="C51" s="60"/>
      <c r="D51" s="60"/>
      <c r="E51" s="60"/>
      <c r="F51" s="60"/>
      <c r="G51" s="60"/>
      <c r="H51" s="73" t="str">
        <f t="shared" si="0"/>
        <v>Portugal</v>
      </c>
      <c r="I51" s="60"/>
      <c r="J51" s="60"/>
      <c r="K51" s="60"/>
      <c r="L51" s="60"/>
      <c r="M51" s="57"/>
      <c r="N51" s="57"/>
      <c r="O51" s="58"/>
      <c r="P51" s="25"/>
      <c r="Q51" s="25"/>
      <c r="R51" s="54" t="s">
        <v>24</v>
      </c>
      <c r="S51" s="55">
        <v>6</v>
      </c>
      <c r="T51" s="55">
        <v>100</v>
      </c>
      <c r="V51" s="18"/>
    </row>
    <row r="52" spans="1:22" ht="9" customHeight="1">
      <c r="A52" s="47"/>
      <c r="B52" s="60"/>
      <c r="C52" s="60"/>
      <c r="D52" s="60"/>
      <c r="E52" s="60"/>
      <c r="F52" s="60"/>
      <c r="G52" s="60"/>
      <c r="H52" s="73" t="str">
        <f t="shared" si="0"/>
        <v>Australia</v>
      </c>
      <c r="I52" s="60"/>
      <c r="J52" s="60"/>
      <c r="K52" s="60"/>
      <c r="L52" s="60"/>
      <c r="M52" s="57"/>
      <c r="N52" s="57"/>
      <c r="O52" s="58"/>
      <c r="P52" s="25"/>
      <c r="Q52" s="25"/>
      <c r="R52" s="54" t="s">
        <v>0</v>
      </c>
      <c r="S52" s="55">
        <v>2</v>
      </c>
      <c r="T52" s="55">
        <v>45.885536389386672</v>
      </c>
      <c r="U52" s="17"/>
      <c r="V52" s="18"/>
    </row>
    <row r="53" spans="1:22">
      <c r="A53" s="47"/>
      <c r="B53" s="60"/>
      <c r="C53" s="60"/>
      <c r="D53" s="60"/>
      <c r="E53" s="60"/>
      <c r="F53" s="60"/>
      <c r="G53" s="60"/>
      <c r="H53" s="73" t="str">
        <f t="shared" si="0"/>
        <v>United States</v>
      </c>
      <c r="I53" s="60"/>
      <c r="J53" s="60"/>
      <c r="K53" s="60"/>
      <c r="L53" s="60"/>
      <c r="M53" s="57"/>
      <c r="N53" s="57"/>
      <c r="O53" s="58"/>
      <c r="P53" s="25"/>
      <c r="Q53" s="25"/>
      <c r="R53" s="54" t="s">
        <v>31</v>
      </c>
      <c r="S53" s="55">
        <v>0</v>
      </c>
      <c r="T53" s="55">
        <v>0</v>
      </c>
    </row>
    <row r="54" spans="1:22" ht="12.75" customHeight="1">
      <c r="A54" s="47"/>
      <c r="B54" s="143" t="s">
        <v>98</v>
      </c>
      <c r="C54" s="143"/>
      <c r="D54" s="143"/>
      <c r="E54" s="143"/>
      <c r="F54" s="143"/>
      <c r="G54" s="143"/>
      <c r="H54" s="143"/>
      <c r="I54" s="143"/>
      <c r="J54" s="143"/>
      <c r="K54" s="143"/>
      <c r="L54" s="143"/>
      <c r="M54" s="143"/>
      <c r="N54" s="143"/>
      <c r="O54" s="57"/>
      <c r="P54" s="25"/>
      <c r="Q54" s="25"/>
      <c r="R54" s="25"/>
      <c r="S54" s="25"/>
      <c r="T54" s="25"/>
      <c r="U54" s="23"/>
    </row>
    <row r="55" spans="1:22" ht="12.75" customHeight="1">
      <c r="A55" s="47"/>
      <c r="B55" s="143"/>
      <c r="C55" s="143"/>
      <c r="D55" s="143"/>
      <c r="E55" s="143"/>
      <c r="F55" s="143"/>
      <c r="G55" s="143"/>
      <c r="H55" s="143"/>
      <c r="I55" s="143"/>
      <c r="J55" s="143"/>
      <c r="K55" s="143"/>
      <c r="L55" s="143"/>
      <c r="M55" s="143"/>
      <c r="N55" s="143"/>
      <c r="O55" s="57"/>
      <c r="P55" s="25"/>
      <c r="Q55" s="25"/>
      <c r="R55" s="25"/>
      <c r="S55" s="25"/>
      <c r="T55" s="25"/>
      <c r="U55" s="23"/>
    </row>
    <row r="56" spans="1:22" ht="12.75" customHeight="1">
      <c r="A56" s="47"/>
      <c r="B56" s="142" t="s">
        <v>88</v>
      </c>
      <c r="C56" s="142"/>
      <c r="D56" s="142"/>
      <c r="E56" s="142"/>
      <c r="F56" s="142"/>
      <c r="G56" s="142"/>
      <c r="H56" s="142"/>
      <c r="I56" s="142"/>
      <c r="J56" s="142"/>
      <c r="K56" s="142"/>
      <c r="L56" s="142"/>
      <c r="M56" s="142"/>
      <c r="N56" s="142"/>
      <c r="O56" s="25"/>
      <c r="P56" s="25"/>
      <c r="Q56" s="25"/>
      <c r="R56" s="25"/>
      <c r="S56" s="25"/>
      <c r="T56" s="25"/>
    </row>
    <row r="57" spans="1:22">
      <c r="A57" s="47"/>
      <c r="B57" s="57"/>
      <c r="C57" s="57"/>
      <c r="D57" s="57"/>
      <c r="E57" s="57"/>
      <c r="F57" s="57"/>
      <c r="G57" s="57"/>
      <c r="H57" s="57"/>
      <c r="I57" s="57"/>
      <c r="J57" s="57"/>
      <c r="K57" s="57"/>
      <c r="L57" s="57"/>
      <c r="M57" s="47"/>
      <c r="N57" s="47"/>
      <c r="O57" s="25"/>
      <c r="P57" s="25"/>
      <c r="Q57" s="25"/>
      <c r="R57" s="25"/>
      <c r="S57" s="25"/>
      <c r="T57" s="25"/>
    </row>
    <row r="58" spans="1:22">
      <c r="B58" s="11"/>
      <c r="C58" s="11"/>
      <c r="D58" s="11"/>
      <c r="E58" s="11"/>
      <c r="F58" s="11"/>
      <c r="G58" s="11"/>
      <c r="H58" s="11"/>
      <c r="I58" s="11"/>
      <c r="J58" s="11"/>
      <c r="K58" s="11"/>
      <c r="L58" s="11"/>
      <c r="R58" s="19"/>
      <c r="S58" s="19"/>
      <c r="T58" s="19"/>
    </row>
    <row r="59" spans="1:22">
      <c r="B59" s="11"/>
      <c r="C59" s="11"/>
      <c r="D59" s="11"/>
      <c r="E59" s="11"/>
      <c r="F59" s="11"/>
      <c r="G59" s="11"/>
      <c r="H59" s="11"/>
      <c r="I59" s="11"/>
      <c r="J59" s="11"/>
      <c r="K59" s="11"/>
      <c r="L59" s="11"/>
      <c r="R59" s="19"/>
      <c r="S59" s="19"/>
      <c r="T59" s="19"/>
    </row>
    <row r="60" spans="1:22">
      <c r="B60" s="11"/>
      <c r="C60" s="11"/>
      <c r="D60" s="11"/>
      <c r="E60" s="11"/>
      <c r="F60" s="11"/>
      <c r="G60" s="11"/>
      <c r="H60" s="11"/>
      <c r="I60" s="11"/>
      <c r="J60" s="11"/>
      <c r="K60" s="11"/>
      <c r="L60" s="11"/>
    </row>
    <row r="61" spans="1:22">
      <c r="B61" s="13"/>
      <c r="C61" s="13"/>
      <c r="D61" s="13"/>
      <c r="E61" s="13"/>
      <c r="F61" s="13"/>
      <c r="G61" s="13"/>
      <c r="H61" s="44"/>
      <c r="I61" s="44"/>
      <c r="J61" s="13"/>
      <c r="K61" s="13"/>
      <c r="L61" s="13"/>
    </row>
    <row r="62" spans="1:22">
      <c r="B62" s="13"/>
      <c r="C62" s="13"/>
      <c r="D62" s="13"/>
      <c r="E62" s="13"/>
      <c r="F62" s="13"/>
      <c r="G62" s="13"/>
      <c r="H62" s="44"/>
      <c r="I62" s="44"/>
      <c r="J62" s="13"/>
      <c r="K62" s="13"/>
      <c r="L62" s="13"/>
    </row>
    <row r="63" spans="1:22">
      <c r="B63" s="13"/>
      <c r="C63" s="13"/>
      <c r="D63" s="13"/>
      <c r="E63" s="13"/>
      <c r="F63" s="13"/>
      <c r="G63" s="13"/>
      <c r="H63" s="44"/>
      <c r="I63" s="44"/>
      <c r="J63" s="13"/>
      <c r="K63" s="13"/>
      <c r="L63" s="13"/>
    </row>
  </sheetData>
  <sortState xmlns:xlrd2="http://schemas.microsoft.com/office/spreadsheetml/2017/richdata2" ref="R9:T53">
    <sortCondition descending="1" ref="S9:S53"/>
    <sortCondition descending="1" ref="T9:T53"/>
  </sortState>
  <mergeCells count="7">
    <mergeCell ref="B56:N56"/>
    <mergeCell ref="B54:N55"/>
    <mergeCell ref="S7:T7"/>
    <mergeCell ref="B1:N2"/>
    <mergeCell ref="C6:G6"/>
    <mergeCell ref="I6:M6"/>
    <mergeCell ref="B3:O4"/>
  </mergeCells>
  <pageMargins left="1.3888888888888888E-2" right="1.3888888888888888E-2" top="2.7777777777777776E-2" bottom="2.7777777777777776E-2" header="0.31496062992125984" footer="0.31496062992125984"/>
  <pageSetup paperSize="9" orientation="portrait" r:id="rId1"/>
  <headerFoot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PrintArea" r:id="rId10"/>
    <customPr name="SinglePanel" r:id="rId11"/>
    <customPr name="StartColorIndex" r:id="rId12"/>
    <customPr name="StartColorName" r:id="rId13"/>
    <customPr name="StyleTemplateIndex" r:id="rId14"/>
    <customPr name="StyleTemplateName" r:id="rId15"/>
  </customProperties>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V63"/>
  <sheetViews>
    <sheetView showGridLines="0" zoomScaleNormal="100" workbookViewId="0">
      <selection activeCell="B1" sqref="B1:N2"/>
    </sheetView>
  </sheetViews>
  <sheetFormatPr defaultColWidth="8.81640625" defaultRowHeight="13"/>
  <cols>
    <col min="1" max="1" width="2.453125" style="10" customWidth="1"/>
    <col min="2" max="2" width="2.81640625" style="10" customWidth="1"/>
    <col min="3" max="6" width="7.453125" style="10" customWidth="1"/>
    <col min="7" max="7" width="7.453125" style="12" customWidth="1"/>
    <col min="8" max="8" width="10.54296875" style="12" bestFit="1" customWidth="1"/>
    <col min="9" max="9" width="7.453125" style="12" customWidth="1"/>
    <col min="10" max="13" width="7.453125" style="10" customWidth="1"/>
    <col min="14" max="14" width="5" style="10" customWidth="1"/>
    <col min="15" max="15" width="2.453125" style="14" customWidth="1"/>
    <col min="16" max="17" width="8.81640625" style="19"/>
    <col min="18" max="18" width="14.26953125" style="20" customWidth="1"/>
    <col min="19" max="20" width="16.453125" style="21" customWidth="1"/>
    <col min="21" max="21" width="8.81640625" style="19"/>
    <col min="22" max="16384" width="8.81640625" style="10"/>
  </cols>
  <sheetData>
    <row r="1" spans="1:22">
      <c r="A1" s="47"/>
      <c r="B1" s="145" t="s">
        <v>80</v>
      </c>
      <c r="C1" s="145"/>
      <c r="D1" s="145"/>
      <c r="E1" s="145"/>
      <c r="F1" s="145"/>
      <c r="G1" s="145"/>
      <c r="H1" s="145"/>
      <c r="I1" s="145"/>
      <c r="J1" s="145"/>
      <c r="K1" s="145"/>
      <c r="L1" s="145"/>
      <c r="M1" s="145"/>
      <c r="N1" s="145"/>
      <c r="O1" s="25"/>
      <c r="P1" s="25"/>
      <c r="Q1" s="25"/>
      <c r="R1" s="48"/>
      <c r="S1" s="48"/>
      <c r="T1" s="48"/>
      <c r="U1" s="15"/>
    </row>
    <row r="2" spans="1:22">
      <c r="A2" s="47"/>
      <c r="B2" s="145"/>
      <c r="C2" s="145"/>
      <c r="D2" s="145"/>
      <c r="E2" s="145"/>
      <c r="F2" s="145"/>
      <c r="G2" s="145"/>
      <c r="H2" s="145"/>
      <c r="I2" s="145"/>
      <c r="J2" s="145"/>
      <c r="K2" s="145"/>
      <c r="L2" s="145"/>
      <c r="M2" s="145"/>
      <c r="N2" s="145"/>
      <c r="O2" s="25"/>
      <c r="P2" s="25"/>
      <c r="Q2" s="25"/>
      <c r="R2" s="48"/>
      <c r="S2" s="48"/>
      <c r="T2" s="48"/>
      <c r="U2" s="15"/>
    </row>
    <row r="3" spans="1:22">
      <c r="A3" s="47"/>
      <c r="B3" s="150" t="s">
        <v>94</v>
      </c>
      <c r="C3" s="150"/>
      <c r="D3" s="150"/>
      <c r="E3" s="150"/>
      <c r="F3" s="150"/>
      <c r="G3" s="150"/>
      <c r="H3" s="150"/>
      <c r="I3" s="150"/>
      <c r="J3" s="150"/>
      <c r="K3" s="150"/>
      <c r="L3" s="150"/>
      <c r="M3" s="150"/>
      <c r="N3" s="150"/>
      <c r="O3" s="25"/>
      <c r="P3" s="25"/>
      <c r="Q3" s="25"/>
      <c r="R3" s="49"/>
      <c r="S3" s="49"/>
      <c r="T3" s="49"/>
      <c r="U3" s="15"/>
    </row>
    <row r="4" spans="1:22">
      <c r="A4" s="47"/>
      <c r="B4" s="150"/>
      <c r="C4" s="150"/>
      <c r="D4" s="150"/>
      <c r="E4" s="150"/>
      <c r="F4" s="150"/>
      <c r="G4" s="150"/>
      <c r="H4" s="150"/>
      <c r="I4" s="150"/>
      <c r="J4" s="150"/>
      <c r="K4" s="150"/>
      <c r="L4" s="150"/>
      <c r="M4" s="150"/>
      <c r="N4" s="150"/>
      <c r="O4" s="25"/>
      <c r="P4" s="25"/>
      <c r="Q4" s="25"/>
      <c r="R4" s="49"/>
      <c r="S4" s="49"/>
      <c r="T4" s="49"/>
      <c r="U4" s="15"/>
    </row>
    <row r="5" spans="1:22">
      <c r="A5" s="47"/>
      <c r="B5" s="65"/>
      <c r="C5" s="65"/>
      <c r="D5" s="65"/>
      <c r="E5" s="65"/>
      <c r="F5" s="65"/>
      <c r="G5" s="65"/>
      <c r="H5" s="65"/>
      <c r="I5" s="65"/>
      <c r="J5" s="65"/>
      <c r="K5" s="65"/>
      <c r="L5" s="65"/>
      <c r="M5" s="65"/>
      <c r="N5" s="65"/>
      <c r="O5" s="25"/>
      <c r="P5" s="25"/>
      <c r="Q5" s="25"/>
      <c r="R5" s="49"/>
      <c r="S5" s="49"/>
      <c r="T5" s="49"/>
      <c r="U5" s="15"/>
    </row>
    <row r="6" spans="1:22" ht="25" customHeight="1">
      <c r="A6" s="47"/>
      <c r="C6" s="147" t="s">
        <v>51</v>
      </c>
      <c r="D6" s="147"/>
      <c r="E6" s="147"/>
      <c r="F6" s="147"/>
      <c r="G6" s="147"/>
      <c r="H6" s="60"/>
      <c r="I6" s="147" t="s">
        <v>52</v>
      </c>
      <c r="J6" s="147"/>
      <c r="K6" s="147"/>
      <c r="L6" s="147"/>
      <c r="M6" s="147"/>
      <c r="N6" s="57"/>
      <c r="O6" s="25"/>
      <c r="P6" s="25"/>
      <c r="Q6" s="25"/>
      <c r="R6" s="49"/>
      <c r="S6" s="49"/>
      <c r="T6" s="49"/>
      <c r="U6" s="15"/>
    </row>
    <row r="7" spans="1:22" ht="13.5" customHeight="1">
      <c r="A7" s="47"/>
      <c r="B7" s="59"/>
      <c r="C7" s="59"/>
      <c r="D7" s="59"/>
      <c r="E7" s="59"/>
      <c r="F7" s="59"/>
      <c r="G7" s="51"/>
      <c r="H7" s="51"/>
      <c r="I7" s="51"/>
      <c r="J7" s="57"/>
      <c r="K7" s="57"/>
      <c r="L7" s="57"/>
      <c r="M7" s="57"/>
      <c r="N7" s="57"/>
      <c r="O7" s="25"/>
      <c r="P7" s="25"/>
      <c r="Q7" s="25"/>
      <c r="R7" s="64"/>
      <c r="S7" s="149" t="s">
        <v>47</v>
      </c>
      <c r="T7" s="149"/>
      <c r="U7" s="15"/>
    </row>
    <row r="8" spans="1:22" ht="13.5" customHeight="1">
      <c r="A8" s="47"/>
      <c r="B8" s="47"/>
      <c r="C8" s="47"/>
      <c r="D8" s="47"/>
      <c r="E8" s="47"/>
      <c r="F8" s="47"/>
      <c r="G8" s="51"/>
      <c r="H8" s="51"/>
      <c r="I8" s="51"/>
      <c r="J8" s="47"/>
      <c r="K8" s="47"/>
      <c r="L8" s="47"/>
      <c r="M8" s="47"/>
      <c r="N8" s="47"/>
      <c r="O8" s="25"/>
      <c r="P8" s="25"/>
      <c r="Q8" s="25"/>
      <c r="R8" s="52"/>
      <c r="S8" s="45" t="s">
        <v>50</v>
      </c>
      <c r="T8" s="45" t="s">
        <v>48</v>
      </c>
      <c r="U8" s="15"/>
    </row>
    <row r="9" spans="1:22" ht="9" customHeight="1">
      <c r="A9" s="47"/>
      <c r="B9" s="60"/>
      <c r="C9" s="60"/>
      <c r="D9" s="60"/>
      <c r="E9" s="60"/>
      <c r="F9" s="60"/>
      <c r="G9" s="60"/>
      <c r="H9" s="73" t="str">
        <f t="shared" ref="H9:H53" si="0">R9</f>
        <v>Finland</v>
      </c>
      <c r="I9" s="60"/>
      <c r="J9" s="60"/>
      <c r="K9" s="60"/>
      <c r="L9" s="60"/>
      <c r="M9" s="47"/>
      <c r="N9" s="47"/>
      <c r="O9" s="25"/>
      <c r="P9" s="25"/>
      <c r="Q9" s="25"/>
      <c r="R9" s="54" t="s">
        <v>6</v>
      </c>
      <c r="S9" s="55">
        <v>154.33000000000001</v>
      </c>
      <c r="T9" s="55">
        <v>22.059403699928019</v>
      </c>
      <c r="U9" s="17"/>
      <c r="V9" s="18"/>
    </row>
    <row r="10" spans="1:22" ht="9" customHeight="1">
      <c r="A10" s="47"/>
      <c r="B10" s="60"/>
      <c r="C10" s="60"/>
      <c r="D10" s="60"/>
      <c r="E10" s="60"/>
      <c r="F10" s="60"/>
      <c r="G10" s="60"/>
      <c r="H10" s="73" t="str">
        <f t="shared" si="0"/>
        <v>Hungary</v>
      </c>
      <c r="I10" s="60"/>
      <c r="J10" s="60"/>
      <c r="K10" s="60"/>
      <c r="L10" s="60"/>
      <c r="M10" s="47"/>
      <c r="N10" s="47"/>
      <c r="O10" s="25"/>
      <c r="P10" s="25"/>
      <c r="Q10" s="25"/>
      <c r="R10" s="54" t="s">
        <v>10</v>
      </c>
      <c r="S10" s="55">
        <v>136</v>
      </c>
      <c r="T10" s="55">
        <v>38.148585577893272</v>
      </c>
      <c r="U10" s="17"/>
      <c r="V10" s="18"/>
    </row>
    <row r="11" spans="1:22" ht="9" customHeight="1">
      <c r="A11" s="47"/>
      <c r="B11" s="60"/>
      <c r="C11" s="60"/>
      <c r="D11" s="60"/>
      <c r="E11" s="60"/>
      <c r="F11" s="60"/>
      <c r="G11" s="60"/>
      <c r="H11" s="73" t="str">
        <f t="shared" si="0"/>
        <v>Slovak Republic</v>
      </c>
      <c r="I11" s="60"/>
      <c r="J11" s="60"/>
      <c r="K11" s="60"/>
      <c r="L11" s="60"/>
      <c r="M11" s="47"/>
      <c r="N11" s="47"/>
      <c r="O11" s="25"/>
      <c r="P11" s="25"/>
      <c r="Q11" s="25"/>
      <c r="R11" s="54" t="s">
        <v>25</v>
      </c>
      <c r="S11" s="55">
        <v>130</v>
      </c>
      <c r="T11" s="55">
        <v>31.216706766965984</v>
      </c>
      <c r="U11" s="17"/>
      <c r="V11" s="18"/>
    </row>
    <row r="12" spans="1:22" ht="9" customHeight="1">
      <c r="A12" s="47"/>
      <c r="B12" s="60"/>
      <c r="C12" s="60"/>
      <c r="D12" s="60"/>
      <c r="E12" s="60"/>
      <c r="F12" s="60"/>
      <c r="G12" s="60"/>
      <c r="H12" s="73" t="str">
        <f t="shared" si="0"/>
        <v>Romania</v>
      </c>
      <c r="I12" s="60"/>
      <c r="J12" s="60"/>
      <c r="K12" s="60"/>
      <c r="L12" s="60"/>
      <c r="M12" s="47"/>
      <c r="N12" s="47"/>
      <c r="O12" s="25"/>
      <c r="P12" s="25"/>
      <c r="Q12" s="25"/>
      <c r="R12" s="54" t="s">
        <v>39</v>
      </c>
      <c r="S12" s="55">
        <v>86.33</v>
      </c>
      <c r="T12" s="55">
        <v>85</v>
      </c>
      <c r="U12" s="17"/>
      <c r="V12" s="18"/>
    </row>
    <row r="13" spans="1:22" ht="9" customHeight="1">
      <c r="A13" s="47"/>
      <c r="B13" s="60"/>
      <c r="C13" s="60"/>
      <c r="D13" s="60"/>
      <c r="E13" s="60"/>
      <c r="F13" s="60"/>
      <c r="G13" s="60"/>
      <c r="H13" s="73" t="str">
        <f t="shared" si="0"/>
        <v>Latvia</v>
      </c>
      <c r="I13" s="60"/>
      <c r="J13" s="60"/>
      <c r="K13" s="60"/>
      <c r="L13" s="60"/>
      <c r="M13" s="47"/>
      <c r="N13" s="47"/>
      <c r="O13" s="25"/>
      <c r="P13" s="25"/>
      <c r="Q13" s="25"/>
      <c r="R13" s="54" t="s">
        <v>16</v>
      </c>
      <c r="S13" s="55">
        <v>78</v>
      </c>
      <c r="T13" s="55">
        <v>39.900230099994957</v>
      </c>
      <c r="U13" s="17"/>
      <c r="V13" s="18"/>
    </row>
    <row r="14" spans="1:22" ht="9" customHeight="1">
      <c r="A14" s="47"/>
      <c r="B14" s="60"/>
      <c r="C14" s="60"/>
      <c r="D14" s="60"/>
      <c r="E14" s="60"/>
      <c r="F14" s="60"/>
      <c r="G14" s="60"/>
      <c r="H14" s="73" t="str">
        <f t="shared" si="0"/>
        <v>Korea</v>
      </c>
      <c r="I14" s="60"/>
      <c r="J14" s="60"/>
      <c r="K14" s="60"/>
      <c r="L14" s="60"/>
      <c r="M14" s="47"/>
      <c r="N14" s="47"/>
      <c r="O14" s="25"/>
      <c r="P14" s="25"/>
      <c r="Q14" s="25"/>
      <c r="R14" s="54" t="s">
        <v>15</v>
      </c>
      <c r="S14" s="55">
        <v>78</v>
      </c>
      <c r="T14" s="55">
        <v>47.494515635140004</v>
      </c>
      <c r="U14" s="17"/>
      <c r="V14" s="18"/>
    </row>
    <row r="15" spans="1:22" ht="9" customHeight="1">
      <c r="A15" s="47"/>
      <c r="B15" s="60"/>
      <c r="C15" s="60"/>
      <c r="D15" s="60"/>
      <c r="E15" s="60"/>
      <c r="F15" s="60"/>
      <c r="G15" s="60"/>
      <c r="H15" s="73" t="str">
        <f t="shared" si="0"/>
        <v>Norway</v>
      </c>
      <c r="I15" s="60"/>
      <c r="J15" s="60"/>
      <c r="K15" s="60"/>
      <c r="L15" s="60"/>
      <c r="M15" s="47"/>
      <c r="N15" s="47"/>
      <c r="O15" s="25"/>
      <c r="P15" s="25"/>
      <c r="Q15" s="25"/>
      <c r="R15" s="54" t="s">
        <v>22</v>
      </c>
      <c r="S15" s="55">
        <v>68</v>
      </c>
      <c r="T15" s="55">
        <v>31.938097441443357</v>
      </c>
      <c r="U15" s="17"/>
      <c r="V15" s="18"/>
    </row>
    <row r="16" spans="1:22" ht="9" customHeight="1">
      <c r="A16" s="47"/>
      <c r="B16" s="60"/>
      <c r="C16" s="60"/>
      <c r="D16" s="60"/>
      <c r="E16" s="60"/>
      <c r="F16" s="60"/>
      <c r="G16" s="60"/>
      <c r="H16" s="73" t="str">
        <f t="shared" si="0"/>
        <v>Estonia</v>
      </c>
      <c r="I16" s="60"/>
      <c r="J16" s="60"/>
      <c r="K16" s="60"/>
      <c r="L16" s="60"/>
      <c r="M16" s="47"/>
      <c r="N16" s="47"/>
      <c r="O16" s="25"/>
      <c r="P16" s="25"/>
      <c r="Q16" s="25"/>
      <c r="R16" s="54" t="s">
        <v>5</v>
      </c>
      <c r="S16" s="55">
        <v>67.857142857142861</v>
      </c>
      <c r="T16" s="55">
        <v>100</v>
      </c>
      <c r="U16" s="17"/>
      <c r="V16" s="18"/>
    </row>
    <row r="17" spans="1:22" ht="9" customHeight="1">
      <c r="A17" s="47"/>
      <c r="B17" s="60"/>
      <c r="C17" s="60"/>
      <c r="D17" s="60"/>
      <c r="E17" s="60"/>
      <c r="F17" s="60"/>
      <c r="G17" s="60"/>
      <c r="H17" s="73" t="str">
        <f t="shared" si="0"/>
        <v>Lithuania</v>
      </c>
      <c r="I17" s="60"/>
      <c r="J17" s="60"/>
      <c r="K17" s="60"/>
      <c r="L17" s="60"/>
      <c r="M17" s="47"/>
      <c r="N17" s="47"/>
      <c r="O17" s="25"/>
      <c r="P17" s="25"/>
      <c r="Q17" s="25"/>
      <c r="R17" s="54" t="s">
        <v>17</v>
      </c>
      <c r="S17" s="55">
        <v>61.66666</v>
      </c>
      <c r="T17" s="55">
        <v>62.469870753499535</v>
      </c>
      <c r="U17" s="17"/>
      <c r="V17" s="18"/>
    </row>
    <row r="18" spans="1:22" ht="9" customHeight="1">
      <c r="A18" s="47"/>
      <c r="B18" s="60"/>
      <c r="C18" s="60"/>
      <c r="D18" s="60"/>
      <c r="E18" s="60"/>
      <c r="F18" s="60"/>
      <c r="G18" s="60"/>
      <c r="H18" s="73" t="str">
        <f t="shared" si="0"/>
        <v>Bulgaria</v>
      </c>
      <c r="I18" s="60"/>
      <c r="J18" s="60"/>
      <c r="K18" s="60"/>
      <c r="L18" s="60"/>
      <c r="M18" s="47"/>
      <c r="N18" s="47"/>
      <c r="O18" s="25"/>
      <c r="P18" s="25"/>
      <c r="Q18" s="25"/>
      <c r="R18" s="54" t="s">
        <v>35</v>
      </c>
      <c r="S18" s="55">
        <v>51.86</v>
      </c>
      <c r="T18" s="55">
        <v>33.535237437363271</v>
      </c>
      <c r="U18" s="17"/>
      <c r="V18" s="18"/>
    </row>
    <row r="19" spans="1:22" ht="9" customHeight="1">
      <c r="A19" s="47"/>
      <c r="B19" s="60"/>
      <c r="C19" s="60"/>
      <c r="D19" s="60"/>
      <c r="E19" s="60"/>
      <c r="F19" s="60"/>
      <c r="G19" s="60"/>
      <c r="H19" s="73" t="str">
        <f t="shared" si="0"/>
        <v>EU average</v>
      </c>
      <c r="I19" s="60"/>
      <c r="J19" s="60"/>
      <c r="K19" s="60"/>
      <c r="L19" s="60"/>
      <c r="M19" s="47"/>
      <c r="N19" s="47"/>
      <c r="O19" s="25"/>
      <c r="P19" s="25"/>
      <c r="Q19" s="25"/>
      <c r="R19" s="54" t="s">
        <v>66</v>
      </c>
      <c r="S19" s="55">
        <v>44.843804606934043</v>
      </c>
      <c r="T19" s="55" t="s">
        <v>46</v>
      </c>
      <c r="U19" s="17"/>
      <c r="V19" s="18"/>
    </row>
    <row r="20" spans="1:22" ht="9" customHeight="1">
      <c r="A20" s="47"/>
      <c r="B20" s="60"/>
      <c r="C20" s="60"/>
      <c r="D20" s="60"/>
      <c r="E20" s="60"/>
      <c r="F20" s="60"/>
      <c r="G20" s="60"/>
      <c r="H20" s="73" t="str">
        <f t="shared" si="0"/>
        <v>Austria</v>
      </c>
      <c r="I20" s="60"/>
      <c r="J20" s="60"/>
      <c r="K20" s="60"/>
      <c r="L20" s="60"/>
      <c r="M20" s="47"/>
      <c r="N20" s="47"/>
      <c r="O20" s="25"/>
      <c r="P20" s="25"/>
      <c r="Q20" s="25"/>
      <c r="R20" s="54" t="s">
        <v>1</v>
      </c>
      <c r="S20" s="55">
        <v>44</v>
      </c>
      <c r="T20" s="55">
        <v>69.36840214365705</v>
      </c>
      <c r="U20" s="17"/>
      <c r="V20" s="18"/>
    </row>
    <row r="21" spans="1:22" ht="9" customHeight="1">
      <c r="A21" s="47"/>
      <c r="B21" s="60"/>
      <c r="C21" s="60"/>
      <c r="D21" s="60"/>
      <c r="E21" s="60"/>
      <c r="F21" s="60"/>
      <c r="G21" s="60"/>
      <c r="H21" s="73" t="str">
        <f t="shared" si="0"/>
        <v>Germany</v>
      </c>
      <c r="I21" s="60"/>
      <c r="J21" s="60"/>
      <c r="K21" s="60"/>
      <c r="L21" s="60"/>
      <c r="M21" s="47"/>
      <c r="N21" s="47"/>
      <c r="O21" s="25"/>
      <c r="P21" s="25"/>
      <c r="Q21" s="25"/>
      <c r="R21" s="54" t="s">
        <v>8</v>
      </c>
      <c r="S21" s="55">
        <v>44</v>
      </c>
      <c r="T21" s="55">
        <v>55.049182366727457</v>
      </c>
      <c r="U21" s="17"/>
      <c r="V21" s="18"/>
    </row>
    <row r="22" spans="1:22" ht="9" customHeight="1">
      <c r="A22" s="47"/>
      <c r="B22" s="60"/>
      <c r="C22" s="60"/>
      <c r="D22" s="60"/>
      <c r="E22" s="60"/>
      <c r="F22" s="60"/>
      <c r="G22" s="60"/>
      <c r="H22" s="73" t="str">
        <f t="shared" si="0"/>
        <v>Japan</v>
      </c>
      <c r="I22" s="60"/>
      <c r="J22" s="60"/>
      <c r="K22" s="60"/>
      <c r="L22" s="60"/>
      <c r="M22" s="47"/>
      <c r="N22" s="47"/>
      <c r="O22" s="25"/>
      <c r="P22" s="25"/>
      <c r="Q22" s="25"/>
      <c r="R22" s="54" t="s">
        <v>14</v>
      </c>
      <c r="S22" s="55">
        <v>44</v>
      </c>
      <c r="T22" s="55">
        <v>61.116883116883123</v>
      </c>
      <c r="U22" s="17"/>
      <c r="V22" s="18"/>
    </row>
    <row r="23" spans="1:22" ht="9" customHeight="1">
      <c r="A23" s="47"/>
      <c r="B23" s="60"/>
      <c r="C23" s="60"/>
      <c r="D23" s="60"/>
      <c r="E23" s="60"/>
      <c r="F23" s="60"/>
      <c r="G23" s="60"/>
      <c r="H23" s="73" t="str">
        <f t="shared" si="0"/>
        <v>Sweden</v>
      </c>
      <c r="I23" s="60"/>
      <c r="J23" s="60"/>
      <c r="K23" s="60"/>
      <c r="L23" s="60"/>
      <c r="M23" s="47"/>
      <c r="N23" s="47"/>
      <c r="O23" s="25"/>
      <c r="P23" s="25"/>
      <c r="Q23" s="25"/>
      <c r="R23" s="54" t="s">
        <v>28</v>
      </c>
      <c r="S23" s="55">
        <v>42.857142857142854</v>
      </c>
      <c r="T23" s="55">
        <v>56.933035937281517</v>
      </c>
      <c r="U23" s="17"/>
      <c r="V23" s="18"/>
    </row>
    <row r="24" spans="1:22" ht="9" customHeight="1">
      <c r="A24" s="47"/>
      <c r="B24" s="60"/>
      <c r="C24" s="60"/>
      <c r="D24" s="60"/>
      <c r="E24" s="60"/>
      <c r="F24" s="60"/>
      <c r="G24" s="60"/>
      <c r="H24" s="73" t="str">
        <f t="shared" si="0"/>
        <v>Czechia</v>
      </c>
      <c r="I24" s="60"/>
      <c r="J24" s="60"/>
      <c r="K24" s="60"/>
      <c r="L24" s="60"/>
      <c r="M24" s="47"/>
      <c r="N24" s="47"/>
      <c r="O24" s="25"/>
      <c r="P24" s="25"/>
      <c r="Q24" s="25"/>
      <c r="R24" s="54" t="s">
        <v>106</v>
      </c>
      <c r="S24" s="55">
        <v>37.80404772336783</v>
      </c>
      <c r="T24" s="55">
        <v>62.552363362793393</v>
      </c>
      <c r="U24" s="17"/>
      <c r="V24" s="18"/>
    </row>
    <row r="25" spans="1:22" ht="9" customHeight="1">
      <c r="A25" s="47"/>
      <c r="B25" s="60"/>
      <c r="C25" s="60"/>
      <c r="D25" s="60"/>
      <c r="E25" s="60"/>
      <c r="F25" s="60"/>
      <c r="G25" s="60"/>
      <c r="H25" s="73" t="str">
        <f t="shared" si="0"/>
        <v>Slovenia</v>
      </c>
      <c r="I25" s="60"/>
      <c r="J25" s="60"/>
      <c r="K25" s="60"/>
      <c r="L25" s="60"/>
      <c r="M25" s="47"/>
      <c r="N25" s="47"/>
      <c r="O25" s="25"/>
      <c r="P25" s="25"/>
      <c r="Q25" s="25"/>
      <c r="R25" s="54" t="s">
        <v>26</v>
      </c>
      <c r="S25" s="55">
        <v>37.142857142857146</v>
      </c>
      <c r="T25" s="55">
        <v>100</v>
      </c>
      <c r="U25" s="17"/>
      <c r="V25" s="18"/>
    </row>
    <row r="26" spans="1:22" ht="9" customHeight="1">
      <c r="A26" s="47"/>
      <c r="B26" s="60"/>
      <c r="C26" s="60"/>
      <c r="D26" s="60"/>
      <c r="E26" s="60"/>
      <c r="F26" s="60"/>
      <c r="G26" s="60"/>
      <c r="H26" s="73" t="str">
        <f t="shared" si="0"/>
        <v>Canada</v>
      </c>
      <c r="I26" s="60"/>
      <c r="J26" s="60"/>
      <c r="K26" s="60"/>
      <c r="L26" s="60"/>
      <c r="M26" s="47"/>
      <c r="N26" s="47"/>
      <c r="O26" s="25"/>
      <c r="P26" s="25"/>
      <c r="Q26" s="25"/>
      <c r="R26" s="54" t="s">
        <v>3</v>
      </c>
      <c r="S26" s="55">
        <v>35</v>
      </c>
      <c r="T26" s="55">
        <v>40.900739908451364</v>
      </c>
      <c r="U26" s="17"/>
      <c r="V26" s="18"/>
    </row>
    <row r="27" spans="1:22" ht="9" customHeight="1">
      <c r="A27" s="47"/>
      <c r="B27" s="60"/>
      <c r="C27" s="60"/>
      <c r="D27" s="60"/>
      <c r="E27" s="60"/>
      <c r="F27" s="60"/>
      <c r="G27" s="60"/>
      <c r="H27" s="73" t="str">
        <f t="shared" si="0"/>
        <v>OECD average</v>
      </c>
      <c r="I27" s="60"/>
      <c r="J27" s="60"/>
      <c r="K27" s="60"/>
      <c r="L27" s="60"/>
      <c r="M27" s="47"/>
      <c r="N27" s="47"/>
      <c r="O27" s="25"/>
      <c r="P27" s="25"/>
      <c r="Q27" s="25"/>
      <c r="R27" s="54" t="s">
        <v>33</v>
      </c>
      <c r="S27" s="55">
        <v>33.971755904926823</v>
      </c>
      <c r="T27" s="55" t="s">
        <v>46</v>
      </c>
      <c r="U27" s="17"/>
      <c r="V27" s="18"/>
    </row>
    <row r="28" spans="1:22" ht="9" customHeight="1">
      <c r="A28" s="47"/>
      <c r="B28" s="60"/>
      <c r="C28" s="60"/>
      <c r="D28" s="60"/>
      <c r="E28" s="60"/>
      <c r="F28" s="60"/>
      <c r="G28" s="60"/>
      <c r="H28" s="73" t="str">
        <f t="shared" si="0"/>
        <v>Poland</v>
      </c>
      <c r="I28" s="60"/>
      <c r="J28" s="60"/>
      <c r="K28" s="60"/>
      <c r="L28" s="60"/>
      <c r="M28" s="47"/>
      <c r="N28" s="47"/>
      <c r="O28" s="25"/>
      <c r="P28" s="25"/>
      <c r="Q28" s="25"/>
      <c r="R28" s="54" t="s">
        <v>23</v>
      </c>
      <c r="S28" s="55">
        <v>32</v>
      </c>
      <c r="T28" s="55">
        <v>63.437499999999993</v>
      </c>
      <c r="U28" s="17"/>
      <c r="V28" s="18"/>
    </row>
    <row r="29" spans="1:22" ht="9" customHeight="1">
      <c r="A29" s="47"/>
      <c r="B29" s="60"/>
      <c r="C29" s="60"/>
      <c r="D29" s="60"/>
      <c r="E29" s="60"/>
      <c r="F29" s="60"/>
      <c r="G29" s="60"/>
      <c r="H29" s="73" t="str">
        <f t="shared" si="0"/>
        <v>Luxembourg</v>
      </c>
      <c r="I29" s="60"/>
      <c r="J29" s="60"/>
      <c r="K29" s="60"/>
      <c r="L29" s="60"/>
      <c r="M29" s="47"/>
      <c r="N29" s="47"/>
      <c r="O29" s="25"/>
      <c r="P29" s="25"/>
      <c r="Q29" s="25"/>
      <c r="R29" s="54" t="s">
        <v>18</v>
      </c>
      <c r="S29" s="55">
        <v>26</v>
      </c>
      <c r="T29" s="55">
        <v>71.007989163294098</v>
      </c>
      <c r="U29" s="17"/>
      <c r="V29" s="18"/>
    </row>
    <row r="30" spans="1:22" ht="9" customHeight="1">
      <c r="A30" s="47"/>
      <c r="B30" s="60"/>
      <c r="C30" s="60"/>
      <c r="D30" s="60"/>
      <c r="E30" s="60"/>
      <c r="F30" s="60"/>
      <c r="G30" s="60"/>
      <c r="H30" s="73" t="str">
        <f t="shared" si="0"/>
        <v>Croatia</v>
      </c>
      <c r="I30" s="60"/>
      <c r="J30" s="60"/>
      <c r="K30" s="60"/>
      <c r="L30" s="60"/>
      <c r="M30" s="47"/>
      <c r="N30" s="47"/>
      <c r="O30" s="25"/>
      <c r="P30" s="25"/>
      <c r="Q30" s="25"/>
      <c r="R30" s="54" t="s">
        <v>36</v>
      </c>
      <c r="S30" s="55">
        <v>26</v>
      </c>
      <c r="T30" s="55">
        <v>100</v>
      </c>
      <c r="U30" s="17"/>
      <c r="V30" s="18"/>
    </row>
    <row r="31" spans="1:22" ht="9" customHeight="1">
      <c r="A31" s="47"/>
      <c r="B31" s="60"/>
      <c r="C31" s="60"/>
      <c r="D31" s="60"/>
      <c r="E31" s="60"/>
      <c r="F31" s="60"/>
      <c r="G31" s="60"/>
      <c r="H31" s="73" t="str">
        <f t="shared" si="0"/>
        <v>Italy</v>
      </c>
      <c r="I31" s="60"/>
      <c r="J31" s="60"/>
      <c r="K31" s="60"/>
      <c r="L31" s="60"/>
      <c r="M31" s="47"/>
      <c r="N31" s="47"/>
      <c r="O31" s="25"/>
      <c r="P31" s="25"/>
      <c r="Q31" s="25"/>
      <c r="R31" s="54" t="s">
        <v>13</v>
      </c>
      <c r="S31" s="55">
        <v>26</v>
      </c>
      <c r="T31" s="55">
        <v>55.000000000000007</v>
      </c>
      <c r="U31" s="17"/>
      <c r="V31" s="18"/>
    </row>
    <row r="32" spans="1:22" ht="9" customHeight="1">
      <c r="A32" s="47"/>
      <c r="B32" s="60"/>
      <c r="C32" s="60"/>
      <c r="D32" s="60"/>
      <c r="E32" s="60"/>
      <c r="F32" s="60"/>
      <c r="G32" s="60"/>
      <c r="H32" s="73" t="str">
        <f t="shared" si="0"/>
        <v>France</v>
      </c>
      <c r="I32" s="60"/>
      <c r="J32" s="60"/>
      <c r="K32" s="60"/>
      <c r="L32" s="60"/>
      <c r="M32" s="47"/>
      <c r="N32" s="47"/>
      <c r="O32" s="25"/>
      <c r="P32" s="25"/>
      <c r="Q32" s="25"/>
      <c r="R32" s="54" t="s">
        <v>7</v>
      </c>
      <c r="S32" s="55">
        <v>26</v>
      </c>
      <c r="T32" s="55">
        <v>13.722153422677739</v>
      </c>
      <c r="U32" s="17"/>
      <c r="V32" s="18"/>
    </row>
    <row r="33" spans="1:22" ht="9" customHeight="1">
      <c r="A33" s="47"/>
      <c r="B33" s="60"/>
      <c r="C33" s="60"/>
      <c r="D33" s="60"/>
      <c r="E33" s="60"/>
      <c r="F33" s="60"/>
      <c r="G33" s="60"/>
      <c r="H33" s="73" t="str">
        <f t="shared" si="0"/>
        <v>Portugal</v>
      </c>
      <c r="I33" s="60"/>
      <c r="J33" s="60"/>
      <c r="K33" s="60"/>
      <c r="L33" s="60"/>
      <c r="M33" s="47"/>
      <c r="N33" s="47"/>
      <c r="O33" s="25"/>
      <c r="P33" s="25"/>
      <c r="Q33" s="25"/>
      <c r="R33" s="54" t="s">
        <v>24</v>
      </c>
      <c r="S33" s="55">
        <v>24.14</v>
      </c>
      <c r="T33" s="55">
        <v>67.688483844241915</v>
      </c>
      <c r="U33" s="17"/>
      <c r="V33" s="18"/>
    </row>
    <row r="34" spans="1:22" ht="9" customHeight="1">
      <c r="A34" s="47"/>
      <c r="B34" s="60"/>
      <c r="C34" s="60"/>
      <c r="D34" s="60"/>
      <c r="E34" s="60"/>
      <c r="F34" s="60"/>
      <c r="G34" s="60"/>
      <c r="H34" s="73" t="str">
        <f t="shared" si="0"/>
        <v>Denmark</v>
      </c>
      <c r="I34" s="60"/>
      <c r="J34" s="60"/>
      <c r="K34" s="60"/>
      <c r="L34" s="60"/>
      <c r="M34" s="47"/>
      <c r="N34" s="47"/>
      <c r="O34" s="25"/>
      <c r="P34" s="25"/>
      <c r="Q34" s="25"/>
      <c r="R34" s="54" t="s">
        <v>4</v>
      </c>
      <c r="S34" s="55">
        <v>19</v>
      </c>
      <c r="T34" s="55">
        <v>49.691923419085207</v>
      </c>
      <c r="U34" s="17"/>
      <c r="V34" s="18"/>
    </row>
    <row r="35" spans="1:22" ht="9" customHeight="1">
      <c r="A35" s="47"/>
      <c r="B35" s="60"/>
      <c r="C35" s="60"/>
      <c r="D35" s="60"/>
      <c r="E35" s="60"/>
      <c r="F35" s="60"/>
      <c r="G35" s="60"/>
      <c r="H35" s="73" t="str">
        <f t="shared" si="0"/>
        <v>Australia</v>
      </c>
      <c r="I35" s="60"/>
      <c r="J35" s="60"/>
      <c r="K35" s="60"/>
      <c r="L35" s="60"/>
      <c r="M35" s="47"/>
      <c r="N35" s="47"/>
      <c r="O35" s="25"/>
      <c r="P35" s="25"/>
      <c r="Q35" s="25"/>
      <c r="R35" s="54" t="s">
        <v>0</v>
      </c>
      <c r="S35" s="55">
        <v>18</v>
      </c>
      <c r="T35" s="55">
        <v>45.885536389386672</v>
      </c>
      <c r="U35" s="17"/>
      <c r="V35" s="18"/>
    </row>
    <row r="36" spans="1:22" ht="9" customHeight="1">
      <c r="A36" s="47"/>
      <c r="B36" s="60"/>
      <c r="C36" s="60"/>
      <c r="D36" s="60"/>
      <c r="E36" s="60"/>
      <c r="F36" s="60"/>
      <c r="G36" s="60"/>
      <c r="H36" s="73" t="str">
        <f t="shared" si="0"/>
        <v>Belgium</v>
      </c>
      <c r="I36" s="60"/>
      <c r="J36" s="60"/>
      <c r="K36" s="60"/>
      <c r="L36" s="60"/>
      <c r="M36" s="47"/>
      <c r="N36" s="47"/>
      <c r="O36" s="25"/>
      <c r="P36" s="25"/>
      <c r="Q36" s="25"/>
      <c r="R36" s="54" t="s">
        <v>2</v>
      </c>
      <c r="S36" s="55">
        <v>17.333333333333332</v>
      </c>
      <c r="T36" s="55">
        <v>20.475205864466396</v>
      </c>
      <c r="U36" s="17"/>
      <c r="V36" s="18"/>
    </row>
    <row r="37" spans="1:22" ht="9" customHeight="1">
      <c r="A37" s="47"/>
      <c r="B37" s="60"/>
      <c r="C37" s="60"/>
      <c r="D37" s="60"/>
      <c r="E37" s="60"/>
      <c r="F37" s="60"/>
      <c r="G37" s="60"/>
      <c r="H37" s="73" t="str">
        <f t="shared" si="0"/>
        <v>Chile</v>
      </c>
      <c r="I37" s="60"/>
      <c r="J37" s="60"/>
      <c r="K37" s="60"/>
      <c r="L37" s="60"/>
      <c r="M37" s="47"/>
      <c r="N37" s="47"/>
      <c r="O37" s="25"/>
      <c r="Q37" s="25"/>
      <c r="R37" s="54" t="s">
        <v>32</v>
      </c>
      <c r="S37" s="55">
        <v>12</v>
      </c>
      <c r="T37" s="55">
        <v>100</v>
      </c>
      <c r="U37" s="17"/>
      <c r="V37" s="18"/>
    </row>
    <row r="38" spans="1:22" ht="9" customHeight="1">
      <c r="A38" s="47"/>
      <c r="B38" s="60"/>
      <c r="C38" s="60"/>
      <c r="D38" s="60"/>
      <c r="E38" s="60"/>
      <c r="F38" s="60"/>
      <c r="G38" s="60"/>
      <c r="H38" s="73" t="str">
        <f t="shared" si="0"/>
        <v>Netherlands</v>
      </c>
      <c r="I38" s="60"/>
      <c r="J38" s="60"/>
      <c r="K38" s="60"/>
      <c r="L38" s="60"/>
      <c r="M38" s="47"/>
      <c r="N38" s="47"/>
      <c r="O38" s="25"/>
      <c r="P38" s="25"/>
      <c r="Q38" s="25"/>
      <c r="R38" s="54" t="s">
        <v>20</v>
      </c>
      <c r="S38" s="55">
        <v>9</v>
      </c>
      <c r="T38" s="55">
        <v>70</v>
      </c>
      <c r="U38" s="17"/>
      <c r="V38" s="18"/>
    </row>
    <row r="39" spans="1:22" ht="9" customHeight="1">
      <c r="A39" s="47"/>
      <c r="B39" s="60"/>
      <c r="C39" s="60"/>
      <c r="D39" s="60"/>
      <c r="E39" s="60"/>
      <c r="F39" s="60"/>
      <c r="G39" s="60"/>
      <c r="H39" s="73" t="str">
        <f t="shared" si="0"/>
        <v>Ireland</v>
      </c>
      <c r="I39" s="60"/>
      <c r="J39" s="60"/>
      <c r="K39" s="60"/>
      <c r="L39" s="60"/>
      <c r="M39" s="47"/>
      <c r="N39" s="47"/>
      <c r="O39" s="25"/>
      <c r="P39" s="25"/>
      <c r="Q39" s="25"/>
      <c r="R39" s="54" t="s">
        <v>12</v>
      </c>
      <c r="S39" s="55">
        <v>9</v>
      </c>
      <c r="T39" s="55">
        <v>23.423064352044445</v>
      </c>
      <c r="U39" s="17"/>
      <c r="V39" s="18"/>
    </row>
    <row r="40" spans="1:22" ht="9" customHeight="1">
      <c r="A40" s="47"/>
      <c r="B40" s="60"/>
      <c r="C40" s="60"/>
      <c r="D40" s="60"/>
      <c r="E40" s="60"/>
      <c r="F40" s="60"/>
      <c r="G40" s="60"/>
      <c r="H40" s="73" t="str">
        <f t="shared" si="0"/>
        <v>Greece</v>
      </c>
      <c r="I40" s="60"/>
      <c r="J40" s="60"/>
      <c r="K40" s="60"/>
      <c r="L40" s="60"/>
      <c r="M40" s="47"/>
      <c r="N40" s="47"/>
      <c r="O40" s="25"/>
      <c r="P40" s="25"/>
      <c r="Q40" s="25"/>
      <c r="R40" s="54" t="s">
        <v>9</v>
      </c>
      <c r="S40" s="55">
        <v>8.6666659999999993</v>
      </c>
      <c r="T40" s="55">
        <v>41.924509148337918</v>
      </c>
      <c r="U40" s="17"/>
      <c r="V40" s="18"/>
    </row>
    <row r="41" spans="1:22" ht="9" customHeight="1">
      <c r="A41" s="47"/>
      <c r="B41" s="60"/>
      <c r="C41" s="60"/>
      <c r="D41" s="60"/>
      <c r="E41" s="60"/>
      <c r="F41" s="60"/>
      <c r="G41" s="60"/>
      <c r="H41" s="73" t="str">
        <f t="shared" si="0"/>
        <v>Malta</v>
      </c>
      <c r="I41" s="60"/>
      <c r="J41" s="60"/>
      <c r="K41" s="60"/>
      <c r="L41" s="60"/>
      <c r="M41" s="47"/>
      <c r="N41" s="47"/>
      <c r="O41" s="25"/>
      <c r="P41" s="25"/>
      <c r="Q41" s="25"/>
      <c r="R41" s="54" t="s">
        <v>38</v>
      </c>
      <c r="S41" s="55">
        <v>8.6660000000000004</v>
      </c>
      <c r="T41" s="55">
        <v>46.157396722824828</v>
      </c>
      <c r="U41" s="15"/>
      <c r="V41" s="18"/>
    </row>
    <row r="42" spans="1:22" ht="9" customHeight="1">
      <c r="A42" s="47"/>
      <c r="B42" s="60"/>
      <c r="C42" s="60"/>
      <c r="D42" s="60"/>
      <c r="E42" s="60"/>
      <c r="F42" s="60"/>
      <c r="G42" s="60"/>
      <c r="H42" s="73" t="str">
        <f t="shared" si="0"/>
        <v>Cyprus</v>
      </c>
      <c r="I42" s="60"/>
      <c r="J42" s="60"/>
      <c r="K42" s="60"/>
      <c r="L42" s="60"/>
      <c r="M42" s="47"/>
      <c r="N42" s="47"/>
      <c r="O42" s="25"/>
      <c r="P42" s="25"/>
      <c r="Q42" s="25"/>
      <c r="R42" s="54" t="s">
        <v>37</v>
      </c>
      <c r="S42" s="55">
        <v>8</v>
      </c>
      <c r="T42" s="55">
        <v>64.643031094608489</v>
      </c>
      <c r="U42" s="15"/>
      <c r="V42" s="18"/>
    </row>
    <row r="43" spans="1:22" ht="9" customHeight="1">
      <c r="A43" s="47"/>
      <c r="B43" s="60"/>
      <c r="C43" s="60"/>
      <c r="D43" s="60"/>
      <c r="E43" s="60"/>
      <c r="F43" s="60"/>
      <c r="G43" s="60"/>
      <c r="H43" s="73" t="str">
        <f t="shared" si="0"/>
        <v>Iceland</v>
      </c>
      <c r="I43" s="60"/>
      <c r="J43" s="60"/>
      <c r="K43" s="60"/>
      <c r="L43" s="60"/>
      <c r="M43" s="47"/>
      <c r="N43" s="47"/>
      <c r="O43" s="25"/>
      <c r="P43" s="25"/>
      <c r="Q43" s="54"/>
      <c r="R43" s="54" t="s">
        <v>11</v>
      </c>
      <c r="S43" s="55">
        <v>6</v>
      </c>
      <c r="T43" s="55">
        <v>80.000000000000014</v>
      </c>
      <c r="U43" s="15"/>
      <c r="V43" s="18"/>
    </row>
    <row r="44" spans="1:22" ht="9" customHeight="1">
      <c r="A44" s="47"/>
      <c r="B44" s="60"/>
      <c r="C44" s="60"/>
      <c r="D44" s="60"/>
      <c r="E44" s="60"/>
      <c r="F44" s="60"/>
      <c r="G44" s="60"/>
      <c r="H44" s="73" t="str">
        <f t="shared" si="0"/>
        <v>United Kingdom</v>
      </c>
      <c r="I44" s="60"/>
      <c r="J44" s="60"/>
      <c r="K44" s="60"/>
      <c r="L44" s="60"/>
      <c r="M44" s="47"/>
      <c r="N44" s="47"/>
      <c r="O44" s="25"/>
      <c r="P44" s="25"/>
      <c r="Q44" s="25"/>
      <c r="R44" s="54" t="s">
        <v>30</v>
      </c>
      <c r="S44" s="55">
        <v>0</v>
      </c>
      <c r="T44" s="55">
        <v>0</v>
      </c>
      <c r="U44" s="15"/>
      <c r="V44" s="18"/>
    </row>
    <row r="45" spans="1:22" ht="9" customHeight="1">
      <c r="A45" s="47"/>
      <c r="B45" s="60"/>
      <c r="C45" s="60"/>
      <c r="D45" s="60"/>
      <c r="E45" s="60"/>
      <c r="F45" s="60"/>
      <c r="G45" s="60"/>
      <c r="H45" s="73" t="str">
        <f t="shared" si="0"/>
        <v>New Zealand</v>
      </c>
      <c r="I45" s="60"/>
      <c r="J45" s="60"/>
      <c r="K45" s="60"/>
      <c r="L45" s="60"/>
      <c r="M45" s="47"/>
      <c r="N45" s="47"/>
      <c r="O45" s="25"/>
      <c r="P45" s="25"/>
      <c r="Q45" s="25"/>
      <c r="R45" s="54" t="s">
        <v>21</v>
      </c>
      <c r="S45" s="55">
        <v>0</v>
      </c>
      <c r="T45" s="55">
        <v>0</v>
      </c>
      <c r="V45" s="18"/>
    </row>
    <row r="46" spans="1:22" ht="9" customHeight="1">
      <c r="A46" s="47"/>
      <c r="B46" s="60"/>
      <c r="C46" s="60"/>
      <c r="D46" s="60"/>
      <c r="E46" s="60"/>
      <c r="F46" s="60"/>
      <c r="G46" s="60"/>
      <c r="H46" s="73" t="str">
        <f t="shared" si="0"/>
        <v>Costa Rica</v>
      </c>
      <c r="I46" s="60"/>
      <c r="J46" s="60"/>
      <c r="K46" s="60"/>
      <c r="L46" s="60"/>
      <c r="M46" s="47"/>
      <c r="N46" s="47"/>
      <c r="O46" s="25"/>
      <c r="P46" s="25"/>
      <c r="Q46" s="25"/>
      <c r="R46" s="54" t="s">
        <v>67</v>
      </c>
      <c r="S46" s="55">
        <v>0</v>
      </c>
      <c r="T46" s="55">
        <v>0</v>
      </c>
      <c r="V46" s="18"/>
    </row>
    <row r="47" spans="1:22" ht="9" customHeight="1">
      <c r="A47" s="47"/>
      <c r="B47" s="60"/>
      <c r="C47" s="60"/>
      <c r="D47" s="60"/>
      <c r="E47" s="60"/>
      <c r="F47" s="60"/>
      <c r="G47" s="60"/>
      <c r="H47" s="73" t="str">
        <f t="shared" si="0"/>
        <v>Spain</v>
      </c>
      <c r="I47" s="60"/>
      <c r="J47" s="60"/>
      <c r="K47" s="60"/>
      <c r="L47" s="60"/>
      <c r="M47" s="56"/>
      <c r="N47" s="47"/>
      <c r="O47" s="25"/>
      <c r="P47" s="25"/>
      <c r="Q47" s="25"/>
      <c r="R47" s="54" t="s">
        <v>27</v>
      </c>
      <c r="S47" s="55">
        <v>0</v>
      </c>
      <c r="T47" s="55">
        <v>0</v>
      </c>
      <c r="U47" s="17"/>
      <c r="V47" s="18"/>
    </row>
    <row r="48" spans="1:22" ht="9" customHeight="1">
      <c r="A48" s="47"/>
      <c r="B48" s="60"/>
      <c r="C48" s="60"/>
      <c r="D48" s="60"/>
      <c r="E48" s="60"/>
      <c r="F48" s="60"/>
      <c r="G48" s="60"/>
      <c r="H48" s="73" t="str">
        <f t="shared" si="0"/>
        <v>Türkiye</v>
      </c>
      <c r="I48" s="60"/>
      <c r="J48" s="60"/>
      <c r="K48" s="60"/>
      <c r="L48" s="60"/>
      <c r="M48" s="56"/>
      <c r="N48" s="47"/>
      <c r="O48" s="25"/>
      <c r="P48" s="25"/>
      <c r="Q48" s="25"/>
      <c r="R48" s="54" t="s">
        <v>81</v>
      </c>
      <c r="S48" s="55">
        <v>0</v>
      </c>
      <c r="T48" s="55">
        <v>0</v>
      </c>
      <c r="V48" s="18"/>
    </row>
    <row r="49" spans="1:22" ht="9" customHeight="1">
      <c r="A49" s="47"/>
      <c r="B49" s="60"/>
      <c r="C49" s="60"/>
      <c r="D49" s="60"/>
      <c r="E49" s="60"/>
      <c r="F49" s="60"/>
      <c r="G49" s="60"/>
      <c r="H49" s="73" t="str">
        <f t="shared" si="0"/>
        <v>Israel</v>
      </c>
      <c r="I49" s="60"/>
      <c r="J49" s="60"/>
      <c r="K49" s="60"/>
      <c r="L49" s="60"/>
      <c r="M49" s="57"/>
      <c r="N49" s="57"/>
      <c r="O49" s="58"/>
      <c r="P49" s="25"/>
      <c r="Q49" s="54"/>
      <c r="R49" s="54" t="s">
        <v>34</v>
      </c>
      <c r="S49" s="55">
        <v>0</v>
      </c>
      <c r="T49" s="55">
        <v>0</v>
      </c>
      <c r="U49" s="17"/>
      <c r="V49" s="18"/>
    </row>
    <row r="50" spans="1:22" ht="9" customHeight="1">
      <c r="A50" s="47"/>
      <c r="B50" s="60"/>
      <c r="C50" s="60"/>
      <c r="D50" s="60"/>
      <c r="E50" s="60"/>
      <c r="F50" s="60"/>
      <c r="G50" s="60"/>
      <c r="H50" s="73" t="str">
        <f t="shared" si="0"/>
        <v>Switzerland</v>
      </c>
      <c r="I50" s="60"/>
      <c r="J50" s="60"/>
      <c r="K50" s="60"/>
      <c r="L50" s="60"/>
      <c r="M50" s="57"/>
      <c r="N50" s="57"/>
      <c r="O50" s="58"/>
      <c r="P50" s="25"/>
      <c r="Q50" s="25"/>
      <c r="R50" s="54" t="s">
        <v>29</v>
      </c>
      <c r="S50" s="55">
        <v>0</v>
      </c>
      <c r="T50" s="55">
        <v>0</v>
      </c>
      <c r="V50" s="18"/>
    </row>
    <row r="51" spans="1:22" ht="9" customHeight="1">
      <c r="A51" s="47"/>
      <c r="B51" s="60"/>
      <c r="C51" s="60"/>
      <c r="D51" s="60"/>
      <c r="E51" s="60"/>
      <c r="F51" s="60"/>
      <c r="G51" s="60"/>
      <c r="H51" s="73" t="str">
        <f t="shared" si="0"/>
        <v>Mexico</v>
      </c>
      <c r="I51" s="60"/>
      <c r="J51" s="60"/>
      <c r="K51" s="60"/>
      <c r="L51" s="60"/>
      <c r="M51" s="57"/>
      <c r="N51" s="57"/>
      <c r="O51" s="58"/>
      <c r="P51" s="25"/>
      <c r="Q51" s="25"/>
      <c r="R51" s="54" t="s">
        <v>19</v>
      </c>
      <c r="S51" s="55">
        <v>0</v>
      </c>
      <c r="T51" s="55">
        <v>0</v>
      </c>
      <c r="U51" s="17"/>
      <c r="V51" s="18"/>
    </row>
    <row r="52" spans="1:22" ht="9" customHeight="1">
      <c r="A52" s="47"/>
      <c r="B52" s="60"/>
      <c r="C52" s="60"/>
      <c r="D52" s="60"/>
      <c r="E52" s="60"/>
      <c r="F52" s="60"/>
      <c r="G52" s="60"/>
      <c r="H52" s="73" t="str">
        <f t="shared" si="0"/>
        <v>United States</v>
      </c>
      <c r="I52" s="60"/>
      <c r="J52" s="60"/>
      <c r="K52" s="60"/>
      <c r="L52" s="60"/>
      <c r="M52" s="57"/>
      <c r="N52" s="57"/>
      <c r="O52" s="58"/>
      <c r="P52" s="25"/>
      <c r="Q52" s="25"/>
      <c r="R52" s="54" t="s">
        <v>31</v>
      </c>
      <c r="S52" s="55">
        <v>0</v>
      </c>
      <c r="T52" s="55">
        <v>0</v>
      </c>
      <c r="V52" s="18"/>
    </row>
    <row r="53" spans="1:22">
      <c r="A53" s="47"/>
      <c r="B53" s="60"/>
      <c r="C53" s="60"/>
      <c r="D53" s="60"/>
      <c r="E53" s="60"/>
      <c r="F53" s="60"/>
      <c r="G53" s="60"/>
      <c r="H53" s="73" t="str">
        <f t="shared" si="0"/>
        <v>Colombia</v>
      </c>
      <c r="I53" s="60"/>
      <c r="J53" s="60"/>
      <c r="K53" s="60"/>
      <c r="L53" s="60"/>
      <c r="M53" s="57"/>
      <c r="N53" s="57"/>
      <c r="O53" s="58"/>
      <c r="P53" s="25"/>
      <c r="Q53" s="25"/>
      <c r="R53" s="54" t="s">
        <v>78</v>
      </c>
      <c r="S53" s="55">
        <v>0</v>
      </c>
      <c r="T53" s="55">
        <v>0</v>
      </c>
      <c r="U53" s="22"/>
    </row>
    <row r="54" spans="1:22" ht="12.75" customHeight="1">
      <c r="A54" s="47"/>
      <c r="B54" s="143" t="s">
        <v>99</v>
      </c>
      <c r="C54" s="143"/>
      <c r="D54" s="143"/>
      <c r="E54" s="143"/>
      <c r="F54" s="143"/>
      <c r="G54" s="143"/>
      <c r="H54" s="143"/>
      <c r="I54" s="143"/>
      <c r="J54" s="143"/>
      <c r="K54" s="143"/>
      <c r="L54" s="143"/>
      <c r="M54" s="61"/>
      <c r="N54" s="61"/>
      <c r="O54" s="57"/>
      <c r="P54" s="25"/>
      <c r="Q54" s="25"/>
      <c r="R54" s="25"/>
      <c r="S54" s="25"/>
      <c r="T54" s="25"/>
      <c r="U54" s="23"/>
    </row>
    <row r="55" spans="1:22" ht="12.75" customHeight="1">
      <c r="A55" s="47"/>
      <c r="B55" s="143"/>
      <c r="C55" s="143"/>
      <c r="D55" s="143"/>
      <c r="E55" s="143"/>
      <c r="F55" s="143"/>
      <c r="G55" s="143"/>
      <c r="H55" s="143"/>
      <c r="I55" s="143"/>
      <c r="J55" s="143"/>
      <c r="K55" s="143"/>
      <c r="L55" s="143"/>
      <c r="M55" s="61"/>
      <c r="N55" s="61"/>
      <c r="O55" s="57"/>
      <c r="P55" s="25"/>
      <c r="Q55" s="25"/>
      <c r="R55" s="25"/>
      <c r="S55" s="25"/>
      <c r="T55" s="25"/>
      <c r="U55" s="23"/>
    </row>
    <row r="56" spans="1:22" ht="12.75" customHeight="1">
      <c r="A56" s="47"/>
      <c r="B56" s="142" t="s">
        <v>88</v>
      </c>
      <c r="C56" s="142"/>
      <c r="D56" s="142"/>
      <c r="E56" s="142"/>
      <c r="F56" s="142"/>
      <c r="G56" s="142"/>
      <c r="H56" s="142"/>
      <c r="I56" s="142"/>
      <c r="J56" s="142"/>
      <c r="K56" s="142"/>
      <c r="L56" s="142"/>
      <c r="M56" s="63"/>
      <c r="N56" s="63"/>
      <c r="O56" s="25"/>
      <c r="P56" s="25"/>
      <c r="Q56" s="25"/>
      <c r="R56" s="25"/>
      <c r="S56" s="25"/>
      <c r="T56" s="25"/>
    </row>
    <row r="57" spans="1:22">
      <c r="A57" s="47"/>
      <c r="B57" s="57"/>
      <c r="C57" s="57"/>
      <c r="D57" s="57"/>
      <c r="E57" s="57"/>
      <c r="F57" s="57"/>
      <c r="G57" s="57"/>
      <c r="H57" s="57"/>
      <c r="I57" s="57"/>
      <c r="J57" s="57"/>
      <c r="K57" s="57"/>
      <c r="L57" s="57"/>
      <c r="M57" s="47"/>
      <c r="N57" s="47"/>
      <c r="O57" s="25"/>
      <c r="P57" s="25"/>
      <c r="Q57" s="25"/>
      <c r="R57" s="25"/>
      <c r="S57" s="25"/>
      <c r="T57" s="25"/>
    </row>
    <row r="58" spans="1:22">
      <c r="B58" s="11"/>
      <c r="C58" s="11"/>
      <c r="D58" s="11"/>
      <c r="E58" s="11"/>
      <c r="F58" s="11"/>
      <c r="G58" s="11"/>
      <c r="H58" s="11"/>
      <c r="I58" s="11"/>
      <c r="J58" s="11"/>
      <c r="K58" s="11"/>
      <c r="L58" s="11"/>
      <c r="R58" s="19"/>
      <c r="S58" s="19"/>
      <c r="T58" s="19"/>
    </row>
    <row r="59" spans="1:22">
      <c r="B59" s="11"/>
      <c r="C59" s="11"/>
      <c r="D59" s="11"/>
      <c r="E59" s="11"/>
      <c r="F59" s="11"/>
      <c r="G59" s="11"/>
      <c r="H59" s="11"/>
      <c r="I59" s="11"/>
      <c r="J59" s="11"/>
      <c r="K59" s="11"/>
      <c r="L59" s="11"/>
      <c r="R59" s="19"/>
      <c r="S59" s="19"/>
      <c r="T59" s="19"/>
    </row>
    <row r="60" spans="1:22">
      <c r="B60" s="11"/>
      <c r="C60" s="11"/>
      <c r="D60" s="11"/>
      <c r="E60" s="11"/>
      <c r="F60" s="11"/>
      <c r="G60" s="11"/>
      <c r="H60" s="11"/>
      <c r="I60" s="11"/>
      <c r="J60" s="11"/>
      <c r="K60" s="11"/>
      <c r="L60" s="11"/>
    </row>
    <row r="61" spans="1:22">
      <c r="B61" s="44"/>
      <c r="C61" s="44"/>
      <c r="D61" s="44"/>
      <c r="E61" s="44"/>
      <c r="F61" s="44"/>
      <c r="G61" s="44"/>
      <c r="H61" s="44"/>
      <c r="I61" s="44"/>
      <c r="J61" s="44"/>
      <c r="K61" s="44"/>
      <c r="L61" s="44"/>
    </row>
    <row r="62" spans="1:22">
      <c r="B62" s="44"/>
      <c r="C62" s="44"/>
      <c r="D62" s="44"/>
      <c r="E62" s="44"/>
      <c r="F62" s="44"/>
      <c r="G62" s="44"/>
      <c r="H62" s="44"/>
      <c r="I62" s="44"/>
      <c r="J62" s="44"/>
      <c r="K62" s="44"/>
      <c r="L62" s="44"/>
    </row>
    <row r="63" spans="1:22">
      <c r="B63" s="44"/>
      <c r="C63" s="44"/>
      <c r="D63" s="44"/>
      <c r="E63" s="44"/>
      <c r="F63" s="44"/>
      <c r="G63" s="44"/>
      <c r="H63" s="44"/>
      <c r="I63" s="44"/>
      <c r="J63" s="44"/>
      <c r="K63" s="44"/>
      <c r="L63" s="44"/>
    </row>
  </sheetData>
  <sortState xmlns:xlrd2="http://schemas.microsoft.com/office/spreadsheetml/2017/richdata2" ref="R9:T53">
    <sortCondition descending="1" ref="S9:S53"/>
    <sortCondition descending="1" ref="T9:T53"/>
  </sortState>
  <mergeCells count="7">
    <mergeCell ref="S7:T7"/>
    <mergeCell ref="B54:L55"/>
    <mergeCell ref="B56:L56"/>
    <mergeCell ref="B1:N2"/>
    <mergeCell ref="B3:N4"/>
    <mergeCell ref="C6:G6"/>
    <mergeCell ref="I6:M6"/>
  </mergeCells>
  <pageMargins left="0.70866141732283472" right="0.70866141732283472" top="0.74803149606299213" bottom="0.74803149606299213" header="0.31496062992125984" footer="0.31496062992125984"/>
  <pageSetup paperSize="9" scale="97" orientation="portrait" r:id="rId1"/>
  <headerFooter>
    <oddHeader>&amp;LOECD Family Database (http://www.oecd.org/els/family/database.htm)</oddHeader>
    <oddFooter>&amp;C_x000D_&amp;1#&amp;"Calibri"&amp;10&amp;K0000FF Restricted Use - À usage restreint</oddFooter>
  </headerFooter>
  <customProperties>
    <customPr name="PrintArea"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V66"/>
  <sheetViews>
    <sheetView showGridLines="0" zoomScale="120" zoomScaleNormal="120" workbookViewId="0">
      <selection activeCell="B1" sqref="B1:N2"/>
    </sheetView>
  </sheetViews>
  <sheetFormatPr defaultColWidth="8.81640625" defaultRowHeight="13"/>
  <cols>
    <col min="1" max="1" width="2.453125" style="10" customWidth="1"/>
    <col min="2" max="2" width="2.81640625" style="10" customWidth="1"/>
    <col min="3" max="6" width="7.453125" style="10" customWidth="1"/>
    <col min="7" max="7" width="7.453125" style="12" customWidth="1"/>
    <col min="8" max="8" width="10.54296875" style="12" bestFit="1" customWidth="1"/>
    <col min="9" max="9" width="7.453125" style="12" customWidth="1"/>
    <col min="10" max="13" width="7.453125" style="10" customWidth="1"/>
    <col min="14" max="14" width="5" style="10" customWidth="1"/>
    <col min="15" max="15" width="2.453125" style="14" customWidth="1"/>
    <col min="16" max="17" width="8.81640625" style="19"/>
    <col min="18" max="18" width="14.26953125" style="20" customWidth="1"/>
    <col min="19" max="20" width="16.453125" style="21" customWidth="1"/>
    <col min="21" max="21" width="13.26953125" style="19" customWidth="1"/>
    <col min="22" max="22" width="8.81640625" style="124" customWidth="1"/>
    <col min="23" max="16384" width="8.81640625" style="10"/>
  </cols>
  <sheetData>
    <row r="1" spans="1:22">
      <c r="A1" s="47"/>
      <c r="B1" s="145" t="s">
        <v>89</v>
      </c>
      <c r="C1" s="145"/>
      <c r="D1" s="145"/>
      <c r="E1" s="145"/>
      <c r="F1" s="145"/>
      <c r="G1" s="145"/>
      <c r="H1" s="145"/>
      <c r="I1" s="145"/>
      <c r="J1" s="145"/>
      <c r="K1" s="145"/>
      <c r="L1" s="145"/>
      <c r="M1" s="145"/>
      <c r="N1" s="145"/>
      <c r="O1" s="25"/>
      <c r="P1" s="25"/>
      <c r="Q1" s="25"/>
      <c r="R1" s="48"/>
      <c r="S1" s="48"/>
      <c r="T1" s="48"/>
      <c r="U1" s="15"/>
    </row>
    <row r="2" spans="1:22">
      <c r="A2" s="47"/>
      <c r="B2" s="145"/>
      <c r="C2" s="145"/>
      <c r="D2" s="145"/>
      <c r="E2" s="145"/>
      <c r="F2" s="145"/>
      <c r="G2" s="145"/>
      <c r="H2" s="145"/>
      <c r="I2" s="145"/>
      <c r="J2" s="145"/>
      <c r="K2" s="145"/>
      <c r="L2" s="145"/>
      <c r="M2" s="145"/>
      <c r="N2" s="145"/>
      <c r="O2" s="25"/>
      <c r="P2" s="25"/>
      <c r="Q2" s="25"/>
      <c r="R2" s="48"/>
      <c r="S2" s="48"/>
      <c r="T2" s="48"/>
      <c r="U2" s="15"/>
    </row>
    <row r="3" spans="1:22">
      <c r="A3" s="47"/>
      <c r="B3" s="150" t="s">
        <v>95</v>
      </c>
      <c r="C3" s="150"/>
      <c r="D3" s="150"/>
      <c r="E3" s="150"/>
      <c r="F3" s="150"/>
      <c r="G3" s="150"/>
      <c r="H3" s="150"/>
      <c r="I3" s="150"/>
      <c r="J3" s="150"/>
      <c r="K3" s="150"/>
      <c r="L3" s="150"/>
      <c r="M3" s="150"/>
      <c r="N3" s="150"/>
      <c r="O3" s="25"/>
      <c r="P3" s="25"/>
      <c r="Q3" s="25"/>
      <c r="R3" s="49"/>
      <c r="S3" s="49"/>
      <c r="T3" s="49"/>
      <c r="U3" s="15"/>
    </row>
    <row r="4" spans="1:22">
      <c r="A4" s="47"/>
      <c r="B4" s="150"/>
      <c r="C4" s="150"/>
      <c r="D4" s="150"/>
      <c r="E4" s="150"/>
      <c r="F4" s="150"/>
      <c r="G4" s="150"/>
      <c r="H4" s="150"/>
      <c r="I4" s="150"/>
      <c r="J4" s="150"/>
      <c r="K4" s="150"/>
      <c r="L4" s="150"/>
      <c r="M4" s="150"/>
      <c r="N4" s="150"/>
      <c r="O4" s="25"/>
      <c r="P4" s="25"/>
      <c r="Q4" s="25"/>
      <c r="R4" s="49"/>
      <c r="S4" s="49"/>
      <c r="T4" s="49"/>
      <c r="U4" s="15"/>
    </row>
    <row r="5" spans="1:22">
      <c r="A5" s="47"/>
      <c r="B5" s="50"/>
      <c r="C5" s="74"/>
      <c r="D5" s="74"/>
      <c r="E5" s="74"/>
      <c r="F5" s="74"/>
      <c r="G5" s="74"/>
      <c r="H5" s="74"/>
      <c r="I5" s="74"/>
      <c r="J5" s="74"/>
      <c r="K5" s="74"/>
      <c r="L5" s="74"/>
      <c r="M5" s="74"/>
      <c r="N5" s="74"/>
      <c r="O5" s="25"/>
      <c r="P5" s="25"/>
      <c r="Q5" s="25"/>
      <c r="R5" s="49"/>
      <c r="S5" s="157" t="s">
        <v>50</v>
      </c>
      <c r="T5" s="157"/>
      <c r="U5" s="15"/>
    </row>
    <row r="6" spans="1:22" ht="32.25" customHeight="1">
      <c r="A6" s="47"/>
      <c r="C6" s="147" t="s">
        <v>60</v>
      </c>
      <c r="D6" s="147"/>
      <c r="E6" s="147"/>
      <c r="F6" s="147"/>
      <c r="G6" s="147"/>
      <c r="H6" s="60"/>
      <c r="I6" s="147" t="s">
        <v>49</v>
      </c>
      <c r="J6" s="147"/>
      <c r="K6" s="147"/>
      <c r="L6" s="147"/>
      <c r="M6" s="147"/>
      <c r="N6" s="57"/>
      <c r="O6" s="25"/>
      <c r="P6" s="25"/>
      <c r="Q6" s="25"/>
      <c r="R6" s="155"/>
      <c r="S6" s="160" t="s">
        <v>57</v>
      </c>
      <c r="T6" s="158" t="s">
        <v>58</v>
      </c>
      <c r="U6" s="152" t="s">
        <v>59</v>
      </c>
      <c r="V6" s="151"/>
    </row>
    <row r="7" spans="1:22" ht="13.5" customHeight="1">
      <c r="A7" s="47"/>
      <c r="B7" s="59"/>
      <c r="C7" s="59"/>
      <c r="D7" s="59"/>
      <c r="E7" s="59"/>
      <c r="F7" s="59"/>
      <c r="G7" s="51"/>
      <c r="H7" s="51"/>
      <c r="I7" s="51"/>
      <c r="J7" s="57"/>
      <c r="K7" s="57"/>
      <c r="L7" s="57"/>
      <c r="M7" s="57"/>
      <c r="N7" s="57"/>
      <c r="O7" s="25"/>
      <c r="P7" s="25"/>
      <c r="Q7" s="25"/>
      <c r="R7" s="155"/>
      <c r="S7" s="160"/>
      <c r="T7" s="158"/>
      <c r="U7" s="152"/>
      <c r="V7" s="151"/>
    </row>
    <row r="8" spans="1:22" ht="13.5" customHeight="1">
      <c r="A8" s="47"/>
      <c r="B8" s="47"/>
      <c r="C8" s="47"/>
      <c r="D8" s="47"/>
      <c r="E8" s="47"/>
      <c r="F8" s="47"/>
      <c r="G8" s="51"/>
      <c r="H8" s="51"/>
      <c r="I8" s="51"/>
      <c r="J8" s="47"/>
      <c r="K8" s="47"/>
      <c r="L8" s="47"/>
      <c r="M8" s="47"/>
      <c r="N8" s="47"/>
      <c r="O8" s="25"/>
      <c r="P8" s="25"/>
      <c r="Q8" s="25"/>
      <c r="R8" s="156"/>
      <c r="S8" s="161"/>
      <c r="T8" s="159"/>
      <c r="U8" s="153"/>
      <c r="V8" s="151"/>
    </row>
    <row r="9" spans="1:22" ht="9" customHeight="1">
      <c r="A9" s="47"/>
      <c r="B9" s="60"/>
      <c r="C9" s="60"/>
      <c r="D9" s="60"/>
      <c r="E9" s="60"/>
      <c r="F9" s="60"/>
      <c r="G9" s="60"/>
      <c r="H9" s="73" t="str">
        <f t="shared" ref="H9:H53" si="0">R9</f>
        <v>Korea</v>
      </c>
      <c r="I9" s="60"/>
      <c r="J9" s="60"/>
      <c r="K9" s="60"/>
      <c r="L9" s="60"/>
      <c r="M9" s="47"/>
      <c r="N9" s="47"/>
      <c r="O9" s="25"/>
      <c r="P9" s="25"/>
      <c r="Q9" s="25"/>
      <c r="R9" s="54" t="s">
        <v>15</v>
      </c>
      <c r="S9" s="16">
        <v>4</v>
      </c>
      <c r="T9" s="16">
        <v>78</v>
      </c>
      <c r="U9" s="16">
        <v>50.055758774889263</v>
      </c>
      <c r="V9" s="124">
        <f t="shared" ref="V9:V53" si="1">S9+T9</f>
        <v>82</v>
      </c>
    </row>
    <row r="10" spans="1:22" ht="9" customHeight="1">
      <c r="A10" s="47"/>
      <c r="B10" s="60"/>
      <c r="C10" s="60"/>
      <c r="D10" s="60"/>
      <c r="E10" s="60"/>
      <c r="F10" s="60"/>
      <c r="G10" s="60"/>
      <c r="H10" s="73" t="str">
        <f t="shared" si="0"/>
        <v>Japan</v>
      </c>
      <c r="I10" s="60"/>
      <c r="J10" s="60"/>
      <c r="K10" s="60"/>
      <c r="L10" s="60"/>
      <c r="M10" s="47"/>
      <c r="N10" s="47"/>
      <c r="O10" s="25"/>
      <c r="P10" s="25"/>
      <c r="Q10" s="25"/>
      <c r="R10" s="54" t="s">
        <v>14</v>
      </c>
      <c r="S10" s="16">
        <v>4</v>
      </c>
      <c r="T10" s="16">
        <v>48</v>
      </c>
      <c r="U10" s="16">
        <v>60.714285714285737</v>
      </c>
      <c r="V10" s="124">
        <f t="shared" si="1"/>
        <v>52</v>
      </c>
    </row>
    <row r="11" spans="1:22" ht="9" customHeight="1">
      <c r="A11" s="47"/>
      <c r="B11" s="60"/>
      <c r="C11" s="60"/>
      <c r="D11" s="60"/>
      <c r="E11" s="60"/>
      <c r="F11" s="60"/>
      <c r="G11" s="60"/>
      <c r="H11" s="73" t="str">
        <f t="shared" si="0"/>
        <v>France</v>
      </c>
      <c r="I11" s="60"/>
      <c r="J11" s="60"/>
      <c r="K11" s="60"/>
      <c r="L11" s="60"/>
      <c r="M11" s="47"/>
      <c r="N11" s="47"/>
      <c r="O11" s="25"/>
      <c r="P11" s="25"/>
      <c r="Q11" s="25"/>
      <c r="R11" s="54" t="s">
        <v>7</v>
      </c>
      <c r="S11" s="16">
        <v>4.17</v>
      </c>
      <c r="T11" s="16">
        <v>26</v>
      </c>
      <c r="U11" s="16">
        <v>25.647198839563185</v>
      </c>
      <c r="V11" s="124">
        <f t="shared" si="1"/>
        <v>30.17</v>
      </c>
    </row>
    <row r="12" spans="1:22" ht="9" customHeight="1">
      <c r="A12" s="47"/>
      <c r="B12" s="60"/>
      <c r="C12" s="60"/>
      <c r="D12" s="60"/>
      <c r="E12" s="60"/>
      <c r="F12" s="60"/>
      <c r="G12" s="60"/>
      <c r="H12" s="73" t="str">
        <f t="shared" si="0"/>
        <v>Luxembourg</v>
      </c>
      <c r="I12" s="60"/>
      <c r="J12" s="60"/>
      <c r="K12" s="60"/>
      <c r="L12" s="60"/>
      <c r="M12" s="47"/>
      <c r="N12" s="47"/>
      <c r="O12" s="25"/>
      <c r="P12" s="25"/>
      <c r="Q12" s="25"/>
      <c r="R12" s="54" t="s">
        <v>18</v>
      </c>
      <c r="S12" s="16">
        <v>2</v>
      </c>
      <c r="T12" s="16">
        <v>26</v>
      </c>
      <c r="U12" s="16">
        <v>73.078847080201655</v>
      </c>
      <c r="V12" s="124">
        <f t="shared" si="1"/>
        <v>28</v>
      </c>
    </row>
    <row r="13" spans="1:22" ht="9" customHeight="1">
      <c r="A13" s="47"/>
      <c r="B13" s="60"/>
      <c r="C13" s="60"/>
      <c r="D13" s="60"/>
      <c r="E13" s="60"/>
      <c r="F13" s="60"/>
      <c r="G13" s="60"/>
      <c r="H13" s="73" t="str">
        <f t="shared" si="0"/>
        <v>Slovak Republic</v>
      </c>
      <c r="I13" s="60"/>
      <c r="J13" s="60"/>
      <c r="K13" s="60"/>
      <c r="L13" s="60"/>
      <c r="M13" s="47"/>
      <c r="N13" s="47"/>
      <c r="O13" s="25"/>
      <c r="P13" s="25"/>
      <c r="Q13" s="25"/>
      <c r="R13" s="54" t="s">
        <v>25</v>
      </c>
      <c r="S13" s="16">
        <v>2</v>
      </c>
      <c r="T13" s="16">
        <v>26</v>
      </c>
      <c r="U13" s="16">
        <v>75</v>
      </c>
      <c r="V13" s="124">
        <f t="shared" si="1"/>
        <v>28</v>
      </c>
    </row>
    <row r="14" spans="1:22" ht="9" customHeight="1">
      <c r="A14" s="47"/>
      <c r="B14" s="60"/>
      <c r="C14" s="60"/>
      <c r="D14" s="60"/>
      <c r="E14" s="60"/>
      <c r="F14" s="60"/>
      <c r="G14" s="60"/>
      <c r="H14" s="73" t="str">
        <f t="shared" si="0"/>
        <v>Portugal</v>
      </c>
      <c r="I14" s="60"/>
      <c r="J14" s="60"/>
      <c r="K14" s="60"/>
      <c r="L14" s="60"/>
      <c r="M14" s="47"/>
      <c r="N14" s="47"/>
      <c r="O14" s="25"/>
      <c r="P14" s="25"/>
      <c r="Q14" s="25"/>
      <c r="R14" s="54" t="s">
        <v>24</v>
      </c>
      <c r="S14" s="16">
        <v>5</v>
      </c>
      <c r="T14" s="16">
        <v>17.285714285714299</v>
      </c>
      <c r="U14" s="16">
        <v>64.999999999999972</v>
      </c>
      <c r="V14" s="124">
        <f t="shared" si="1"/>
        <v>22.285714285714299</v>
      </c>
    </row>
    <row r="15" spans="1:22" ht="9" customHeight="1">
      <c r="A15" s="47"/>
      <c r="B15" s="60"/>
      <c r="C15" s="60"/>
      <c r="D15" s="60"/>
      <c r="E15" s="60"/>
      <c r="F15" s="60"/>
      <c r="G15" s="60"/>
      <c r="H15" s="73" t="str">
        <f t="shared" si="0"/>
        <v>Belgium</v>
      </c>
      <c r="I15" s="60"/>
      <c r="J15" s="60"/>
      <c r="K15" s="60"/>
      <c r="L15" s="60"/>
      <c r="M15" s="47"/>
      <c r="N15" s="47"/>
      <c r="O15" s="25"/>
      <c r="P15" s="25"/>
      <c r="Q15" s="25"/>
      <c r="R15" s="54" t="s">
        <v>2</v>
      </c>
      <c r="S15" s="16">
        <v>4</v>
      </c>
      <c r="T15" s="16">
        <v>17.333333333333332</v>
      </c>
      <c r="U15" s="16">
        <v>31.921100289792218</v>
      </c>
      <c r="V15" s="124">
        <f t="shared" si="1"/>
        <v>21.333333333333332</v>
      </c>
    </row>
    <row r="16" spans="1:22" ht="9" customHeight="1">
      <c r="A16" s="47"/>
      <c r="B16" s="60"/>
      <c r="C16" s="60"/>
      <c r="D16" s="60"/>
      <c r="E16" s="60"/>
      <c r="F16" s="60"/>
      <c r="G16" s="60"/>
      <c r="H16" s="73" t="str">
        <f t="shared" si="0"/>
        <v>Iceland</v>
      </c>
      <c r="I16" s="60"/>
      <c r="J16" s="60"/>
      <c r="K16" s="60"/>
      <c r="L16" s="60"/>
      <c r="M16" s="47"/>
      <c r="N16" s="47"/>
      <c r="O16" s="25"/>
      <c r="P16" s="25"/>
      <c r="Q16" s="25"/>
      <c r="R16" s="54" t="s">
        <v>11</v>
      </c>
      <c r="S16" s="16">
        <v>0</v>
      </c>
      <c r="T16" s="16">
        <v>20</v>
      </c>
      <c r="U16" s="16">
        <v>80</v>
      </c>
      <c r="V16" s="124">
        <f t="shared" si="1"/>
        <v>20</v>
      </c>
    </row>
    <row r="17" spans="1:22" ht="9" customHeight="1">
      <c r="A17" s="47"/>
      <c r="B17" s="60"/>
      <c r="C17" s="60"/>
      <c r="D17" s="60"/>
      <c r="E17" s="60"/>
      <c r="F17" s="60"/>
      <c r="G17" s="60"/>
      <c r="H17" s="73" t="str">
        <f t="shared" si="0"/>
        <v>Finland</v>
      </c>
      <c r="I17" s="60"/>
      <c r="J17" s="60"/>
      <c r="K17" s="60"/>
      <c r="L17" s="60"/>
      <c r="M17" s="47"/>
      <c r="N17" s="47"/>
      <c r="O17" s="25"/>
      <c r="P17" s="25"/>
      <c r="Q17" s="25"/>
      <c r="R17" s="54" t="s">
        <v>6</v>
      </c>
      <c r="S17" s="16">
        <v>3</v>
      </c>
      <c r="T17" s="16">
        <v>13.166</v>
      </c>
      <c r="U17" s="16">
        <v>66.580357529876778</v>
      </c>
      <c r="V17" s="124">
        <f t="shared" si="1"/>
        <v>16.166</v>
      </c>
    </row>
    <row r="18" spans="1:22" ht="9" customHeight="1">
      <c r="A18" s="47"/>
      <c r="B18" s="60"/>
      <c r="C18" s="60"/>
      <c r="D18" s="60"/>
      <c r="E18" s="60"/>
      <c r="F18" s="60"/>
      <c r="G18" s="60"/>
      <c r="H18" s="73" t="str">
        <f t="shared" si="0"/>
        <v>Spain</v>
      </c>
      <c r="I18" s="60"/>
      <c r="J18" s="60"/>
      <c r="K18" s="60"/>
      <c r="L18" s="60"/>
      <c r="M18" s="47"/>
      <c r="N18" s="47"/>
      <c r="O18" s="25"/>
      <c r="P18" s="25"/>
      <c r="Q18" s="25"/>
      <c r="R18" s="54" t="s">
        <v>27</v>
      </c>
      <c r="S18" s="16">
        <v>16</v>
      </c>
      <c r="T18" s="16">
        <v>0</v>
      </c>
      <c r="U18" s="16">
        <v>100</v>
      </c>
      <c r="V18" s="124">
        <f t="shared" si="1"/>
        <v>16</v>
      </c>
    </row>
    <row r="19" spans="1:22" ht="9" customHeight="1">
      <c r="A19" s="47"/>
      <c r="B19" s="60"/>
      <c r="C19" s="60"/>
      <c r="D19" s="60"/>
      <c r="E19" s="60"/>
      <c r="F19" s="60"/>
      <c r="G19" s="60"/>
      <c r="H19" s="73" t="str">
        <f t="shared" si="0"/>
        <v>Norway</v>
      </c>
      <c r="I19" s="60"/>
      <c r="J19" s="60"/>
      <c r="K19" s="60"/>
      <c r="L19" s="60"/>
      <c r="M19" s="47"/>
      <c r="N19" s="47"/>
      <c r="O19" s="25"/>
      <c r="P19" s="25"/>
      <c r="Q19" s="25"/>
      <c r="R19" s="54" t="s">
        <v>22</v>
      </c>
      <c r="S19" s="16">
        <v>0</v>
      </c>
      <c r="T19" s="16">
        <v>15</v>
      </c>
      <c r="U19" s="16">
        <v>97.438203852551723</v>
      </c>
      <c r="V19" s="124">
        <f t="shared" si="1"/>
        <v>15</v>
      </c>
    </row>
    <row r="20" spans="1:22" ht="9" customHeight="1">
      <c r="A20" s="47"/>
      <c r="B20" s="60"/>
      <c r="C20" s="60"/>
      <c r="D20" s="60"/>
      <c r="E20" s="60"/>
      <c r="F20" s="60"/>
      <c r="G20" s="60"/>
      <c r="H20" s="73" t="str">
        <f t="shared" si="0"/>
        <v>Italy</v>
      </c>
      <c r="I20" s="60"/>
      <c r="J20" s="60"/>
      <c r="K20" s="60"/>
      <c r="L20" s="60"/>
      <c r="M20" s="47"/>
      <c r="N20" s="47"/>
      <c r="O20" s="25"/>
      <c r="P20" s="25"/>
      <c r="Q20" s="25"/>
      <c r="R20" s="54" t="s">
        <v>13</v>
      </c>
      <c r="S20" s="16">
        <v>2</v>
      </c>
      <c r="T20" s="16">
        <v>13</v>
      </c>
      <c r="U20" s="16">
        <v>39.333333333333336</v>
      </c>
      <c r="V20" s="124">
        <f t="shared" si="1"/>
        <v>15</v>
      </c>
    </row>
    <row r="21" spans="1:22" ht="9" customHeight="1">
      <c r="A21" s="47"/>
      <c r="B21" s="60"/>
      <c r="C21" s="60"/>
      <c r="D21" s="60"/>
      <c r="E21" s="60"/>
      <c r="F21" s="60"/>
      <c r="G21" s="60"/>
      <c r="H21" s="73" t="str">
        <f t="shared" si="0"/>
        <v>Netherlands</v>
      </c>
      <c r="I21" s="60"/>
      <c r="J21" s="60"/>
      <c r="K21" s="60"/>
      <c r="L21" s="60"/>
      <c r="M21" s="47"/>
      <c r="N21" s="47"/>
      <c r="O21" s="25"/>
      <c r="P21" s="25"/>
      <c r="Q21" s="25"/>
      <c r="R21" s="54" t="s">
        <v>20</v>
      </c>
      <c r="S21" s="16">
        <v>6</v>
      </c>
      <c r="T21" s="16">
        <v>9</v>
      </c>
      <c r="U21" s="16">
        <v>75.473293854244488</v>
      </c>
      <c r="V21" s="124">
        <f t="shared" si="1"/>
        <v>15</v>
      </c>
    </row>
    <row r="22" spans="1:22" ht="9" customHeight="1">
      <c r="A22" s="47"/>
      <c r="B22" s="60"/>
      <c r="C22" s="60"/>
      <c r="D22" s="60"/>
      <c r="E22" s="60"/>
      <c r="F22" s="60"/>
      <c r="G22" s="60"/>
      <c r="H22" s="73" t="str">
        <f t="shared" si="0"/>
        <v>Sweden</v>
      </c>
      <c r="I22" s="60"/>
      <c r="J22" s="60"/>
      <c r="K22" s="60"/>
      <c r="L22" s="60"/>
      <c r="M22" s="47"/>
      <c r="N22" s="47"/>
      <c r="O22" s="25"/>
      <c r="P22" s="25"/>
      <c r="Q22" s="25"/>
      <c r="R22" s="54" t="s">
        <v>28</v>
      </c>
      <c r="S22" s="16">
        <v>1.4285714285714286</v>
      </c>
      <c r="T22" s="16">
        <v>12.857142857142858</v>
      </c>
      <c r="U22" s="16">
        <v>76.209156588332249</v>
      </c>
      <c r="V22" s="124">
        <f t="shared" si="1"/>
        <v>14.285714285714286</v>
      </c>
    </row>
    <row r="23" spans="1:22" ht="9" customHeight="1">
      <c r="A23" s="47"/>
      <c r="B23" s="60"/>
      <c r="C23" s="60"/>
      <c r="D23" s="60"/>
      <c r="E23" s="60"/>
      <c r="F23" s="60"/>
      <c r="G23" s="60"/>
      <c r="H23" s="73" t="str">
        <f t="shared" si="0"/>
        <v>OECD average</v>
      </c>
      <c r="I23" s="60"/>
      <c r="J23" s="60"/>
      <c r="K23" s="60"/>
      <c r="L23" s="60"/>
      <c r="M23" s="47"/>
      <c r="N23" s="47"/>
      <c r="O23" s="25"/>
      <c r="P23" s="25"/>
      <c r="Q23" s="25"/>
      <c r="R23" s="54" t="s">
        <v>33</v>
      </c>
      <c r="S23" s="16">
        <v>2.4883458646616541</v>
      </c>
      <c r="T23" s="16">
        <v>10.903830290726816</v>
      </c>
      <c r="U23" s="16" t="s">
        <v>46</v>
      </c>
      <c r="V23" s="124">
        <f t="shared" si="1"/>
        <v>13.392176155388469</v>
      </c>
    </row>
    <row r="24" spans="1:22" ht="9" customHeight="1">
      <c r="A24" s="47"/>
      <c r="B24" s="60"/>
      <c r="C24" s="60"/>
      <c r="D24" s="60"/>
      <c r="E24" s="60"/>
      <c r="F24" s="60"/>
      <c r="G24" s="60"/>
      <c r="H24" s="73" t="str">
        <f t="shared" si="0"/>
        <v>EU average</v>
      </c>
      <c r="I24" s="60"/>
      <c r="J24" s="60"/>
      <c r="K24" s="60"/>
      <c r="L24" s="60"/>
      <c r="M24" s="47"/>
      <c r="N24" s="47"/>
      <c r="O24" s="25"/>
      <c r="P24" s="25"/>
      <c r="Q24" s="25"/>
      <c r="R24" s="54" t="s">
        <v>66</v>
      </c>
      <c r="S24" s="16">
        <v>3.2333333333333334</v>
      </c>
      <c r="T24" s="16">
        <v>10.086820409171079</v>
      </c>
      <c r="U24" s="16" t="s">
        <v>46</v>
      </c>
      <c r="V24" s="124">
        <f t="shared" si="1"/>
        <v>13.320153742504413</v>
      </c>
    </row>
    <row r="25" spans="1:22" ht="9" customHeight="1">
      <c r="A25" s="47"/>
      <c r="B25" s="60"/>
      <c r="C25" s="60"/>
      <c r="D25" s="60"/>
      <c r="E25" s="60"/>
      <c r="F25" s="60"/>
      <c r="G25" s="60"/>
      <c r="H25" s="73" t="str">
        <f t="shared" si="0"/>
        <v>Austria</v>
      </c>
      <c r="I25" s="60"/>
      <c r="J25" s="60"/>
      <c r="K25" s="60"/>
      <c r="L25" s="60"/>
      <c r="M25" s="47"/>
      <c r="N25" s="47"/>
      <c r="O25" s="25"/>
      <c r="P25" s="25"/>
      <c r="Q25" s="25"/>
      <c r="R25" s="54" t="s">
        <v>1</v>
      </c>
      <c r="S25" s="16">
        <v>4.33</v>
      </c>
      <c r="T25" s="16">
        <v>8.6666659999999993</v>
      </c>
      <c r="U25" s="16">
        <v>62.302474031410767</v>
      </c>
      <c r="V25" s="124">
        <f t="shared" si="1"/>
        <v>12.996665999999999</v>
      </c>
    </row>
    <row r="26" spans="1:22" ht="9" customHeight="1">
      <c r="A26" s="47"/>
      <c r="B26" s="60"/>
      <c r="C26" s="60"/>
      <c r="D26" s="60"/>
      <c r="E26" s="60"/>
      <c r="F26" s="60"/>
      <c r="G26" s="60"/>
      <c r="H26" s="73" t="str">
        <f t="shared" si="0"/>
        <v>Croatia</v>
      </c>
      <c r="I26" s="60"/>
      <c r="J26" s="60"/>
      <c r="K26" s="60"/>
      <c r="L26" s="60"/>
      <c r="M26" s="47"/>
      <c r="N26" s="47"/>
      <c r="O26" s="25"/>
      <c r="P26" s="25"/>
      <c r="Q26" s="25"/>
      <c r="R26" s="54" t="s">
        <v>36</v>
      </c>
      <c r="S26" s="16">
        <v>4</v>
      </c>
      <c r="T26" s="16">
        <v>8.6666000000000007</v>
      </c>
      <c r="U26" s="16">
        <v>100</v>
      </c>
      <c r="V26" s="124">
        <f t="shared" si="1"/>
        <v>12.666600000000001</v>
      </c>
    </row>
    <row r="27" spans="1:22" ht="9" customHeight="1">
      <c r="A27" s="47"/>
      <c r="B27" s="60"/>
      <c r="C27" s="60"/>
      <c r="D27" s="60"/>
      <c r="E27" s="60"/>
      <c r="F27" s="60"/>
      <c r="G27" s="60"/>
      <c r="H27" s="73" t="str">
        <f t="shared" si="0"/>
        <v>Lithuania</v>
      </c>
      <c r="I27" s="60"/>
      <c r="J27" s="60"/>
      <c r="K27" s="60"/>
      <c r="L27" s="60"/>
      <c r="M27" s="47"/>
      <c r="N27" s="47"/>
      <c r="O27" s="25"/>
      <c r="P27" s="25"/>
      <c r="Q27" s="25"/>
      <c r="R27" s="54" t="s">
        <v>17</v>
      </c>
      <c r="S27" s="16">
        <v>4</v>
      </c>
      <c r="T27" s="16">
        <v>8.6660000000000004</v>
      </c>
      <c r="U27" s="16">
        <v>77.579999999999984</v>
      </c>
      <c r="V27" s="124">
        <f t="shared" si="1"/>
        <v>12.666</v>
      </c>
    </row>
    <row r="28" spans="1:22" ht="9" customHeight="1">
      <c r="A28" s="47"/>
      <c r="B28" s="60"/>
      <c r="C28" s="60"/>
      <c r="D28" s="60"/>
      <c r="E28" s="60"/>
      <c r="F28" s="60"/>
      <c r="G28" s="60"/>
      <c r="H28" s="73" t="str">
        <f t="shared" si="0"/>
        <v>Greece</v>
      </c>
      <c r="I28" s="60"/>
      <c r="J28" s="60"/>
      <c r="K28" s="60"/>
      <c r="L28" s="60"/>
      <c r="M28" s="47"/>
      <c r="N28" s="47"/>
      <c r="O28" s="25"/>
      <c r="P28" s="25"/>
      <c r="Q28" s="25"/>
      <c r="R28" s="54" t="s">
        <v>9</v>
      </c>
      <c r="S28" s="16">
        <v>2.8</v>
      </c>
      <c r="T28" s="16">
        <v>8.6666659999999993</v>
      </c>
      <c r="U28" s="16">
        <v>56.093549375144271</v>
      </c>
      <c r="V28" s="124">
        <f t="shared" si="1"/>
        <v>11.466666</v>
      </c>
    </row>
    <row r="29" spans="1:22" ht="9" customHeight="1">
      <c r="A29" s="47"/>
      <c r="B29" s="60"/>
      <c r="C29" s="60"/>
      <c r="D29" s="60"/>
      <c r="E29" s="60"/>
      <c r="F29" s="60"/>
      <c r="G29" s="60"/>
      <c r="H29" s="73" t="str">
        <f t="shared" si="0"/>
        <v>Poland</v>
      </c>
      <c r="I29" s="60"/>
      <c r="J29" s="60"/>
      <c r="K29" s="60"/>
      <c r="L29" s="60"/>
      <c r="M29" s="47"/>
      <c r="N29" s="47"/>
      <c r="O29" s="25"/>
      <c r="P29" s="25"/>
      <c r="Q29" s="25"/>
      <c r="R29" s="54" t="s">
        <v>23</v>
      </c>
      <c r="S29" s="16">
        <v>2</v>
      </c>
      <c r="T29" s="16">
        <v>9</v>
      </c>
      <c r="U29" s="16">
        <v>75.454545454545453</v>
      </c>
      <c r="V29" s="124">
        <f t="shared" si="1"/>
        <v>11</v>
      </c>
    </row>
    <row r="30" spans="1:22" ht="9" customHeight="1">
      <c r="A30" s="47"/>
      <c r="B30" s="60"/>
      <c r="C30" s="60"/>
      <c r="D30" s="60"/>
      <c r="E30" s="60"/>
      <c r="F30" s="60"/>
      <c r="G30" s="60"/>
      <c r="H30" s="73" t="str">
        <f t="shared" si="0"/>
        <v>Denmark</v>
      </c>
      <c r="I30" s="60"/>
      <c r="J30" s="60"/>
      <c r="K30" s="60"/>
      <c r="L30" s="60"/>
      <c r="M30" s="47"/>
      <c r="N30" s="47"/>
      <c r="O30" s="25"/>
      <c r="P30" s="25"/>
      <c r="Q30" s="25"/>
      <c r="R30" s="54" t="s">
        <v>4</v>
      </c>
      <c r="S30" s="16">
        <v>2</v>
      </c>
      <c r="T30" s="16">
        <v>9</v>
      </c>
      <c r="U30" s="16">
        <v>49.691923419085199</v>
      </c>
      <c r="V30" s="124">
        <f t="shared" si="1"/>
        <v>11</v>
      </c>
    </row>
    <row r="31" spans="1:22" ht="9" customHeight="1">
      <c r="A31" s="47"/>
      <c r="B31" s="60"/>
      <c r="C31" s="60"/>
      <c r="D31" s="60"/>
      <c r="E31" s="60"/>
      <c r="F31" s="60"/>
      <c r="G31" s="60"/>
      <c r="H31" s="73" t="str">
        <f t="shared" si="0"/>
        <v>Hungary</v>
      </c>
      <c r="I31" s="60"/>
      <c r="J31" s="60"/>
      <c r="K31" s="60"/>
      <c r="L31" s="60"/>
      <c r="M31" s="47"/>
      <c r="N31" s="47"/>
      <c r="O31" s="25"/>
      <c r="P31" s="25"/>
      <c r="Q31" s="25"/>
      <c r="R31" s="54" t="s">
        <v>10</v>
      </c>
      <c r="S31" s="16">
        <v>2</v>
      </c>
      <c r="T31" s="16">
        <v>8.8000000000000007</v>
      </c>
      <c r="U31" s="16">
        <v>21.111111111111111</v>
      </c>
      <c r="V31" s="124">
        <f t="shared" si="1"/>
        <v>10.8</v>
      </c>
    </row>
    <row r="32" spans="1:22" ht="9" customHeight="1">
      <c r="A32" s="47"/>
      <c r="B32" s="60"/>
      <c r="C32" s="60"/>
      <c r="D32" s="60"/>
      <c r="E32" s="60"/>
      <c r="F32" s="60"/>
      <c r="G32" s="60"/>
      <c r="H32" s="73" t="str">
        <f t="shared" si="0"/>
        <v>Slovenia</v>
      </c>
      <c r="I32" s="60"/>
      <c r="J32" s="60"/>
      <c r="K32" s="60"/>
      <c r="L32" s="60"/>
      <c r="M32" s="47"/>
      <c r="N32" s="47"/>
      <c r="O32" s="25"/>
      <c r="P32" s="25"/>
      <c r="Q32" s="25"/>
      <c r="R32" s="54" t="s">
        <v>26</v>
      </c>
      <c r="S32" s="16">
        <v>2.1428571428571428</v>
      </c>
      <c r="T32" s="16">
        <v>8.5714285714285712</v>
      </c>
      <c r="U32" s="16">
        <v>100</v>
      </c>
      <c r="V32" s="124">
        <f t="shared" si="1"/>
        <v>10.714285714285714</v>
      </c>
    </row>
    <row r="33" spans="1:22" ht="9" customHeight="1">
      <c r="A33" s="47"/>
      <c r="B33" s="60"/>
      <c r="C33" s="60"/>
      <c r="D33" s="60"/>
      <c r="E33" s="60"/>
      <c r="F33" s="60"/>
      <c r="G33" s="60"/>
      <c r="H33" s="73" t="str">
        <f t="shared" si="0"/>
        <v>Romania</v>
      </c>
      <c r="I33" s="60"/>
      <c r="J33" s="60"/>
      <c r="K33" s="60"/>
      <c r="L33" s="60"/>
      <c r="M33" s="47"/>
      <c r="N33" s="47"/>
      <c r="O33" s="25"/>
      <c r="P33" s="25"/>
      <c r="Q33" s="54"/>
      <c r="R33" s="54" t="s">
        <v>39</v>
      </c>
      <c r="S33" s="16">
        <v>2</v>
      </c>
      <c r="T33" s="16">
        <v>8.6660000000000004</v>
      </c>
      <c r="U33" s="16">
        <v>87.812675792237016</v>
      </c>
      <c r="V33" s="124">
        <f t="shared" si="1"/>
        <v>10.666</v>
      </c>
    </row>
    <row r="34" spans="1:22" ht="9" customHeight="1">
      <c r="A34" s="47"/>
      <c r="B34" s="60"/>
      <c r="C34" s="60"/>
      <c r="D34" s="60"/>
      <c r="E34" s="60"/>
      <c r="F34" s="60"/>
      <c r="G34" s="60"/>
      <c r="H34" s="73" t="str">
        <f t="shared" si="0"/>
        <v>Latvia</v>
      </c>
      <c r="I34" s="60"/>
      <c r="J34" s="60"/>
      <c r="K34" s="60"/>
      <c r="L34" s="60"/>
      <c r="M34" s="47"/>
      <c r="N34" s="47"/>
      <c r="O34" s="25"/>
      <c r="P34" s="25"/>
      <c r="Q34" s="25"/>
      <c r="R34" s="54" t="s">
        <v>16</v>
      </c>
      <c r="S34" s="16">
        <v>2</v>
      </c>
      <c r="T34" s="16">
        <v>8.6660000000000004</v>
      </c>
      <c r="U34" s="16">
        <v>63.750234389649357</v>
      </c>
      <c r="V34" s="124">
        <f t="shared" si="1"/>
        <v>10.666</v>
      </c>
    </row>
    <row r="35" spans="1:22" ht="9" customHeight="1">
      <c r="A35" s="47"/>
      <c r="B35" s="60"/>
      <c r="C35" s="60"/>
      <c r="D35" s="60"/>
      <c r="E35" s="60"/>
      <c r="F35" s="60"/>
      <c r="G35" s="60"/>
      <c r="H35" s="73" t="str">
        <f t="shared" si="0"/>
        <v>Malta</v>
      </c>
      <c r="I35" s="60"/>
      <c r="J35" s="60"/>
      <c r="K35" s="60"/>
      <c r="L35" s="60"/>
      <c r="M35" s="47"/>
      <c r="N35" s="47"/>
      <c r="O35" s="25"/>
      <c r="P35" s="25"/>
      <c r="Q35" s="25"/>
      <c r="R35" s="54" t="s">
        <v>38</v>
      </c>
      <c r="S35" s="16">
        <v>2</v>
      </c>
      <c r="T35" s="16">
        <v>8.6660000000000004</v>
      </c>
      <c r="U35" s="16">
        <v>59.375585974123375</v>
      </c>
      <c r="V35" s="124">
        <f t="shared" si="1"/>
        <v>10.666</v>
      </c>
    </row>
    <row r="36" spans="1:22" ht="9" customHeight="1">
      <c r="A36" s="47"/>
      <c r="B36" s="60"/>
      <c r="C36" s="60"/>
      <c r="D36" s="60"/>
      <c r="E36" s="60"/>
      <c r="F36" s="60"/>
      <c r="G36" s="60"/>
      <c r="H36" s="73" t="str">
        <f t="shared" si="0"/>
        <v>Ireland</v>
      </c>
      <c r="I36" s="60"/>
      <c r="J36" s="60"/>
      <c r="K36" s="60"/>
      <c r="L36" s="60"/>
      <c r="M36" s="47"/>
      <c r="N36" s="47"/>
      <c r="O36" s="25"/>
      <c r="P36" s="25"/>
      <c r="Q36" s="25"/>
      <c r="R36" s="54" t="s">
        <v>12</v>
      </c>
      <c r="S36" s="16">
        <v>2</v>
      </c>
      <c r="T36" s="16">
        <v>7</v>
      </c>
      <c r="U36" s="16">
        <v>23.423064352044449</v>
      </c>
      <c r="V36" s="124">
        <f t="shared" si="1"/>
        <v>9</v>
      </c>
    </row>
    <row r="37" spans="1:22" ht="9" customHeight="1">
      <c r="A37" s="47"/>
      <c r="B37" s="60"/>
      <c r="C37" s="60"/>
      <c r="D37" s="60"/>
      <c r="E37" s="60"/>
      <c r="F37" s="60"/>
      <c r="G37" s="60"/>
      <c r="H37" s="73" t="str">
        <f t="shared" si="0"/>
        <v>Germany</v>
      </c>
      <c r="I37" s="60"/>
      <c r="J37" s="60"/>
      <c r="K37" s="60"/>
      <c r="L37" s="60"/>
      <c r="M37" s="47"/>
      <c r="N37" s="47"/>
      <c r="O37" s="25"/>
      <c r="P37" s="25"/>
      <c r="Q37" s="25"/>
      <c r="R37" s="54" t="s">
        <v>8</v>
      </c>
      <c r="S37" s="16">
        <v>0</v>
      </c>
      <c r="T37" s="16">
        <v>8.6666000000000007</v>
      </c>
      <c r="U37" s="16">
        <v>55.261335078407768</v>
      </c>
      <c r="V37" s="124">
        <f t="shared" si="1"/>
        <v>8.6666000000000007</v>
      </c>
    </row>
    <row r="38" spans="1:22" ht="9" customHeight="1">
      <c r="A38" s="47"/>
      <c r="B38" s="60"/>
      <c r="C38" s="60"/>
      <c r="D38" s="60"/>
      <c r="E38" s="60"/>
      <c r="F38" s="60"/>
      <c r="G38" s="60"/>
      <c r="H38" s="73" t="str">
        <f t="shared" si="0"/>
        <v>Canada</v>
      </c>
      <c r="I38" s="60"/>
      <c r="J38" s="60"/>
      <c r="K38" s="60"/>
      <c r="L38" s="60"/>
      <c r="M38" s="47"/>
      <c r="N38" s="47"/>
      <c r="O38" s="25"/>
      <c r="P38" s="25"/>
      <c r="Q38" s="25"/>
      <c r="R38" s="54" t="s">
        <v>3</v>
      </c>
      <c r="S38" s="16">
        <v>0</v>
      </c>
      <c r="T38" s="16">
        <v>5</v>
      </c>
      <c r="U38" s="16">
        <v>40.900739908451364</v>
      </c>
      <c r="V38" s="124">
        <f t="shared" si="1"/>
        <v>5</v>
      </c>
    </row>
    <row r="39" spans="1:22" ht="9" customHeight="1">
      <c r="A39" s="47"/>
      <c r="B39" s="60"/>
      <c r="C39" s="60"/>
      <c r="D39" s="60"/>
      <c r="E39" s="60"/>
      <c r="F39" s="60"/>
      <c r="G39" s="60"/>
      <c r="H39" s="73" t="str">
        <f t="shared" si="0"/>
        <v>Estonia</v>
      </c>
      <c r="I39" s="60"/>
      <c r="J39" s="60"/>
      <c r="K39" s="60"/>
      <c r="L39" s="60"/>
      <c r="M39" s="47"/>
      <c r="N39" s="47"/>
      <c r="O39" s="25"/>
      <c r="P39" s="25"/>
      <c r="Q39" s="25"/>
      <c r="R39" s="54" t="s">
        <v>5</v>
      </c>
      <c r="S39" s="16">
        <v>4.2857142857142856</v>
      </c>
      <c r="T39" s="16">
        <v>0</v>
      </c>
      <c r="U39" s="16">
        <v>100</v>
      </c>
      <c r="V39" s="124">
        <f t="shared" si="1"/>
        <v>4.2857142857142856</v>
      </c>
    </row>
    <row r="40" spans="1:22" ht="9" customHeight="1">
      <c r="A40" s="47"/>
      <c r="B40" s="60"/>
      <c r="C40" s="60"/>
      <c r="D40" s="60"/>
      <c r="E40" s="60"/>
      <c r="F40" s="60"/>
      <c r="G40" s="60"/>
      <c r="H40" s="73" t="str">
        <f t="shared" si="0"/>
        <v>Colombia</v>
      </c>
      <c r="I40" s="60"/>
      <c r="J40" s="60"/>
      <c r="K40" s="60"/>
      <c r="L40" s="60"/>
      <c r="M40" s="47"/>
      <c r="N40" s="47"/>
      <c r="O40" s="25"/>
      <c r="P40" s="25"/>
      <c r="Q40" s="25"/>
      <c r="R40" s="54" t="s">
        <v>78</v>
      </c>
      <c r="S40" s="16">
        <v>2.8</v>
      </c>
      <c r="T40" s="16">
        <v>0</v>
      </c>
      <c r="U40" s="16">
        <v>100</v>
      </c>
      <c r="V40" s="124">
        <f t="shared" si="1"/>
        <v>2.8</v>
      </c>
    </row>
    <row r="41" spans="1:22" ht="9" customHeight="1">
      <c r="A41" s="47"/>
      <c r="B41" s="60"/>
      <c r="C41" s="60"/>
      <c r="D41" s="60"/>
      <c r="E41" s="60"/>
      <c r="F41" s="60"/>
      <c r="G41" s="60"/>
      <c r="H41" s="73" t="str">
        <f t="shared" si="0"/>
        <v>Bulgaria</v>
      </c>
      <c r="I41" s="60"/>
      <c r="J41" s="60"/>
      <c r="K41" s="60"/>
      <c r="L41" s="60"/>
      <c r="M41" s="47"/>
      <c r="N41" s="47"/>
      <c r="O41" s="25"/>
      <c r="P41" s="25"/>
      <c r="Q41" s="25"/>
      <c r="R41" s="54" t="s">
        <v>35</v>
      </c>
      <c r="S41" s="16">
        <v>2.1428571428571428</v>
      </c>
      <c r="T41" s="16">
        <v>0</v>
      </c>
      <c r="U41" s="16">
        <v>90</v>
      </c>
      <c r="V41" s="124">
        <f t="shared" si="1"/>
        <v>2.1428571428571428</v>
      </c>
    </row>
    <row r="42" spans="1:22" ht="9" customHeight="1">
      <c r="A42" s="47"/>
      <c r="B42" s="60"/>
      <c r="C42" s="60"/>
      <c r="D42" s="60"/>
      <c r="E42" s="60"/>
      <c r="F42" s="60"/>
      <c r="G42" s="60"/>
      <c r="H42" s="73" t="str">
        <f t="shared" si="0"/>
        <v>Cyprus</v>
      </c>
      <c r="I42" s="60"/>
      <c r="J42" s="60"/>
      <c r="K42" s="60"/>
      <c r="L42" s="60"/>
      <c r="M42" s="47"/>
      <c r="N42" s="47"/>
      <c r="O42" s="25"/>
      <c r="P42" s="25"/>
      <c r="Q42" s="25"/>
      <c r="R42" s="54" t="s">
        <v>37</v>
      </c>
      <c r="S42" s="16">
        <v>2</v>
      </c>
      <c r="T42" s="16">
        <v>0</v>
      </c>
      <c r="U42" s="16">
        <v>72</v>
      </c>
      <c r="V42" s="124">
        <f t="shared" si="1"/>
        <v>2</v>
      </c>
    </row>
    <row r="43" spans="1:22" ht="9" customHeight="1">
      <c r="A43" s="47"/>
      <c r="B43" s="60"/>
      <c r="C43" s="60"/>
      <c r="D43" s="60"/>
      <c r="E43" s="60"/>
      <c r="F43" s="60"/>
      <c r="G43" s="60"/>
      <c r="H43" s="73" t="str">
        <f t="shared" si="0"/>
        <v>Australia</v>
      </c>
      <c r="I43" s="60"/>
      <c r="J43" s="60"/>
      <c r="K43" s="60"/>
      <c r="L43" s="60"/>
      <c r="M43" s="47"/>
      <c r="N43" s="47"/>
      <c r="O43" s="25"/>
      <c r="P43" s="25"/>
      <c r="Q43" s="25"/>
      <c r="R43" s="54" t="s">
        <v>0</v>
      </c>
      <c r="S43" s="16">
        <v>0</v>
      </c>
      <c r="T43" s="16">
        <v>2</v>
      </c>
      <c r="U43" s="16">
        <v>45.885536389386672</v>
      </c>
      <c r="V43" s="124">
        <f t="shared" si="1"/>
        <v>2</v>
      </c>
    </row>
    <row r="44" spans="1:22" ht="9" customHeight="1">
      <c r="A44" s="47"/>
      <c r="B44" s="60"/>
      <c r="C44" s="60"/>
      <c r="D44" s="60"/>
      <c r="E44" s="60"/>
      <c r="F44" s="60"/>
      <c r="G44" s="60"/>
      <c r="H44" s="73" t="str">
        <f t="shared" si="0"/>
        <v>United Kingdom</v>
      </c>
      <c r="I44" s="60"/>
      <c r="J44" s="60"/>
      <c r="K44" s="60"/>
      <c r="L44" s="60"/>
      <c r="M44" s="47"/>
      <c r="N44" s="47"/>
      <c r="O44" s="25"/>
      <c r="P44" s="25"/>
      <c r="Q44" s="25"/>
      <c r="R44" s="54" t="s">
        <v>30</v>
      </c>
      <c r="S44" s="16">
        <v>2</v>
      </c>
      <c r="T44" s="16">
        <v>0</v>
      </c>
      <c r="U44" s="16">
        <v>18.969560191167343</v>
      </c>
      <c r="V44" s="124">
        <f t="shared" si="1"/>
        <v>2</v>
      </c>
    </row>
    <row r="45" spans="1:22" ht="9" customHeight="1">
      <c r="A45" s="47"/>
      <c r="B45" s="60"/>
      <c r="C45" s="60"/>
      <c r="D45" s="60"/>
      <c r="E45" s="60"/>
      <c r="F45" s="60"/>
      <c r="G45" s="60"/>
      <c r="H45" s="73" t="str">
        <f t="shared" si="0"/>
        <v>Switzerland</v>
      </c>
      <c r="I45" s="60"/>
      <c r="J45" s="60"/>
      <c r="K45" s="60"/>
      <c r="L45" s="60"/>
      <c r="M45" s="47"/>
      <c r="N45" s="47"/>
      <c r="O45" s="25"/>
      <c r="P45" s="25"/>
      <c r="Q45" s="25"/>
      <c r="R45" s="54" t="s">
        <v>29</v>
      </c>
      <c r="S45" s="16">
        <v>2</v>
      </c>
      <c r="T45" s="16">
        <v>0</v>
      </c>
      <c r="U45" s="16">
        <v>57.52738555934851</v>
      </c>
      <c r="V45" s="124">
        <f t="shared" si="1"/>
        <v>2</v>
      </c>
    </row>
    <row r="46" spans="1:22" ht="9" customHeight="1">
      <c r="A46" s="47"/>
      <c r="B46" s="60"/>
      <c r="C46" s="60"/>
      <c r="D46" s="60"/>
      <c r="E46" s="60"/>
      <c r="F46" s="60"/>
      <c r="G46" s="60"/>
      <c r="H46" s="73" t="str">
        <f t="shared" si="0"/>
        <v>Czechia</v>
      </c>
      <c r="I46" s="60"/>
      <c r="J46" s="60"/>
      <c r="K46" s="60"/>
      <c r="L46" s="60"/>
      <c r="M46" s="47"/>
      <c r="N46" s="47"/>
      <c r="O46" s="25"/>
      <c r="P46" s="25"/>
      <c r="Q46" s="25"/>
      <c r="R46" s="54" t="s">
        <v>106</v>
      </c>
      <c r="S46" s="16">
        <v>2</v>
      </c>
      <c r="T46" s="16">
        <v>0</v>
      </c>
      <c r="U46" s="16">
        <v>61.41350817645305</v>
      </c>
      <c r="V46" s="124">
        <f t="shared" si="1"/>
        <v>2</v>
      </c>
    </row>
    <row r="47" spans="1:22" ht="9" customHeight="1">
      <c r="A47" s="47"/>
      <c r="B47" s="60"/>
      <c r="C47" s="60"/>
      <c r="D47" s="60"/>
      <c r="E47" s="60"/>
      <c r="F47" s="60"/>
      <c r="G47" s="60"/>
      <c r="H47" s="73" t="str">
        <f t="shared" si="0"/>
        <v>Costa Rica</v>
      </c>
      <c r="I47" s="60"/>
      <c r="J47" s="60"/>
      <c r="K47" s="60"/>
      <c r="L47" s="60"/>
      <c r="M47" s="56"/>
      <c r="N47" s="47"/>
      <c r="O47" s="25"/>
      <c r="P47" s="25"/>
      <c r="Q47" s="25"/>
      <c r="R47" s="54" t="s">
        <v>67</v>
      </c>
      <c r="S47" s="16">
        <v>1.6</v>
      </c>
      <c r="T47" s="16">
        <v>0</v>
      </c>
      <c r="U47" s="16">
        <v>100</v>
      </c>
      <c r="V47" s="124">
        <f t="shared" si="1"/>
        <v>1.6</v>
      </c>
    </row>
    <row r="48" spans="1:22" ht="9" customHeight="1">
      <c r="A48" s="47"/>
      <c r="B48" s="60"/>
      <c r="C48" s="60"/>
      <c r="D48" s="60"/>
      <c r="E48" s="60"/>
      <c r="F48" s="60"/>
      <c r="G48" s="60"/>
      <c r="H48" s="73" t="str">
        <f t="shared" si="0"/>
        <v>Türkiye</v>
      </c>
      <c r="I48" s="60"/>
      <c r="J48" s="60"/>
      <c r="K48" s="60"/>
      <c r="L48" s="60"/>
      <c r="M48" s="56"/>
      <c r="N48" s="47"/>
      <c r="O48" s="25"/>
      <c r="P48" s="25"/>
      <c r="Q48" s="25"/>
      <c r="R48" s="54" t="s">
        <v>81</v>
      </c>
      <c r="S48" s="16">
        <v>1</v>
      </c>
      <c r="T48" s="16">
        <v>0</v>
      </c>
      <c r="U48" s="16">
        <v>100</v>
      </c>
      <c r="V48" s="124">
        <f t="shared" si="1"/>
        <v>1</v>
      </c>
    </row>
    <row r="49" spans="1:22" ht="9" customHeight="1">
      <c r="A49" s="47"/>
      <c r="B49" s="60"/>
      <c r="C49" s="60"/>
      <c r="D49" s="60"/>
      <c r="E49" s="60"/>
      <c r="F49" s="60"/>
      <c r="G49" s="60"/>
      <c r="H49" s="73" t="str">
        <f t="shared" si="0"/>
        <v>Mexico</v>
      </c>
      <c r="I49" s="60"/>
      <c r="J49" s="60"/>
      <c r="K49" s="60"/>
      <c r="L49" s="60"/>
      <c r="M49" s="57"/>
      <c r="N49" s="57"/>
      <c r="O49" s="58"/>
      <c r="P49" s="25"/>
      <c r="Q49" s="25"/>
      <c r="R49" s="54" t="s">
        <v>19</v>
      </c>
      <c r="S49" s="16">
        <v>1</v>
      </c>
      <c r="T49" s="16">
        <v>0</v>
      </c>
      <c r="U49" s="16">
        <v>100</v>
      </c>
      <c r="V49" s="124">
        <f t="shared" si="1"/>
        <v>1</v>
      </c>
    </row>
    <row r="50" spans="1:22" ht="9" customHeight="1">
      <c r="A50" s="47"/>
      <c r="B50" s="60"/>
      <c r="C50" s="60"/>
      <c r="D50" s="60"/>
      <c r="E50" s="60"/>
      <c r="F50" s="60"/>
      <c r="G50" s="60"/>
      <c r="H50" s="73" t="str">
        <f t="shared" si="0"/>
        <v>Chile</v>
      </c>
      <c r="I50" s="60"/>
      <c r="J50" s="60"/>
      <c r="K50" s="60"/>
      <c r="L50" s="60"/>
      <c r="M50" s="57"/>
      <c r="N50" s="57"/>
      <c r="O50" s="58"/>
      <c r="P50" s="25"/>
      <c r="Q50" s="25"/>
      <c r="R50" s="54" t="s">
        <v>32</v>
      </c>
      <c r="S50" s="16">
        <v>1</v>
      </c>
      <c r="T50" s="16">
        <v>0</v>
      </c>
      <c r="U50" s="16">
        <v>100</v>
      </c>
      <c r="V50" s="124">
        <f t="shared" si="1"/>
        <v>1</v>
      </c>
    </row>
    <row r="51" spans="1:22" ht="11.15" customHeight="1">
      <c r="A51" s="47"/>
      <c r="B51" s="60"/>
      <c r="C51" s="60"/>
      <c r="D51" s="60"/>
      <c r="E51" s="60"/>
      <c r="F51" s="60"/>
      <c r="G51" s="60"/>
      <c r="H51" s="73" t="str">
        <f t="shared" si="0"/>
        <v>New Zealand</v>
      </c>
      <c r="I51" s="60"/>
      <c r="J51" s="60"/>
      <c r="K51" s="60"/>
      <c r="L51" s="60"/>
      <c r="M51" s="57"/>
      <c r="N51" s="57"/>
      <c r="O51" s="58"/>
      <c r="P51" s="25"/>
      <c r="Q51" s="54"/>
      <c r="R51" s="54" t="s">
        <v>21</v>
      </c>
      <c r="S51" s="16">
        <v>0</v>
      </c>
      <c r="T51" s="16">
        <v>0</v>
      </c>
      <c r="U51" s="16">
        <v>0</v>
      </c>
      <c r="V51" s="124">
        <f t="shared" si="1"/>
        <v>0</v>
      </c>
    </row>
    <row r="52" spans="1:22" ht="9" customHeight="1">
      <c r="A52" s="47"/>
      <c r="B52" s="60"/>
      <c r="C52" s="60"/>
      <c r="D52" s="60"/>
      <c r="E52" s="60"/>
      <c r="F52" s="60"/>
      <c r="G52" s="60"/>
      <c r="H52" s="73" t="str">
        <f t="shared" si="0"/>
        <v>Israel</v>
      </c>
      <c r="I52" s="60"/>
      <c r="J52" s="60"/>
      <c r="K52" s="60"/>
      <c r="L52" s="60"/>
      <c r="M52" s="57"/>
      <c r="N52" s="57"/>
      <c r="O52" s="58"/>
      <c r="P52" s="25"/>
      <c r="Q52" s="25"/>
      <c r="R52" s="54" t="s">
        <v>34</v>
      </c>
      <c r="S52" s="16">
        <v>0</v>
      </c>
      <c r="T52" s="16">
        <v>0</v>
      </c>
      <c r="U52" s="16">
        <v>0</v>
      </c>
      <c r="V52" s="124">
        <f t="shared" si="1"/>
        <v>0</v>
      </c>
    </row>
    <row r="53" spans="1:22">
      <c r="A53" s="47"/>
      <c r="B53" s="60"/>
      <c r="C53" s="60"/>
      <c r="D53" s="60"/>
      <c r="E53" s="60"/>
      <c r="F53" s="60"/>
      <c r="G53" s="60"/>
      <c r="H53" s="73" t="str">
        <f t="shared" si="0"/>
        <v>United States</v>
      </c>
      <c r="I53" s="60"/>
      <c r="J53" s="60"/>
      <c r="K53" s="60"/>
      <c r="L53" s="60"/>
      <c r="M53" s="57"/>
      <c r="N53" s="57"/>
      <c r="O53" s="58"/>
      <c r="P53" s="25"/>
      <c r="Q53" s="25"/>
      <c r="R53" s="54" t="s">
        <v>31</v>
      </c>
      <c r="S53" s="16">
        <v>0</v>
      </c>
      <c r="T53" s="16">
        <v>0</v>
      </c>
      <c r="U53" s="16">
        <v>0</v>
      </c>
      <c r="V53" s="124">
        <f t="shared" si="1"/>
        <v>0</v>
      </c>
    </row>
    <row r="54" spans="1:22" ht="12.75" customHeight="1">
      <c r="A54" s="47"/>
      <c r="B54" s="143" t="s">
        <v>100</v>
      </c>
      <c r="C54" s="143"/>
      <c r="D54" s="143"/>
      <c r="E54" s="143"/>
      <c r="F54" s="143"/>
      <c r="G54" s="143"/>
      <c r="H54" s="143"/>
      <c r="I54" s="143"/>
      <c r="J54" s="143"/>
      <c r="K54" s="143"/>
      <c r="L54" s="143"/>
      <c r="M54" s="61"/>
      <c r="N54" s="61"/>
      <c r="O54" s="57"/>
      <c r="P54" s="25"/>
      <c r="Q54" s="25"/>
      <c r="R54" s="25"/>
      <c r="S54" s="25"/>
      <c r="T54" s="25"/>
      <c r="U54" s="23"/>
    </row>
    <row r="55" spans="1:22" ht="21" customHeight="1">
      <c r="A55" s="47"/>
      <c r="B55" s="143"/>
      <c r="C55" s="143"/>
      <c r="D55" s="143"/>
      <c r="E55" s="143"/>
      <c r="F55" s="143"/>
      <c r="G55" s="143"/>
      <c r="H55" s="143"/>
      <c r="I55" s="143"/>
      <c r="J55" s="143"/>
      <c r="K55" s="143"/>
      <c r="L55" s="143"/>
      <c r="M55" s="61"/>
      <c r="N55" s="61"/>
      <c r="O55" s="57"/>
      <c r="P55" s="25"/>
      <c r="Q55" s="25"/>
      <c r="R55" s="25"/>
      <c r="S55" s="25"/>
      <c r="T55" s="25"/>
      <c r="U55" s="23"/>
    </row>
    <row r="56" spans="1:22" ht="12.75" customHeight="1">
      <c r="A56" s="47"/>
      <c r="B56" s="154" t="s">
        <v>75</v>
      </c>
      <c r="C56" s="154"/>
      <c r="D56" s="154"/>
      <c r="E56" s="154"/>
      <c r="F56" s="154"/>
      <c r="G56" s="154"/>
      <c r="H56" s="154"/>
      <c r="I56" s="154"/>
      <c r="J56" s="154"/>
      <c r="K56" s="154"/>
      <c r="L56" s="154"/>
      <c r="M56" s="62"/>
      <c r="N56" s="62"/>
      <c r="O56" s="25"/>
      <c r="P56" s="25"/>
      <c r="Q56" s="25"/>
      <c r="R56" s="25"/>
      <c r="S56" s="25"/>
      <c r="T56" s="25"/>
      <c r="U56" s="24"/>
    </row>
    <row r="57" spans="1:22" ht="12.75" customHeight="1">
      <c r="A57" s="47"/>
      <c r="B57" s="154" t="s">
        <v>76</v>
      </c>
      <c r="C57" s="154"/>
      <c r="D57" s="154"/>
      <c r="E57" s="154"/>
      <c r="F57" s="154"/>
      <c r="G57" s="154"/>
      <c r="H57" s="154"/>
      <c r="I57" s="154"/>
      <c r="J57" s="154"/>
      <c r="K57" s="154"/>
      <c r="L57" s="154"/>
      <c r="M57" s="62"/>
      <c r="N57" s="62"/>
      <c r="O57" s="25"/>
      <c r="P57" s="25"/>
      <c r="Q57" s="25"/>
      <c r="R57" s="25"/>
      <c r="S57" s="25"/>
      <c r="T57" s="25"/>
      <c r="U57" s="24"/>
    </row>
    <row r="58" spans="1:22" ht="12.75" customHeight="1">
      <c r="A58" s="47"/>
      <c r="B58" s="154" t="s">
        <v>77</v>
      </c>
      <c r="C58" s="154"/>
      <c r="D58" s="154"/>
      <c r="E58" s="154"/>
      <c r="F58" s="154"/>
      <c r="G58" s="154"/>
      <c r="H58" s="154"/>
      <c r="I58" s="154"/>
      <c r="J58" s="154"/>
      <c r="K58" s="154"/>
      <c r="L58" s="154"/>
      <c r="M58" s="62"/>
      <c r="N58" s="62"/>
      <c r="O58" s="25"/>
      <c r="P58" s="25"/>
      <c r="Q58" s="25"/>
      <c r="R58" s="25"/>
      <c r="S58" s="25"/>
      <c r="T58" s="25"/>
      <c r="U58" s="24"/>
    </row>
    <row r="59" spans="1:22" ht="12.75" customHeight="1">
      <c r="A59" s="47"/>
      <c r="B59" s="142" t="s">
        <v>88</v>
      </c>
      <c r="C59" s="142"/>
      <c r="D59" s="142"/>
      <c r="E59" s="142"/>
      <c r="F59" s="142"/>
      <c r="G59" s="142"/>
      <c r="H59" s="142"/>
      <c r="I59" s="142"/>
      <c r="J59" s="142"/>
      <c r="K59" s="142"/>
      <c r="L59" s="142"/>
      <c r="M59" s="63"/>
      <c r="N59" s="63"/>
      <c r="O59" s="25"/>
      <c r="P59" s="25"/>
      <c r="Q59" s="25"/>
      <c r="R59" s="25"/>
      <c r="S59" s="25"/>
      <c r="T59" s="25"/>
    </row>
    <row r="60" spans="1:22">
      <c r="A60" s="47"/>
      <c r="B60" s="57"/>
      <c r="C60" s="57"/>
      <c r="D60" s="57"/>
      <c r="E60" s="57"/>
      <c r="F60" s="57"/>
      <c r="G60" s="57"/>
      <c r="H60" s="57"/>
      <c r="I60" s="57"/>
      <c r="J60" s="57"/>
      <c r="K60" s="57"/>
      <c r="L60" s="57"/>
      <c r="M60" s="47"/>
      <c r="N60" s="47"/>
      <c r="O60" s="25"/>
      <c r="P60" s="25"/>
      <c r="Q60" s="25"/>
      <c r="R60" s="25"/>
      <c r="S60" s="25"/>
      <c r="T60" s="25"/>
    </row>
    <row r="61" spans="1:22">
      <c r="B61" s="11"/>
      <c r="C61" s="11"/>
      <c r="D61" s="11"/>
      <c r="E61" s="11"/>
      <c r="F61" s="11"/>
      <c r="G61" s="11"/>
      <c r="H61" s="11"/>
      <c r="I61" s="11"/>
      <c r="J61" s="11"/>
      <c r="K61" s="11"/>
      <c r="L61" s="11"/>
      <c r="R61" s="19"/>
      <c r="S61" s="19"/>
      <c r="T61" s="19"/>
    </row>
    <row r="62" spans="1:22">
      <c r="B62" s="11"/>
      <c r="C62" s="11"/>
      <c r="D62" s="11"/>
      <c r="E62" s="11"/>
      <c r="F62" s="11"/>
      <c r="G62" s="11"/>
      <c r="H62" s="11"/>
      <c r="I62" s="11"/>
      <c r="J62" s="11"/>
      <c r="K62" s="11"/>
      <c r="L62" s="11"/>
      <c r="R62" s="19"/>
      <c r="S62" s="19"/>
      <c r="T62" s="19"/>
    </row>
    <row r="63" spans="1:22">
      <c r="B63" s="11"/>
      <c r="C63" s="11"/>
      <c r="D63" s="11"/>
      <c r="E63" s="11"/>
      <c r="F63" s="11"/>
      <c r="G63" s="11"/>
      <c r="H63" s="11"/>
      <c r="I63" s="11"/>
      <c r="J63" s="11"/>
      <c r="K63" s="11"/>
      <c r="L63" s="11"/>
    </row>
    <row r="64" spans="1:22">
      <c r="B64" s="44"/>
      <c r="C64" s="44"/>
      <c r="D64" s="44"/>
      <c r="E64" s="44"/>
      <c r="F64" s="44"/>
      <c r="G64" s="44"/>
      <c r="H64" s="44"/>
      <c r="I64" s="44"/>
      <c r="J64" s="44"/>
      <c r="K64" s="44"/>
      <c r="L64" s="44"/>
    </row>
    <row r="65" spans="2:12">
      <c r="B65" s="44"/>
      <c r="C65" s="44"/>
      <c r="D65" s="44"/>
      <c r="E65" s="44"/>
      <c r="F65" s="44"/>
      <c r="G65" s="44"/>
      <c r="H65" s="44"/>
      <c r="I65" s="44"/>
      <c r="J65" s="44"/>
      <c r="K65" s="44"/>
      <c r="L65" s="44"/>
    </row>
    <row r="66" spans="2:12">
      <c r="B66" s="44"/>
      <c r="C66" s="44"/>
      <c r="D66" s="44"/>
      <c r="E66" s="44"/>
      <c r="F66" s="44"/>
      <c r="G66" s="44"/>
      <c r="H66" s="44"/>
      <c r="I66" s="44"/>
      <c r="J66" s="44"/>
      <c r="K66" s="44"/>
      <c r="L66" s="44"/>
    </row>
  </sheetData>
  <mergeCells count="15">
    <mergeCell ref="B59:L59"/>
    <mergeCell ref="S5:T5"/>
    <mergeCell ref="T6:T8"/>
    <mergeCell ref="S6:S8"/>
    <mergeCell ref="B1:N2"/>
    <mergeCell ref="B3:N4"/>
    <mergeCell ref="C6:G6"/>
    <mergeCell ref="I6:M6"/>
    <mergeCell ref="B58:L58"/>
    <mergeCell ref="V6:V8"/>
    <mergeCell ref="U6:U8"/>
    <mergeCell ref="B54:L55"/>
    <mergeCell ref="B56:L56"/>
    <mergeCell ref="B57:L57"/>
    <mergeCell ref="R6:R8"/>
  </mergeCells>
  <pageMargins left="0.70866141732283472" right="0.70866141732283472" top="0.74803149606299213" bottom="0.74803149606299213" header="0.31496062992125984" footer="0.31496062992125984"/>
  <pageSetup paperSize="9" scale="97" orientation="portrait" r:id="rId1"/>
  <headerFooter>
    <oddHeader>&amp;LOECD Family Database (http://www.oecd.org/els/family/database.htm)</oddHeader>
    <oddFooter>&amp;C_x000D_&amp;1#&amp;"Calibri"&amp;10&amp;K0000FF Restricted Use - À usage restreint</oddFooter>
  </headerFooter>
  <customProperties>
    <customPr name="PrintArea"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6C70-119D-4F40-A50A-C1EDBF2741B0}">
  <sheetPr>
    <tabColor rgb="FF00B050"/>
  </sheetPr>
  <dimension ref="A1:X51"/>
  <sheetViews>
    <sheetView showGridLines="0" showWhiteSpace="0" zoomScale="112" zoomScaleNormal="112" workbookViewId="0">
      <selection sqref="A1:M2"/>
    </sheetView>
  </sheetViews>
  <sheetFormatPr defaultRowHeight="12.5"/>
  <cols>
    <col min="13" max="13" width="8.7265625" style="125"/>
    <col min="15" max="17" width="12.1796875" customWidth="1"/>
    <col min="18" max="21" width="8.7265625" style="120"/>
    <col min="22" max="22" width="8.7265625" style="72"/>
  </cols>
  <sheetData>
    <row r="1" spans="1:24" ht="13">
      <c r="A1" s="167" t="s">
        <v>102</v>
      </c>
      <c r="B1" s="167"/>
      <c r="C1" s="167"/>
      <c r="D1" s="167"/>
      <c r="E1" s="167"/>
      <c r="F1" s="167"/>
      <c r="G1" s="167"/>
      <c r="H1" s="167"/>
      <c r="I1" s="167"/>
      <c r="J1" s="167"/>
      <c r="K1" s="167"/>
      <c r="L1" s="167"/>
      <c r="M1" s="167"/>
      <c r="N1" s="77"/>
      <c r="O1" s="77"/>
      <c r="P1" s="77"/>
      <c r="Q1" s="78"/>
      <c r="R1" s="118"/>
      <c r="S1" s="118"/>
      <c r="T1" s="118"/>
      <c r="U1" s="118"/>
      <c r="V1" s="84"/>
      <c r="W1" s="78"/>
      <c r="X1" s="78"/>
    </row>
    <row r="2" spans="1:24" ht="13">
      <c r="A2" s="167"/>
      <c r="B2" s="167"/>
      <c r="C2" s="167"/>
      <c r="D2" s="167"/>
      <c r="E2" s="167"/>
      <c r="F2" s="167"/>
      <c r="G2" s="167"/>
      <c r="H2" s="167"/>
      <c r="I2" s="167"/>
      <c r="J2" s="167"/>
      <c r="K2" s="167"/>
      <c r="L2" s="167"/>
      <c r="M2" s="167"/>
      <c r="N2" s="77"/>
      <c r="O2" s="77"/>
      <c r="P2" s="77"/>
      <c r="Q2" s="78"/>
      <c r="R2" s="118"/>
      <c r="S2" s="118"/>
      <c r="T2" s="118"/>
      <c r="U2" s="118"/>
      <c r="V2" s="84"/>
      <c r="W2" s="78"/>
      <c r="X2" s="78"/>
    </row>
    <row r="3" spans="1:24" ht="13">
      <c r="A3" s="168" t="s">
        <v>101</v>
      </c>
      <c r="B3" s="168"/>
      <c r="C3" s="168"/>
      <c r="D3" s="168"/>
      <c r="E3" s="168"/>
      <c r="F3" s="168"/>
      <c r="G3" s="168"/>
      <c r="H3" s="168"/>
      <c r="I3" s="168"/>
      <c r="J3" s="168"/>
      <c r="K3" s="168"/>
      <c r="L3" s="168"/>
      <c r="M3" s="168"/>
      <c r="N3" s="77"/>
      <c r="O3" s="77"/>
      <c r="P3" s="77"/>
      <c r="Q3" s="79"/>
      <c r="R3" s="119"/>
      <c r="S3" s="119"/>
      <c r="T3" s="119"/>
      <c r="U3" s="119"/>
      <c r="V3" s="85"/>
      <c r="W3" s="79"/>
      <c r="X3" s="79"/>
    </row>
    <row r="4" spans="1:24" ht="13">
      <c r="A4" s="168"/>
      <c r="B4" s="168"/>
      <c r="C4" s="168"/>
      <c r="D4" s="168"/>
      <c r="E4" s="168"/>
      <c r="F4" s="168"/>
      <c r="G4" s="168"/>
      <c r="H4" s="168"/>
      <c r="I4" s="168"/>
      <c r="J4" s="168"/>
      <c r="K4" s="168"/>
      <c r="L4" s="168"/>
      <c r="M4" s="168"/>
      <c r="N4" s="77"/>
      <c r="O4" s="169" t="s">
        <v>50</v>
      </c>
      <c r="P4" s="169"/>
      <c r="Q4" s="79"/>
      <c r="R4" s="119"/>
      <c r="S4" s="119"/>
      <c r="T4" s="119"/>
      <c r="U4" s="119"/>
      <c r="V4" s="85"/>
      <c r="W4" s="79"/>
      <c r="X4" s="79"/>
    </row>
    <row r="5" spans="1:24" ht="13">
      <c r="A5" s="77"/>
      <c r="B5" s="77"/>
      <c r="C5" s="77"/>
      <c r="D5" s="77"/>
      <c r="E5" s="77"/>
      <c r="F5" s="77"/>
      <c r="G5" s="77"/>
      <c r="H5" s="77"/>
      <c r="I5" s="77"/>
      <c r="J5" s="77"/>
      <c r="N5" s="79"/>
      <c r="Q5" s="80"/>
    </row>
    <row r="6" spans="1:24" ht="13" customHeight="1">
      <c r="A6" s="77"/>
      <c r="B6" s="77"/>
      <c r="C6" s="77"/>
      <c r="D6" s="77"/>
      <c r="E6" s="77"/>
      <c r="F6" s="77"/>
      <c r="G6" s="77"/>
      <c r="H6" s="77"/>
      <c r="I6" s="77"/>
      <c r="J6" s="77"/>
      <c r="M6" s="163"/>
      <c r="N6" s="89"/>
      <c r="O6" s="164" t="s">
        <v>83</v>
      </c>
      <c r="P6" s="164" t="s">
        <v>84</v>
      </c>
      <c r="Q6" s="164" t="s">
        <v>85</v>
      </c>
      <c r="R6" s="162"/>
      <c r="S6" s="121"/>
      <c r="T6" s="121"/>
      <c r="U6" s="121"/>
    </row>
    <row r="7" spans="1:24" ht="13" customHeight="1">
      <c r="A7" s="77"/>
      <c r="B7" s="77"/>
      <c r="C7" s="77"/>
      <c r="D7" s="77"/>
      <c r="E7" s="77"/>
      <c r="F7" s="77"/>
      <c r="G7" s="77"/>
      <c r="H7" s="77"/>
      <c r="I7" s="77"/>
      <c r="J7" s="77"/>
      <c r="M7" s="163"/>
      <c r="N7" s="88"/>
      <c r="O7" s="165"/>
      <c r="P7" s="165"/>
      <c r="Q7" s="165"/>
      <c r="R7" s="162"/>
      <c r="S7" s="121"/>
      <c r="T7" s="121"/>
      <c r="U7" s="121"/>
      <c r="V7" s="87"/>
    </row>
    <row r="8" spans="1:24" ht="13">
      <c r="A8" s="77"/>
      <c r="B8" s="77"/>
      <c r="C8" s="77"/>
      <c r="D8" s="77"/>
      <c r="E8" s="77"/>
      <c r="F8" s="77"/>
      <c r="G8" s="77"/>
      <c r="H8" s="77"/>
      <c r="I8" s="77"/>
      <c r="J8" s="77"/>
      <c r="M8" s="125">
        <v>1</v>
      </c>
      <c r="N8" s="81" t="s">
        <v>25</v>
      </c>
      <c r="O8" s="82">
        <v>34</v>
      </c>
      <c r="P8" s="82">
        <v>28</v>
      </c>
      <c r="Q8" s="82">
        <v>130</v>
      </c>
      <c r="R8" s="122">
        <v>192</v>
      </c>
      <c r="S8" s="121"/>
      <c r="T8" s="121"/>
      <c r="U8" s="121"/>
      <c r="V8" s="87"/>
    </row>
    <row r="9" spans="1:24" ht="13">
      <c r="A9" s="77"/>
      <c r="B9" s="77"/>
      <c r="C9" s="77"/>
      <c r="D9" s="77"/>
      <c r="E9" s="77"/>
      <c r="F9" s="77"/>
      <c r="G9" s="77"/>
      <c r="H9" s="77"/>
      <c r="I9" s="77"/>
      <c r="J9" s="77"/>
      <c r="M9" s="125">
        <v>1</v>
      </c>
      <c r="N9" s="81" t="s">
        <v>6</v>
      </c>
      <c r="O9" s="82">
        <v>22.836599999999997</v>
      </c>
      <c r="P9" s="82">
        <v>16.166600000000003</v>
      </c>
      <c r="Q9" s="82">
        <v>138.16666000000001</v>
      </c>
      <c r="R9" s="122">
        <v>177.16986</v>
      </c>
      <c r="S9" s="121"/>
      <c r="T9" s="121"/>
      <c r="U9" s="121"/>
      <c r="V9" s="87"/>
    </row>
    <row r="10" spans="1:24" ht="13">
      <c r="A10" s="77"/>
      <c r="B10" s="77"/>
      <c r="C10" s="77"/>
      <c r="D10" s="77"/>
      <c r="E10" s="77"/>
      <c r="F10" s="77"/>
      <c r="G10" s="77"/>
      <c r="H10" s="77"/>
      <c r="I10" s="77"/>
      <c r="J10" s="77"/>
      <c r="M10" s="125">
        <v>1</v>
      </c>
      <c r="N10" s="81" t="s">
        <v>15</v>
      </c>
      <c r="O10" s="82">
        <v>90.857142857142861</v>
      </c>
      <c r="P10" s="82">
        <v>82</v>
      </c>
      <c r="Q10" s="82">
        <v>0</v>
      </c>
      <c r="R10" s="122">
        <v>172.85714285714286</v>
      </c>
      <c r="S10" s="121"/>
      <c r="T10" s="121"/>
      <c r="U10" s="121"/>
      <c r="V10" s="87"/>
    </row>
    <row r="11" spans="1:24" ht="13">
      <c r="A11" s="77"/>
      <c r="B11" s="77"/>
      <c r="C11" s="77"/>
      <c r="D11" s="77"/>
      <c r="E11" s="77"/>
      <c r="F11" s="77"/>
      <c r="G11" s="77"/>
      <c r="H11" s="77"/>
      <c r="I11" s="77"/>
      <c r="J11" s="77"/>
      <c r="M11" s="125">
        <v>1</v>
      </c>
      <c r="N11" s="81" t="s">
        <v>10</v>
      </c>
      <c r="O11" s="82">
        <v>24</v>
      </c>
      <c r="P11" s="82">
        <v>10.8</v>
      </c>
      <c r="Q11" s="82">
        <v>136</v>
      </c>
      <c r="R11" s="122">
        <v>170.8</v>
      </c>
      <c r="S11" s="121"/>
      <c r="T11" s="121"/>
      <c r="U11" s="121"/>
      <c r="V11" s="87"/>
    </row>
    <row r="12" spans="1:24" ht="13">
      <c r="A12" s="77"/>
      <c r="B12" s="77"/>
      <c r="C12" s="77"/>
      <c r="D12" s="77"/>
      <c r="E12" s="77"/>
      <c r="F12" s="77"/>
      <c r="G12" s="77"/>
      <c r="H12" s="77"/>
      <c r="I12" s="77"/>
      <c r="J12" s="77"/>
      <c r="M12" s="125">
        <v>1</v>
      </c>
      <c r="N12" s="81" t="s">
        <v>16</v>
      </c>
      <c r="O12" s="82">
        <v>24.666</v>
      </c>
      <c r="P12" s="82">
        <v>10.666</v>
      </c>
      <c r="Q12" s="82">
        <v>69.332999999999998</v>
      </c>
      <c r="R12" s="122">
        <v>104.66499999999999</v>
      </c>
      <c r="S12" s="121"/>
      <c r="T12" s="121"/>
      <c r="U12" s="121"/>
      <c r="V12" s="87"/>
    </row>
    <row r="13" spans="1:24" ht="13">
      <c r="A13" s="77"/>
      <c r="B13" s="77"/>
      <c r="C13" s="77"/>
      <c r="D13" s="77"/>
      <c r="E13" s="77"/>
      <c r="F13" s="77"/>
      <c r="G13" s="77"/>
      <c r="H13" s="77"/>
      <c r="I13" s="77"/>
      <c r="J13" s="77"/>
      <c r="M13" s="125">
        <v>1</v>
      </c>
      <c r="N13" s="81" t="s">
        <v>22</v>
      </c>
      <c r="O13" s="82">
        <v>18</v>
      </c>
      <c r="P13" s="82">
        <v>15</v>
      </c>
      <c r="Q13" s="82">
        <v>68</v>
      </c>
      <c r="R13" s="122">
        <v>101</v>
      </c>
      <c r="S13" s="121"/>
      <c r="T13" s="121"/>
      <c r="U13" s="121"/>
      <c r="V13" s="87"/>
    </row>
    <row r="14" spans="1:24" ht="13">
      <c r="A14" s="77"/>
      <c r="B14" s="77"/>
      <c r="C14" s="77"/>
      <c r="D14" s="77"/>
      <c r="E14" s="77"/>
      <c r="F14" s="77"/>
      <c r="G14" s="77"/>
      <c r="H14" s="77"/>
      <c r="I14" s="77"/>
      <c r="J14" s="77"/>
      <c r="M14" s="125">
        <v>1</v>
      </c>
      <c r="N14" s="81" t="s">
        <v>17</v>
      </c>
      <c r="O14" s="82">
        <v>26.666</v>
      </c>
      <c r="P14" s="82">
        <v>12.666</v>
      </c>
      <c r="Q14" s="82">
        <v>52.666600000000003</v>
      </c>
      <c r="R14" s="122">
        <v>91.998599999999996</v>
      </c>
      <c r="S14" s="121"/>
      <c r="T14" s="121"/>
      <c r="U14" s="121"/>
      <c r="V14" s="87"/>
    </row>
    <row r="15" spans="1:24" ht="13">
      <c r="A15" s="77"/>
      <c r="B15" s="77"/>
      <c r="C15" s="77"/>
      <c r="D15" s="77"/>
      <c r="E15" s="77"/>
      <c r="F15" s="77"/>
      <c r="G15" s="77"/>
      <c r="H15" s="77"/>
      <c r="I15" s="77"/>
      <c r="J15" s="77"/>
      <c r="M15" s="125">
        <v>1</v>
      </c>
      <c r="N15" s="81" t="s">
        <v>5</v>
      </c>
      <c r="O15" s="82">
        <v>14.285714285714286</v>
      </c>
      <c r="P15" s="82">
        <v>4.2857142857142856</v>
      </c>
      <c r="Q15" s="82">
        <v>67.857142857142861</v>
      </c>
      <c r="R15" s="122">
        <v>86.428571428571445</v>
      </c>
      <c r="S15" s="121"/>
      <c r="T15" s="121"/>
      <c r="U15" s="121"/>
      <c r="V15" s="87"/>
    </row>
    <row r="16" spans="1:24" ht="13">
      <c r="A16" s="77"/>
      <c r="B16" s="77"/>
      <c r="C16" s="77"/>
      <c r="D16" s="77"/>
      <c r="E16" s="77"/>
      <c r="F16" s="77"/>
      <c r="G16" s="77"/>
      <c r="H16" s="77"/>
      <c r="I16" s="77"/>
      <c r="J16" s="77"/>
      <c r="M16" s="125">
        <v>1</v>
      </c>
      <c r="N16" s="81" t="s">
        <v>9</v>
      </c>
      <c r="O16" s="82">
        <v>56</v>
      </c>
      <c r="P16" s="82">
        <v>11.4666</v>
      </c>
      <c r="Q16" s="82">
        <v>8.6666000000000007</v>
      </c>
      <c r="R16" s="122">
        <v>76.133200000000002</v>
      </c>
      <c r="S16" s="121"/>
      <c r="T16" s="121"/>
      <c r="U16" s="121"/>
      <c r="V16" s="87"/>
    </row>
    <row r="17" spans="1:22" ht="13">
      <c r="A17" s="77"/>
      <c r="B17" s="77"/>
      <c r="C17" s="77"/>
      <c r="D17" s="77"/>
      <c r="E17" s="77"/>
      <c r="F17" s="77"/>
      <c r="G17" s="77"/>
      <c r="H17" s="77"/>
      <c r="I17" s="77"/>
      <c r="J17" s="77"/>
      <c r="M17" s="125">
        <v>1</v>
      </c>
      <c r="N17" s="81" t="s">
        <v>18</v>
      </c>
      <c r="O17" s="82">
        <v>46</v>
      </c>
      <c r="P17" s="82">
        <v>28</v>
      </c>
      <c r="Q17" s="82">
        <v>0</v>
      </c>
      <c r="R17" s="122">
        <v>74</v>
      </c>
      <c r="S17" s="121"/>
      <c r="T17" s="121"/>
      <c r="U17" s="121"/>
      <c r="V17" s="87"/>
    </row>
    <row r="18" spans="1:22" ht="13">
      <c r="A18" s="77"/>
      <c r="B18" s="77"/>
      <c r="C18" s="77"/>
      <c r="D18" s="77"/>
      <c r="E18" s="77"/>
      <c r="F18" s="77"/>
      <c r="G18" s="77"/>
      <c r="H18" s="77"/>
      <c r="I18" s="77"/>
      <c r="J18" s="77"/>
      <c r="M18" s="125">
        <v>1</v>
      </c>
      <c r="N18" s="81" t="s">
        <v>1</v>
      </c>
      <c r="O18" s="82">
        <v>24.666665999999999</v>
      </c>
      <c r="P18" s="82">
        <v>12.996665999999999</v>
      </c>
      <c r="Q18" s="82">
        <v>35.33</v>
      </c>
      <c r="R18" s="122">
        <v>72.993331999999995</v>
      </c>
      <c r="S18" s="121"/>
      <c r="T18" s="121"/>
      <c r="U18" s="121"/>
      <c r="V18" s="87"/>
    </row>
    <row r="19" spans="1:22" ht="13">
      <c r="A19" s="77"/>
      <c r="B19" s="77"/>
      <c r="C19" s="77"/>
      <c r="D19" s="77"/>
      <c r="E19" s="77"/>
      <c r="F19" s="77"/>
      <c r="G19" s="77"/>
      <c r="H19" s="77"/>
      <c r="I19" s="77"/>
      <c r="J19" s="77"/>
      <c r="M19" s="125">
        <v>1</v>
      </c>
      <c r="N19" s="81" t="s">
        <v>87</v>
      </c>
      <c r="O19" s="82">
        <v>42</v>
      </c>
      <c r="P19" s="82">
        <v>30.17</v>
      </c>
      <c r="Q19" s="82">
        <v>0</v>
      </c>
      <c r="R19" s="122">
        <v>72.17</v>
      </c>
      <c r="S19" s="121"/>
      <c r="T19" s="121"/>
      <c r="U19" s="121"/>
      <c r="V19" s="87"/>
    </row>
    <row r="20" spans="1:22" ht="13">
      <c r="A20" s="77"/>
      <c r="B20" s="77"/>
      <c r="C20" s="77"/>
      <c r="D20" s="77"/>
      <c r="E20" s="77"/>
      <c r="F20" s="77"/>
      <c r="G20" s="77"/>
      <c r="H20" s="77"/>
      <c r="I20" s="77"/>
      <c r="J20" s="77"/>
      <c r="M20" s="125">
        <v>1</v>
      </c>
      <c r="N20" s="81" t="s">
        <v>28</v>
      </c>
      <c r="O20" s="82">
        <v>12.857142857142858</v>
      </c>
      <c r="P20" s="82">
        <v>14.285714285714286</v>
      </c>
      <c r="Q20" s="82">
        <v>42.857142857142854</v>
      </c>
      <c r="R20" s="122">
        <v>70</v>
      </c>
      <c r="S20" s="121"/>
      <c r="T20" s="121"/>
      <c r="U20" s="121"/>
    </row>
    <row r="21" spans="1:22" ht="13">
      <c r="A21" s="77"/>
      <c r="B21" s="77"/>
      <c r="C21" s="77"/>
      <c r="D21" s="77"/>
      <c r="E21" s="77"/>
      <c r="F21" s="77"/>
      <c r="G21" s="77"/>
      <c r="H21" s="77"/>
      <c r="I21" s="77"/>
      <c r="J21" s="77"/>
      <c r="M21" s="125">
        <v>1</v>
      </c>
      <c r="N21" s="81" t="s">
        <v>106</v>
      </c>
      <c r="O21" s="82">
        <v>28</v>
      </c>
      <c r="P21" s="82">
        <v>2</v>
      </c>
      <c r="Q21" s="82">
        <v>37.80404772336783</v>
      </c>
      <c r="R21" s="122">
        <v>67.80404772336783</v>
      </c>
      <c r="S21" s="123"/>
      <c r="T21" s="123"/>
      <c r="U21" s="123"/>
      <c r="V21" s="87"/>
    </row>
    <row r="22" spans="1:22" ht="12.65" customHeight="1">
      <c r="A22" s="166" t="s">
        <v>103</v>
      </c>
      <c r="B22" s="166"/>
      <c r="C22" s="166"/>
      <c r="D22" s="166"/>
      <c r="E22" s="166"/>
      <c r="F22" s="166"/>
      <c r="G22" s="166"/>
      <c r="H22" s="166"/>
      <c r="I22" s="166"/>
      <c r="J22" s="166"/>
      <c r="M22" s="125">
        <v>1</v>
      </c>
      <c r="N22" s="81" t="s">
        <v>8</v>
      </c>
      <c r="O22" s="82">
        <v>22.666600000000003</v>
      </c>
      <c r="P22" s="82">
        <v>8.6999999999999993</v>
      </c>
      <c r="Q22" s="82">
        <v>35.333399999999997</v>
      </c>
      <c r="R22" s="122">
        <v>66.7</v>
      </c>
      <c r="V22" s="87"/>
    </row>
    <row r="23" spans="1:22">
      <c r="A23" s="166"/>
      <c r="B23" s="166"/>
      <c r="C23" s="166"/>
      <c r="D23" s="166"/>
      <c r="E23" s="166"/>
      <c r="F23" s="166"/>
      <c r="G23" s="166"/>
      <c r="H23" s="166"/>
      <c r="I23" s="166"/>
      <c r="J23" s="166"/>
      <c r="M23" s="125">
        <v>1</v>
      </c>
      <c r="N23" s="81" t="s">
        <v>14</v>
      </c>
      <c r="O23" s="82">
        <v>58</v>
      </c>
      <c r="P23" s="82">
        <v>52</v>
      </c>
      <c r="Q23" s="82">
        <v>0</v>
      </c>
      <c r="R23" s="122">
        <v>66</v>
      </c>
      <c r="S23" s="122">
        <v>14</v>
      </c>
      <c r="T23" s="122">
        <v>8</v>
      </c>
      <c r="U23" s="122">
        <v>44</v>
      </c>
      <c r="V23" s="87"/>
    </row>
    <row r="24" spans="1:22">
      <c r="A24" s="166"/>
      <c r="B24" s="166"/>
      <c r="C24" s="166"/>
      <c r="D24" s="166"/>
      <c r="E24" s="166"/>
      <c r="F24" s="166"/>
      <c r="G24" s="166"/>
      <c r="H24" s="166"/>
      <c r="I24" s="166"/>
      <c r="J24" s="166"/>
      <c r="N24" s="81" t="s">
        <v>82</v>
      </c>
      <c r="O24" s="82">
        <v>26.729272162907275</v>
      </c>
      <c r="P24" s="82">
        <v>13.445691962406014</v>
      </c>
      <c r="Q24" s="82">
        <v>25.686690742368068</v>
      </c>
      <c r="R24" s="122">
        <v>64.703760130839257</v>
      </c>
      <c r="S24" s="121"/>
      <c r="T24" s="121"/>
      <c r="U24" s="121"/>
      <c r="V24" s="86"/>
    </row>
    <row r="25" spans="1:22">
      <c r="A25" s="166"/>
      <c r="B25" s="166"/>
      <c r="C25" s="166"/>
      <c r="D25" s="166"/>
      <c r="E25" s="166"/>
      <c r="F25" s="166"/>
      <c r="G25" s="166"/>
      <c r="H25" s="166"/>
      <c r="I25" s="166"/>
      <c r="J25" s="166"/>
      <c r="M25" s="125">
        <v>1</v>
      </c>
      <c r="N25" s="81" t="s">
        <v>23</v>
      </c>
      <c r="O25" s="82">
        <v>29</v>
      </c>
      <c r="P25" s="82">
        <v>11</v>
      </c>
      <c r="Q25" s="82">
        <v>23</v>
      </c>
      <c r="R25" s="122">
        <v>63</v>
      </c>
      <c r="S25" s="121"/>
      <c r="T25" s="121"/>
      <c r="U25" s="121"/>
      <c r="V25" s="87"/>
    </row>
    <row r="26" spans="1:22">
      <c r="A26" s="166"/>
      <c r="B26" s="166"/>
      <c r="C26" s="166"/>
      <c r="D26" s="166"/>
      <c r="E26" s="166"/>
      <c r="F26" s="166"/>
      <c r="G26" s="166"/>
      <c r="H26" s="166"/>
      <c r="I26" s="166"/>
      <c r="J26" s="166"/>
      <c r="M26" s="125">
        <v>1</v>
      </c>
      <c r="N26" s="81" t="s">
        <v>26</v>
      </c>
      <c r="O26" s="82">
        <v>23.571428571428569</v>
      </c>
      <c r="P26" s="82">
        <v>10.714285714285714</v>
      </c>
      <c r="Q26" s="82">
        <v>28.571428571428573</v>
      </c>
      <c r="R26" s="122">
        <v>62.857142857142854</v>
      </c>
      <c r="S26" s="121"/>
      <c r="T26" s="121"/>
      <c r="U26" s="121"/>
      <c r="V26" s="87"/>
    </row>
    <row r="27" spans="1:22">
      <c r="A27" s="166"/>
      <c r="B27" s="166"/>
      <c r="C27" s="166"/>
      <c r="D27" s="166"/>
      <c r="E27" s="166"/>
      <c r="F27" s="166"/>
      <c r="G27" s="166"/>
      <c r="H27" s="166"/>
      <c r="I27" s="166"/>
      <c r="J27" s="166"/>
      <c r="M27" s="125">
        <v>1</v>
      </c>
      <c r="N27" s="81" t="s">
        <v>13</v>
      </c>
      <c r="O27" s="82">
        <v>34.700000000000003</v>
      </c>
      <c r="P27" s="82">
        <v>15</v>
      </c>
      <c r="Q27" s="82">
        <v>13</v>
      </c>
      <c r="R27" s="122">
        <v>62.7</v>
      </c>
      <c r="S27" s="121"/>
      <c r="T27" s="121"/>
      <c r="U27" s="121"/>
      <c r="V27" s="87"/>
    </row>
    <row r="28" spans="1:22">
      <c r="A28" s="166"/>
      <c r="B28" s="166"/>
      <c r="C28" s="166"/>
      <c r="D28" s="166"/>
      <c r="E28" s="166"/>
      <c r="F28" s="166"/>
      <c r="G28" s="166"/>
      <c r="H28" s="166"/>
      <c r="I28" s="166"/>
      <c r="J28" s="166"/>
      <c r="M28" s="125">
        <v>1</v>
      </c>
      <c r="N28" s="81" t="s">
        <v>3</v>
      </c>
      <c r="O28" s="82">
        <v>21</v>
      </c>
      <c r="P28" s="82">
        <v>5</v>
      </c>
      <c r="Q28" s="82">
        <v>30</v>
      </c>
      <c r="R28" s="122">
        <v>56</v>
      </c>
      <c r="S28" s="121"/>
      <c r="T28" s="121"/>
      <c r="U28" s="121"/>
      <c r="V28" s="87"/>
    </row>
    <row r="29" spans="1:22">
      <c r="A29" s="83" t="s">
        <v>86</v>
      </c>
      <c r="M29" s="125">
        <v>1</v>
      </c>
      <c r="N29" s="81" t="s">
        <v>2</v>
      </c>
      <c r="O29" s="82">
        <v>32.333333333333329</v>
      </c>
      <c r="P29" s="82">
        <v>21.332999999999998</v>
      </c>
      <c r="Q29" s="82">
        <v>0</v>
      </c>
      <c r="R29" s="122">
        <v>53.666333333333327</v>
      </c>
      <c r="S29" s="121"/>
      <c r="T29" s="121"/>
      <c r="U29" s="121"/>
      <c r="V29" s="87"/>
    </row>
    <row r="30" spans="1:22">
      <c r="M30" s="125">
        <v>1</v>
      </c>
      <c r="N30" s="81" t="s">
        <v>24</v>
      </c>
      <c r="O30" s="82">
        <v>23.285714285714299</v>
      </c>
      <c r="P30" s="82">
        <v>22.285714285714299</v>
      </c>
      <c r="Q30" s="82">
        <v>6.8542857142857017</v>
      </c>
      <c r="R30" s="122">
        <v>52.425714285714299</v>
      </c>
      <c r="S30" s="121"/>
      <c r="T30" s="121"/>
      <c r="U30" s="121"/>
      <c r="V30" s="87"/>
    </row>
    <row r="31" spans="1:22">
      <c r="M31" s="125">
        <v>1</v>
      </c>
      <c r="N31" s="81" t="s">
        <v>4</v>
      </c>
      <c r="O31" s="82">
        <v>15</v>
      </c>
      <c r="P31" s="82">
        <v>11</v>
      </c>
      <c r="Q31" s="82">
        <v>26</v>
      </c>
      <c r="R31" s="122">
        <v>52</v>
      </c>
      <c r="S31" s="121"/>
      <c r="T31" s="121"/>
      <c r="U31" s="121"/>
      <c r="V31" s="87"/>
    </row>
    <row r="32" spans="1:22">
      <c r="M32" s="125">
        <v>1</v>
      </c>
      <c r="N32" s="81" t="s">
        <v>11</v>
      </c>
      <c r="O32" s="82">
        <v>26</v>
      </c>
      <c r="P32" s="82">
        <v>20</v>
      </c>
      <c r="Q32" s="82">
        <v>6</v>
      </c>
      <c r="R32" s="122">
        <v>52</v>
      </c>
      <c r="S32" s="121"/>
      <c r="T32" s="121"/>
      <c r="U32" s="121"/>
      <c r="V32" s="87"/>
    </row>
    <row r="33" spans="13:22">
      <c r="M33" s="125">
        <v>1</v>
      </c>
      <c r="N33" s="81" t="s">
        <v>12</v>
      </c>
      <c r="O33" s="82">
        <v>35</v>
      </c>
      <c r="P33" s="82">
        <v>11</v>
      </c>
      <c r="Q33" s="82">
        <v>0</v>
      </c>
      <c r="R33" s="122">
        <v>46</v>
      </c>
      <c r="S33" s="121"/>
      <c r="T33" s="121"/>
      <c r="U33" s="121"/>
      <c r="V33" s="87"/>
    </row>
    <row r="34" spans="13:22">
      <c r="M34" s="125">
        <v>1</v>
      </c>
      <c r="N34" s="81" t="s">
        <v>30</v>
      </c>
      <c r="O34" s="82">
        <v>39</v>
      </c>
      <c r="P34" s="82">
        <v>2</v>
      </c>
      <c r="Q34" s="82">
        <v>0</v>
      </c>
      <c r="R34" s="122">
        <v>41</v>
      </c>
      <c r="S34" s="121"/>
      <c r="T34" s="121"/>
      <c r="U34" s="121"/>
      <c r="V34" s="87"/>
    </row>
    <row r="35" spans="13:22">
      <c r="M35" s="125">
        <v>1</v>
      </c>
      <c r="N35" s="81" t="s">
        <v>20</v>
      </c>
      <c r="O35" s="82">
        <v>25</v>
      </c>
      <c r="P35" s="82">
        <v>15</v>
      </c>
      <c r="Q35" s="82">
        <v>0</v>
      </c>
      <c r="R35" s="122">
        <v>40</v>
      </c>
      <c r="S35" s="121"/>
      <c r="T35" s="121"/>
      <c r="U35" s="121"/>
      <c r="V35" s="87"/>
    </row>
    <row r="36" spans="13:22">
      <c r="M36" s="125">
        <v>1</v>
      </c>
      <c r="N36" s="81" t="s">
        <v>27</v>
      </c>
      <c r="O36" s="82">
        <v>16</v>
      </c>
      <c r="P36" s="82">
        <v>16</v>
      </c>
      <c r="Q36" s="82">
        <v>0</v>
      </c>
      <c r="R36" s="122">
        <v>32</v>
      </c>
      <c r="S36" s="121"/>
      <c r="T36" s="121"/>
      <c r="U36" s="121"/>
      <c r="V36" s="87"/>
    </row>
    <row r="37" spans="13:22">
      <c r="M37" s="125">
        <v>1</v>
      </c>
      <c r="N37" s="81" t="s">
        <v>32</v>
      </c>
      <c r="O37" s="82">
        <v>30</v>
      </c>
      <c r="P37" s="82">
        <v>1</v>
      </c>
      <c r="Q37" s="82">
        <v>0</v>
      </c>
      <c r="R37" s="122">
        <v>31</v>
      </c>
      <c r="S37" s="121"/>
      <c r="T37" s="121"/>
      <c r="U37" s="121"/>
      <c r="V37" s="87"/>
    </row>
    <row r="38" spans="13:22">
      <c r="M38" s="125">
        <v>1</v>
      </c>
      <c r="N38" s="81" t="s">
        <v>21</v>
      </c>
      <c r="O38" s="82">
        <v>26</v>
      </c>
      <c r="P38" s="82">
        <v>0</v>
      </c>
      <c r="Q38" s="82">
        <v>0</v>
      </c>
      <c r="R38" s="122">
        <v>26</v>
      </c>
      <c r="S38" s="121"/>
      <c r="T38" s="121"/>
      <c r="U38" s="121"/>
      <c r="V38" s="87"/>
    </row>
    <row r="39" spans="13:22">
      <c r="M39" s="125">
        <v>1</v>
      </c>
      <c r="N39" s="81" t="s">
        <v>0</v>
      </c>
      <c r="O39" s="82">
        <v>2</v>
      </c>
      <c r="P39" s="82">
        <v>2</v>
      </c>
      <c r="Q39" s="82">
        <v>18</v>
      </c>
      <c r="R39" s="122">
        <v>22</v>
      </c>
      <c r="S39" s="121"/>
      <c r="T39" s="121"/>
      <c r="U39" s="121"/>
      <c r="V39" s="87"/>
    </row>
    <row r="40" spans="13:22">
      <c r="M40" s="125">
        <v>1</v>
      </c>
      <c r="N40" s="81" t="s">
        <v>78</v>
      </c>
      <c r="O40" s="82">
        <v>18</v>
      </c>
      <c r="P40" s="82">
        <v>2.8</v>
      </c>
      <c r="Q40" s="82">
        <v>0</v>
      </c>
      <c r="R40" s="122">
        <v>20.8</v>
      </c>
      <c r="S40" s="121"/>
      <c r="T40" s="121"/>
      <c r="U40" s="121"/>
      <c r="V40" s="87"/>
    </row>
    <row r="41" spans="13:22">
      <c r="M41" s="125">
        <v>1</v>
      </c>
      <c r="N41" s="81" t="s">
        <v>67</v>
      </c>
      <c r="O41" s="82">
        <v>17.32</v>
      </c>
      <c r="P41" s="82">
        <v>1.6</v>
      </c>
      <c r="Q41" s="82">
        <v>0</v>
      </c>
      <c r="R41" s="122">
        <v>18.920000000000002</v>
      </c>
      <c r="S41" s="121"/>
      <c r="T41" s="121"/>
      <c r="U41" s="121"/>
      <c r="V41" s="87"/>
    </row>
    <row r="42" spans="13:22">
      <c r="M42" s="125">
        <v>1</v>
      </c>
      <c r="N42" s="81" t="s">
        <v>81</v>
      </c>
      <c r="O42" s="82">
        <v>16</v>
      </c>
      <c r="P42" s="82">
        <v>1</v>
      </c>
      <c r="Q42" s="82">
        <v>0</v>
      </c>
      <c r="R42" s="122">
        <v>17</v>
      </c>
      <c r="S42" s="121"/>
      <c r="T42" s="121"/>
      <c r="U42" s="121"/>
      <c r="V42" s="87"/>
    </row>
    <row r="43" spans="13:22">
      <c r="M43" s="125">
        <v>1</v>
      </c>
      <c r="N43" s="81" t="s">
        <v>29</v>
      </c>
      <c r="O43" s="82">
        <v>14</v>
      </c>
      <c r="P43" s="82">
        <v>2</v>
      </c>
      <c r="Q43" s="82">
        <v>0</v>
      </c>
      <c r="R43" s="122">
        <v>16</v>
      </c>
      <c r="S43" s="121"/>
      <c r="T43" s="121"/>
      <c r="U43" s="121"/>
      <c r="V43" s="87"/>
    </row>
    <row r="44" spans="13:22">
      <c r="M44" s="125">
        <v>1</v>
      </c>
      <c r="N44" s="81" t="s">
        <v>34</v>
      </c>
      <c r="O44" s="82">
        <v>15</v>
      </c>
      <c r="P44" s="82">
        <v>0</v>
      </c>
      <c r="Q44" s="82">
        <v>0</v>
      </c>
      <c r="R44" s="122">
        <v>15</v>
      </c>
      <c r="S44" s="121"/>
      <c r="T44" s="121"/>
      <c r="U44" s="121"/>
      <c r="V44" s="87"/>
    </row>
    <row r="45" spans="13:22">
      <c r="M45" s="125">
        <v>1</v>
      </c>
      <c r="N45" s="81" t="s">
        <v>19</v>
      </c>
      <c r="O45" s="82">
        <v>12</v>
      </c>
      <c r="P45" s="82">
        <v>1</v>
      </c>
      <c r="Q45" s="82">
        <v>0</v>
      </c>
      <c r="R45" s="122">
        <v>13</v>
      </c>
      <c r="S45" s="121"/>
      <c r="T45" s="121"/>
      <c r="U45" s="121"/>
      <c r="V45" s="87"/>
    </row>
    <row r="46" spans="13:22">
      <c r="M46" s="125">
        <v>1</v>
      </c>
      <c r="N46" s="81" t="s">
        <v>31</v>
      </c>
      <c r="O46" s="82">
        <v>0</v>
      </c>
      <c r="P46" s="82">
        <v>0</v>
      </c>
      <c r="Q46" s="82">
        <v>0</v>
      </c>
      <c r="R46" s="122">
        <v>0</v>
      </c>
      <c r="S46" s="121"/>
      <c r="T46" s="121"/>
      <c r="U46" s="121"/>
      <c r="V46" s="87"/>
    </row>
    <row r="47" spans="13:22">
      <c r="V47" s="87"/>
    </row>
    <row r="49" spans="18:22">
      <c r="R49" s="121"/>
      <c r="S49" s="121"/>
      <c r="T49" s="121"/>
      <c r="U49" s="121"/>
      <c r="V49" s="87"/>
    </row>
    <row r="50" spans="18:22">
      <c r="S50" s="121"/>
      <c r="T50" s="121"/>
      <c r="U50" s="121"/>
      <c r="V50" s="87"/>
    </row>
    <row r="51" spans="18:22">
      <c r="R51" s="121"/>
      <c r="S51" s="121"/>
      <c r="T51" s="121"/>
      <c r="U51" s="121"/>
      <c r="V51" s="87"/>
    </row>
  </sheetData>
  <sortState xmlns:xlrd2="http://schemas.microsoft.com/office/spreadsheetml/2017/richdata2" ref="M8:U46">
    <sortCondition descending="1" ref="R8:R46"/>
  </sortState>
  <mergeCells count="9">
    <mergeCell ref="R6:R7"/>
    <mergeCell ref="M6:M7"/>
    <mergeCell ref="Q6:Q7"/>
    <mergeCell ref="A22:J28"/>
    <mergeCell ref="A1:M2"/>
    <mergeCell ref="A3:M4"/>
    <mergeCell ref="O4:P4"/>
    <mergeCell ref="O6:O7"/>
    <mergeCell ref="P6:P7"/>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194E-C97C-45F6-B6C5-6941C671164B}">
  <sheetPr>
    <tabColor rgb="FF00B050"/>
    <pageSetUpPr fitToPage="1"/>
  </sheetPr>
  <dimension ref="A1:O59"/>
  <sheetViews>
    <sheetView showGridLines="0" zoomScaleNormal="100" workbookViewId="0">
      <selection sqref="A1:I2"/>
    </sheetView>
  </sheetViews>
  <sheetFormatPr defaultColWidth="9.1796875" defaultRowHeight="13"/>
  <cols>
    <col min="1" max="1" width="9.1796875" style="96" customWidth="1"/>
    <col min="2" max="10" width="9.1796875" style="96"/>
    <col min="11" max="11" width="9.1796875" style="116"/>
    <col min="12" max="12" width="11.6328125" style="116" bestFit="1" customWidth="1"/>
    <col min="13" max="13" width="9.1796875" style="116" customWidth="1"/>
    <col min="14" max="14" width="9.1796875" style="116"/>
    <col min="15" max="16384" width="9.1796875" style="96"/>
  </cols>
  <sheetData>
    <row r="1" spans="1:14">
      <c r="A1" s="170" t="s">
        <v>104</v>
      </c>
      <c r="B1" s="170"/>
      <c r="C1" s="170"/>
      <c r="D1" s="170"/>
      <c r="E1" s="170"/>
      <c r="F1" s="170"/>
      <c r="G1" s="170"/>
      <c r="H1" s="170"/>
      <c r="I1" s="170"/>
      <c r="J1" s="92"/>
      <c r="K1" s="93"/>
      <c r="L1" s="94"/>
      <c r="M1" s="94"/>
      <c r="N1" s="95"/>
    </row>
    <row r="2" spans="1:14">
      <c r="A2" s="170"/>
      <c r="B2" s="170"/>
      <c r="C2" s="170"/>
      <c r="D2" s="170"/>
      <c r="E2" s="170"/>
      <c r="F2" s="170"/>
      <c r="G2" s="170"/>
      <c r="H2" s="170"/>
      <c r="I2" s="170"/>
      <c r="J2" s="92"/>
      <c r="K2" s="93"/>
      <c r="L2" s="94"/>
      <c r="M2" s="94"/>
      <c r="N2" s="95"/>
    </row>
    <row r="3" spans="1:14">
      <c r="A3" s="171" t="s">
        <v>105</v>
      </c>
      <c r="B3" s="171"/>
      <c r="C3" s="171"/>
      <c r="D3" s="171"/>
      <c r="E3" s="171"/>
      <c r="F3" s="171"/>
      <c r="G3" s="171"/>
      <c r="H3" s="171"/>
      <c r="I3" s="171"/>
      <c r="J3" s="97"/>
      <c r="K3" s="93"/>
      <c r="L3" s="98"/>
      <c r="M3" s="98"/>
      <c r="N3" s="95"/>
    </row>
    <row r="4" spans="1:14">
      <c r="A4" s="171"/>
      <c r="B4" s="171"/>
      <c r="C4" s="171"/>
      <c r="D4" s="171"/>
      <c r="E4" s="171"/>
      <c r="F4" s="171"/>
      <c r="G4" s="171"/>
      <c r="H4" s="171"/>
      <c r="I4" s="171"/>
      <c r="J4" s="97"/>
      <c r="K4" s="93"/>
      <c r="L4" s="98"/>
      <c r="M4" s="98"/>
      <c r="N4" s="95"/>
    </row>
    <row r="5" spans="1:14" ht="12.75" customHeight="1">
      <c r="A5" s="99"/>
      <c r="B5" s="99"/>
      <c r="C5" s="99"/>
      <c r="D5" s="99"/>
      <c r="E5" s="99"/>
      <c r="F5" s="99"/>
      <c r="G5" s="99"/>
      <c r="H5" s="99"/>
      <c r="I5" s="99"/>
      <c r="J5" s="97"/>
      <c r="K5" s="93"/>
      <c r="L5" s="94"/>
      <c r="M5" s="94"/>
      <c r="N5" s="95"/>
    </row>
    <row r="6" spans="1:14">
      <c r="A6" s="97"/>
      <c r="B6" s="97"/>
      <c r="C6" s="97"/>
      <c r="D6" s="97"/>
      <c r="E6" s="97"/>
      <c r="F6" s="97"/>
      <c r="G6" s="97"/>
      <c r="H6" s="97"/>
      <c r="I6" s="97"/>
      <c r="J6" s="97"/>
      <c r="K6" s="93"/>
      <c r="L6" s="100"/>
      <c r="M6" s="101">
        <v>2021</v>
      </c>
      <c r="N6" s="102"/>
    </row>
    <row r="7" spans="1:14">
      <c r="A7" s="97"/>
      <c r="B7" s="97"/>
      <c r="C7" s="97"/>
      <c r="D7" s="97"/>
      <c r="E7" s="97"/>
      <c r="F7" s="97"/>
      <c r="G7" s="97"/>
      <c r="H7" s="97"/>
      <c r="I7" s="97"/>
      <c r="J7" s="97"/>
      <c r="K7" s="93"/>
      <c r="L7" s="103" t="s">
        <v>18</v>
      </c>
      <c r="M7" s="104">
        <v>82347.395626100028</v>
      </c>
      <c r="N7" s="102"/>
    </row>
    <row r="8" spans="1:14">
      <c r="A8" s="105"/>
      <c r="B8" s="105"/>
      <c r="C8" s="105"/>
      <c r="D8" s="105"/>
      <c r="E8" s="105"/>
      <c r="F8" s="105"/>
      <c r="G8" s="105"/>
      <c r="H8" s="105"/>
      <c r="I8" s="105"/>
      <c r="J8" s="105"/>
      <c r="K8" s="106"/>
      <c r="L8" s="103" t="s">
        <v>5</v>
      </c>
      <c r="M8" s="104">
        <v>49816.233324980298</v>
      </c>
      <c r="N8" s="107"/>
    </row>
    <row r="9" spans="1:14">
      <c r="A9" s="105"/>
      <c r="B9" s="105"/>
      <c r="C9" s="105"/>
      <c r="D9" s="105"/>
      <c r="E9" s="105"/>
      <c r="F9" s="105"/>
      <c r="G9" s="105"/>
      <c r="H9" s="105"/>
      <c r="I9" s="105"/>
      <c r="J9" s="105"/>
      <c r="K9" s="106"/>
      <c r="L9" s="103" t="s">
        <v>22</v>
      </c>
      <c r="M9" s="104">
        <v>49028.899993405095</v>
      </c>
      <c r="N9" s="107"/>
    </row>
    <row r="10" spans="1:14">
      <c r="A10" s="105"/>
      <c r="B10" s="105"/>
      <c r="C10" s="105"/>
      <c r="D10" s="105"/>
      <c r="E10" s="105"/>
      <c r="F10" s="105"/>
      <c r="G10" s="105"/>
      <c r="H10" s="105"/>
      <c r="I10" s="105"/>
      <c r="J10" s="105"/>
      <c r="K10" s="106"/>
      <c r="L10" s="103" t="s">
        <v>17</v>
      </c>
      <c r="M10" s="104">
        <v>35990.531114834586</v>
      </c>
      <c r="N10" s="107"/>
    </row>
    <row r="11" spans="1:14">
      <c r="A11" s="105"/>
      <c r="B11" s="105"/>
      <c r="C11" s="105"/>
      <c r="D11" s="105"/>
      <c r="E11" s="105"/>
      <c r="F11" s="105"/>
      <c r="G11" s="105"/>
      <c r="H11" s="105"/>
      <c r="I11" s="105"/>
      <c r="J11" s="105"/>
      <c r="K11" s="106"/>
      <c r="L11" s="103" t="s">
        <v>25</v>
      </c>
      <c r="M11" s="104">
        <v>35003.398092720839</v>
      </c>
      <c r="N11" s="107"/>
    </row>
    <row r="12" spans="1:14">
      <c r="A12" s="105"/>
      <c r="B12" s="105"/>
      <c r="C12" s="105"/>
      <c r="D12" s="105"/>
      <c r="E12" s="105"/>
      <c r="F12" s="105"/>
      <c r="G12" s="105"/>
      <c r="H12" s="105"/>
      <c r="I12" s="105"/>
      <c r="J12" s="105"/>
      <c r="K12" s="106"/>
      <c r="L12" s="103" t="s">
        <v>28</v>
      </c>
      <c r="M12" s="104">
        <v>34936.818094510163</v>
      </c>
      <c r="N12" s="107"/>
    </row>
    <row r="13" spans="1:14">
      <c r="A13" s="105"/>
      <c r="B13" s="105"/>
      <c r="C13" s="105"/>
      <c r="D13" s="105"/>
      <c r="E13" s="105"/>
      <c r="F13" s="105"/>
      <c r="G13" s="105"/>
      <c r="H13" s="105"/>
      <c r="I13" s="105"/>
      <c r="J13" s="105"/>
      <c r="K13" s="106"/>
      <c r="L13" s="103" t="s">
        <v>106</v>
      </c>
      <c r="M13" s="104">
        <v>33581.68704375533</v>
      </c>
      <c r="N13" s="107"/>
    </row>
    <row r="14" spans="1:14">
      <c r="A14" s="105"/>
      <c r="B14" s="105"/>
      <c r="C14" s="105"/>
      <c r="D14" s="105"/>
      <c r="E14" s="105"/>
      <c r="F14" s="105"/>
      <c r="G14" s="105"/>
      <c r="H14" s="105"/>
      <c r="I14" s="105"/>
      <c r="J14" s="105"/>
      <c r="K14" s="106"/>
      <c r="L14" s="103" t="s">
        <v>6</v>
      </c>
      <c r="M14" s="104">
        <v>32384.147648055179</v>
      </c>
      <c r="N14" s="107"/>
    </row>
    <row r="15" spans="1:14">
      <c r="A15" s="105"/>
      <c r="B15" s="105"/>
      <c r="C15" s="105"/>
      <c r="D15" s="105"/>
      <c r="E15" s="105"/>
      <c r="F15" s="105"/>
      <c r="G15" s="105"/>
      <c r="H15" s="105"/>
      <c r="I15" s="105"/>
      <c r="J15" s="105"/>
      <c r="K15" s="106"/>
      <c r="L15" s="103" t="s">
        <v>26</v>
      </c>
      <c r="M15" s="104">
        <v>31430.957050178884</v>
      </c>
      <c r="N15" s="107"/>
    </row>
    <row r="16" spans="1:14">
      <c r="A16" s="105"/>
      <c r="B16" s="105"/>
      <c r="C16" s="105"/>
      <c r="D16" s="105"/>
      <c r="E16" s="105"/>
      <c r="F16" s="105"/>
      <c r="G16" s="105"/>
      <c r="H16" s="105"/>
      <c r="I16" s="105"/>
      <c r="J16" s="105"/>
      <c r="K16" s="106"/>
      <c r="L16" s="103" t="s">
        <v>4</v>
      </c>
      <c r="M16" s="104">
        <v>30193.20183635534</v>
      </c>
      <c r="N16" s="107"/>
    </row>
    <row r="17" spans="1:14">
      <c r="A17" s="105"/>
      <c r="B17" s="105"/>
      <c r="C17" s="105"/>
      <c r="D17" s="105"/>
      <c r="E17" s="105"/>
      <c r="F17" s="105"/>
      <c r="G17" s="105"/>
      <c r="H17" s="105"/>
      <c r="I17" s="105"/>
      <c r="J17" s="105"/>
      <c r="K17" s="106"/>
      <c r="L17" s="103" t="s">
        <v>10</v>
      </c>
      <c r="M17" s="104">
        <v>30081.630517254911</v>
      </c>
      <c r="N17" s="107"/>
    </row>
    <row r="18" spans="1:14">
      <c r="A18" s="105"/>
      <c r="B18" s="105"/>
      <c r="C18" s="105"/>
      <c r="D18" s="105"/>
      <c r="E18" s="105"/>
      <c r="F18" s="105"/>
      <c r="G18" s="105"/>
      <c r="H18" s="105"/>
      <c r="I18" s="105"/>
      <c r="J18" s="105"/>
      <c r="K18" s="106"/>
      <c r="L18" s="103" t="s">
        <v>16</v>
      </c>
      <c r="M18" s="104">
        <v>29562.358961162357</v>
      </c>
      <c r="N18" s="107"/>
    </row>
    <row r="19" spans="1:14">
      <c r="A19" s="105"/>
      <c r="B19" s="105"/>
      <c r="C19" s="105"/>
      <c r="D19" s="105"/>
      <c r="E19" s="105"/>
      <c r="F19" s="105"/>
      <c r="G19" s="105"/>
      <c r="H19" s="105"/>
      <c r="I19" s="105"/>
      <c r="J19" s="105"/>
      <c r="K19" s="106"/>
      <c r="L19" s="103" t="s">
        <v>11</v>
      </c>
      <c r="M19" s="104">
        <v>29028.09242407521</v>
      </c>
      <c r="N19" s="107"/>
    </row>
    <row r="20" spans="1:14">
      <c r="A20" s="105"/>
      <c r="B20" s="105"/>
      <c r="C20" s="105"/>
      <c r="D20" s="105"/>
      <c r="E20" s="105"/>
      <c r="F20" s="105"/>
      <c r="G20" s="105"/>
      <c r="H20" s="105"/>
      <c r="I20" s="105"/>
      <c r="J20" s="105"/>
      <c r="K20" s="106"/>
      <c r="L20" s="103" t="s">
        <v>23</v>
      </c>
      <c r="M20" s="104">
        <v>20938.258028068019</v>
      </c>
      <c r="N20" s="107"/>
    </row>
    <row r="21" spans="1:14" ht="12.75" customHeight="1">
      <c r="J21" s="105"/>
      <c r="K21" s="106"/>
      <c r="L21" s="108" t="s">
        <v>107</v>
      </c>
      <c r="M21" s="109">
        <v>20834.037843721628</v>
      </c>
      <c r="N21" s="107"/>
    </row>
    <row r="22" spans="1:14">
      <c r="J22" s="97"/>
      <c r="K22" s="93"/>
      <c r="L22" s="103" t="s">
        <v>27</v>
      </c>
      <c r="M22" s="104">
        <v>18260.105365096075</v>
      </c>
      <c r="N22" s="107"/>
    </row>
    <row r="23" spans="1:14" ht="12.75" customHeight="1">
      <c r="A23" s="171" t="s">
        <v>108</v>
      </c>
      <c r="B23" s="171"/>
      <c r="C23" s="171"/>
      <c r="D23" s="171"/>
      <c r="E23" s="171"/>
      <c r="F23" s="171"/>
      <c r="G23" s="171"/>
      <c r="H23" s="171"/>
      <c r="I23" s="171"/>
      <c r="J23" s="105"/>
      <c r="K23" s="106"/>
      <c r="L23" s="103" t="s">
        <v>24</v>
      </c>
      <c r="M23" s="104">
        <v>18030.156642531299</v>
      </c>
      <c r="N23" s="107"/>
    </row>
    <row r="24" spans="1:14" ht="12.75" customHeight="1">
      <c r="A24" s="171"/>
      <c r="B24" s="171"/>
      <c r="C24" s="171"/>
      <c r="D24" s="171"/>
      <c r="E24" s="171"/>
      <c r="F24" s="171"/>
      <c r="G24" s="171"/>
      <c r="H24" s="171"/>
      <c r="I24" s="171"/>
      <c r="J24" s="110"/>
      <c r="K24" s="106"/>
      <c r="L24" s="103" t="s">
        <v>3</v>
      </c>
      <c r="M24" s="104">
        <v>16357.749476780851</v>
      </c>
      <c r="N24" s="107"/>
    </row>
    <row r="25" spans="1:14" ht="12.75" customHeight="1">
      <c r="A25" s="105"/>
      <c r="B25" s="105"/>
      <c r="C25" s="105"/>
      <c r="D25" s="105"/>
      <c r="E25" s="105"/>
      <c r="F25" s="105"/>
      <c r="G25" s="105"/>
      <c r="H25" s="105"/>
      <c r="I25" s="105"/>
      <c r="J25" s="110"/>
      <c r="K25" s="106"/>
      <c r="L25" s="103" t="s">
        <v>8</v>
      </c>
      <c r="M25" s="104">
        <v>16070.358450064132</v>
      </c>
      <c r="N25" s="107"/>
    </row>
    <row r="26" spans="1:14" ht="12.75" customHeight="1">
      <c r="A26" s="105"/>
      <c r="B26" s="105"/>
      <c r="C26" s="105"/>
      <c r="D26" s="105"/>
      <c r="E26" s="105"/>
      <c r="F26" s="105"/>
      <c r="G26" s="105"/>
      <c r="H26" s="105"/>
      <c r="I26" s="105"/>
      <c r="J26" s="110"/>
      <c r="K26" s="106"/>
      <c r="L26" s="103" t="s">
        <v>13</v>
      </c>
      <c r="M26" s="104">
        <v>15070.618539958876</v>
      </c>
      <c r="N26" s="107"/>
    </row>
    <row r="27" spans="1:14" ht="12.75" customHeight="1">
      <c r="A27" s="105"/>
      <c r="B27" s="105"/>
      <c r="C27" s="105"/>
      <c r="D27" s="105"/>
      <c r="E27" s="105"/>
      <c r="F27" s="105"/>
      <c r="G27" s="105"/>
      <c r="H27" s="105"/>
      <c r="I27" s="105"/>
      <c r="J27" s="105"/>
      <c r="K27" s="106"/>
      <c r="L27" s="103" t="s">
        <v>2</v>
      </c>
      <c r="M27" s="104">
        <v>13867.483272167723</v>
      </c>
      <c r="N27" s="107"/>
    </row>
    <row r="28" spans="1:14">
      <c r="A28" s="105"/>
      <c r="B28" s="105"/>
      <c r="C28" s="105"/>
      <c r="D28" s="105"/>
      <c r="E28" s="105"/>
      <c r="F28" s="105"/>
      <c r="G28" s="105"/>
      <c r="H28" s="105"/>
      <c r="I28" s="105"/>
      <c r="J28" s="105"/>
      <c r="K28" s="106"/>
      <c r="L28" s="103" t="s">
        <v>29</v>
      </c>
      <c r="M28" s="104">
        <v>13690.789900175369</v>
      </c>
      <c r="N28" s="107"/>
    </row>
    <row r="29" spans="1:14">
      <c r="A29" s="105"/>
      <c r="B29" s="105"/>
      <c r="C29" s="105"/>
      <c r="D29" s="105"/>
      <c r="E29" s="105"/>
      <c r="F29" s="105"/>
      <c r="G29" s="105"/>
      <c r="H29" s="105"/>
      <c r="I29" s="105"/>
      <c r="J29" s="105"/>
      <c r="K29" s="106"/>
      <c r="L29" s="103" t="s">
        <v>14</v>
      </c>
      <c r="M29" s="104">
        <v>11672.603410516742</v>
      </c>
      <c r="N29" s="107"/>
    </row>
    <row r="30" spans="1:14">
      <c r="A30" s="105"/>
      <c r="B30" s="105"/>
      <c r="C30" s="105"/>
      <c r="D30" s="105"/>
      <c r="E30" s="105"/>
      <c r="F30" s="105"/>
      <c r="G30" s="105"/>
      <c r="H30" s="105"/>
      <c r="I30" s="105"/>
      <c r="J30" s="105"/>
      <c r="K30" s="106"/>
      <c r="L30" s="103" t="s">
        <v>9</v>
      </c>
      <c r="M30" s="104">
        <v>10963.973542854776</v>
      </c>
      <c r="N30" s="107"/>
    </row>
    <row r="31" spans="1:14">
      <c r="A31" s="105"/>
      <c r="B31" s="105"/>
      <c r="C31" s="105"/>
      <c r="D31" s="105"/>
      <c r="E31" s="105"/>
      <c r="F31" s="105"/>
      <c r="G31" s="105"/>
      <c r="H31" s="105"/>
      <c r="I31" s="105"/>
      <c r="J31" s="105"/>
      <c r="K31" s="106"/>
      <c r="L31" s="103" t="s">
        <v>7</v>
      </c>
      <c r="M31" s="104">
        <v>9947.9944414125184</v>
      </c>
      <c r="N31" s="107"/>
    </row>
    <row r="32" spans="1:14">
      <c r="A32" s="105"/>
      <c r="B32" s="105"/>
      <c r="C32" s="105"/>
      <c r="D32" s="105"/>
      <c r="E32" s="105"/>
      <c r="F32" s="105"/>
      <c r="G32" s="105"/>
      <c r="H32" s="105"/>
      <c r="I32" s="105"/>
      <c r="J32" s="105"/>
      <c r="K32" s="106"/>
      <c r="L32" s="103" t="s">
        <v>1</v>
      </c>
      <c r="M32" s="104">
        <v>9762.6409896966834</v>
      </c>
      <c r="N32" s="107"/>
    </row>
    <row r="33" spans="1:15">
      <c r="A33" s="105"/>
      <c r="B33" s="105"/>
      <c r="C33" s="105"/>
      <c r="D33" s="105"/>
      <c r="E33" s="105"/>
      <c r="F33" s="105"/>
      <c r="G33" s="105"/>
      <c r="H33" s="105"/>
      <c r="I33" s="105"/>
      <c r="J33" s="105"/>
      <c r="K33" s="106"/>
      <c r="L33" s="103" t="s">
        <v>34</v>
      </c>
      <c r="M33" s="104">
        <v>7768.5327121363243</v>
      </c>
      <c r="N33" s="107"/>
    </row>
    <row r="34" spans="1:15">
      <c r="A34" s="105"/>
      <c r="B34" s="105"/>
      <c r="C34" s="105"/>
      <c r="D34" s="105"/>
      <c r="E34" s="105"/>
      <c r="F34" s="105"/>
      <c r="G34" s="105"/>
      <c r="H34" s="105"/>
      <c r="I34" s="105"/>
      <c r="J34" s="105"/>
      <c r="K34" s="106"/>
      <c r="L34" s="103" t="s">
        <v>15</v>
      </c>
      <c r="M34" s="104">
        <v>7384.9806067940444</v>
      </c>
      <c r="N34" s="107"/>
    </row>
    <row r="35" spans="1:15">
      <c r="A35" s="105"/>
      <c r="B35" s="105"/>
      <c r="C35" s="105"/>
      <c r="D35" s="105"/>
      <c r="E35" s="105"/>
      <c r="F35" s="105"/>
      <c r="G35" s="105"/>
      <c r="H35" s="105"/>
      <c r="I35" s="105"/>
      <c r="J35" s="105"/>
      <c r="K35" s="106"/>
      <c r="L35" s="103" t="s">
        <v>21</v>
      </c>
      <c r="M35" s="104">
        <v>7036.6527506201974</v>
      </c>
      <c r="N35" s="107"/>
    </row>
    <row r="36" spans="1:15">
      <c r="A36" s="105"/>
      <c r="B36" s="105"/>
      <c r="C36" s="105"/>
      <c r="D36" s="105"/>
      <c r="E36" s="105"/>
      <c r="F36" s="105"/>
      <c r="G36" s="105"/>
      <c r="H36" s="105"/>
      <c r="I36" s="105"/>
      <c r="J36" s="105"/>
      <c r="K36" s="106"/>
      <c r="L36" s="103" t="s">
        <v>12</v>
      </c>
      <c r="M36" s="104">
        <v>6962.4473513795374</v>
      </c>
      <c r="N36" s="107"/>
    </row>
    <row r="37" spans="1:15">
      <c r="A37" s="105"/>
      <c r="B37" s="105"/>
      <c r="C37" s="105"/>
      <c r="D37" s="105"/>
      <c r="E37" s="105"/>
      <c r="F37" s="105"/>
      <c r="G37" s="105"/>
      <c r="H37" s="105"/>
      <c r="I37" s="105"/>
      <c r="J37" s="105"/>
      <c r="K37" s="106"/>
      <c r="L37" s="103" t="s">
        <v>30</v>
      </c>
      <c r="M37" s="104">
        <v>6446.1730076098238</v>
      </c>
      <c r="N37" s="107"/>
    </row>
    <row r="38" spans="1:15">
      <c r="A38" s="105"/>
      <c r="B38" s="105"/>
      <c r="C38" s="105"/>
      <c r="D38" s="105"/>
      <c r="E38" s="105"/>
      <c r="F38" s="105"/>
      <c r="G38" s="105"/>
      <c r="H38" s="105"/>
      <c r="I38" s="105"/>
      <c r="J38" s="105"/>
      <c r="K38" s="106"/>
      <c r="L38" s="103" t="s">
        <v>32</v>
      </c>
      <c r="M38" s="104">
        <v>6326.4222225925496</v>
      </c>
      <c r="N38" s="107"/>
    </row>
    <row r="39" spans="1:15">
      <c r="A39" s="105"/>
      <c r="B39" s="105"/>
      <c r="C39" s="105"/>
      <c r="D39" s="105"/>
      <c r="E39" s="105"/>
      <c r="F39" s="105"/>
      <c r="G39" s="105"/>
      <c r="H39" s="105"/>
      <c r="I39" s="105"/>
      <c r="J39" s="105"/>
      <c r="K39" s="106"/>
      <c r="L39" s="103" t="s">
        <v>0</v>
      </c>
      <c r="M39" s="104">
        <v>6138.2902383279852</v>
      </c>
      <c r="N39" s="107"/>
    </row>
    <row r="40" spans="1:15">
      <c r="A40" s="105"/>
      <c r="B40" s="105"/>
      <c r="C40" s="105"/>
      <c r="D40" s="105"/>
      <c r="E40" s="105"/>
      <c r="F40" s="105"/>
      <c r="G40" s="105"/>
      <c r="H40" s="105"/>
      <c r="I40" s="105"/>
      <c r="J40" s="105"/>
      <c r="K40" s="106"/>
      <c r="L40" s="103" t="s">
        <v>20</v>
      </c>
      <c r="M40" s="104">
        <v>1547.1828196733941</v>
      </c>
      <c r="N40" s="107"/>
    </row>
    <row r="41" spans="1:15">
      <c r="A41" s="105"/>
      <c r="B41" s="105"/>
      <c r="C41" s="105"/>
      <c r="D41" s="105"/>
      <c r="E41" s="105"/>
      <c r="F41" s="105"/>
      <c r="G41" s="105"/>
      <c r="H41" s="105"/>
      <c r="I41" s="105"/>
      <c r="J41" s="105"/>
      <c r="K41" s="106"/>
      <c r="L41" s="103" t="s">
        <v>78</v>
      </c>
      <c r="M41" s="104">
        <v>1007.6933478322051</v>
      </c>
      <c r="N41" s="107"/>
    </row>
    <row r="42" spans="1:15">
      <c r="A42" s="106"/>
      <c r="B42" s="106"/>
      <c r="C42" s="106"/>
      <c r="D42" s="106"/>
      <c r="E42" s="106"/>
      <c r="F42" s="106"/>
      <c r="G42" s="106"/>
      <c r="H42" s="106"/>
      <c r="I42" s="106"/>
      <c r="J42" s="105"/>
      <c r="K42" s="111"/>
      <c r="L42" s="103" t="s">
        <v>81</v>
      </c>
      <c r="M42" s="104">
        <v>554.86568657940029</v>
      </c>
      <c r="N42" s="107"/>
    </row>
    <row r="43" spans="1:15" ht="12.75" customHeight="1">
      <c r="A43" s="105"/>
      <c r="B43" s="105"/>
      <c r="C43" s="105"/>
      <c r="D43" s="105"/>
      <c r="E43" s="105"/>
      <c r="F43" s="105"/>
      <c r="G43" s="105"/>
      <c r="H43" s="105"/>
      <c r="I43" s="105"/>
      <c r="J43" s="105"/>
      <c r="K43" s="106"/>
      <c r="L43" s="112"/>
      <c r="M43" s="113"/>
      <c r="N43" s="114"/>
      <c r="O43" s="115"/>
    </row>
    <row r="44" spans="1:15">
      <c r="A44" s="105"/>
      <c r="B44" s="105"/>
      <c r="C44" s="105"/>
      <c r="D44" s="105"/>
      <c r="E44" s="105"/>
      <c r="F44" s="105"/>
      <c r="G44" s="105"/>
      <c r="H44" s="105"/>
      <c r="I44" s="105"/>
      <c r="J44" s="105"/>
      <c r="K44" s="106"/>
      <c r="N44" s="114"/>
      <c r="O44" s="115"/>
    </row>
    <row r="45" spans="1:15">
      <c r="N45" s="107"/>
    </row>
    <row r="46" spans="1:15">
      <c r="N46" s="107"/>
    </row>
    <row r="47" spans="1:15">
      <c r="N47" s="107"/>
    </row>
    <row r="48" spans="1:15">
      <c r="N48" s="107"/>
    </row>
    <row r="49" spans="10:15">
      <c r="N49" s="107"/>
    </row>
    <row r="50" spans="10:15" ht="12.75" customHeight="1">
      <c r="J50" s="116"/>
      <c r="N50" s="107"/>
    </row>
    <row r="51" spans="10:15" ht="12.75" customHeight="1">
      <c r="N51" s="107"/>
    </row>
    <row r="52" spans="10:15" ht="12.75" customHeight="1">
      <c r="N52" s="107"/>
    </row>
    <row r="53" spans="10:15" ht="12.75" customHeight="1">
      <c r="N53" s="107"/>
    </row>
    <row r="54" spans="10:15" ht="12.75" customHeight="1">
      <c r="N54" s="107"/>
    </row>
    <row r="55" spans="10:15" ht="12.75" customHeight="1">
      <c r="N55" s="107"/>
    </row>
    <row r="56" spans="10:15">
      <c r="N56" s="117"/>
      <c r="O56" s="117"/>
    </row>
    <row r="57" spans="10:15">
      <c r="N57" s="107"/>
    </row>
    <row r="58" spans="10:15">
      <c r="N58" s="107"/>
    </row>
    <row r="59" spans="10:15">
      <c r="N59" s="107"/>
    </row>
  </sheetData>
  <mergeCells count="3">
    <mergeCell ref="A1:I2"/>
    <mergeCell ref="A3:I4"/>
    <mergeCell ref="A23:I24"/>
  </mergeCells>
  <pageMargins left="0.70866141732283472" right="0.70866141732283472" top="0.74803149606299213" bottom="0.74803149606299213" header="0.31496062992125984" footer="0.31496062992125984"/>
  <pageSetup paperSize="9" orientation="portrait" r:id="rId1"/>
  <headerFooter>
    <oddHeader>&amp;LOECD Family Database (http://www.oecd.org/els/family/database.htm)</oddHeader>
    <oddFooter>&amp;C_x000D_&amp;1#&amp;"Arial Narrow"&amp;10&amp;K0000FF Unclassified - Non classifié</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LongProperties xmlns="http://schemas.microsoft.com/office/2006/metadata/longProperti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6.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ELS/HD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Props1.xml><?xml version="1.0" encoding="utf-8"?>
<ds:datastoreItem xmlns:ds="http://schemas.openxmlformats.org/officeDocument/2006/customXml" ds:itemID="{B88A3BB8-176E-4E3E-87DE-2E69D58BFE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9AB1B6-0B44-4935-9FC3-B6C42F18728A}">
  <ds:schemaRefs>
    <ds:schemaRef ds:uri="Microsoft.SharePoint.Taxonomy.ContentTypeSync"/>
  </ds:schemaRefs>
</ds:datastoreItem>
</file>

<file path=customXml/itemProps3.xml><?xml version="1.0" encoding="utf-8"?>
<ds:datastoreItem xmlns:ds="http://schemas.openxmlformats.org/officeDocument/2006/customXml" ds:itemID="{02971C83-346A-4E43-BDA5-665DA3E3A927}">
  <ds:schemaRefs>
    <ds:schemaRef ds:uri="http://schemas.microsoft.com/sharepoint/v3/contenttype/forms"/>
  </ds:schemaRefs>
</ds:datastoreItem>
</file>

<file path=customXml/itemProps4.xml><?xml version="1.0" encoding="utf-8"?>
<ds:datastoreItem xmlns:ds="http://schemas.openxmlformats.org/officeDocument/2006/customXml" ds:itemID="{1A5D1F6F-FA95-41C0-8CC0-4797CFCA3AB9}">
  <ds:schemaRefs>
    <ds:schemaRef ds:uri="http://schemas.microsoft.com/office/2006/metadata/longProperties"/>
  </ds:schemaRefs>
</ds:datastoreItem>
</file>

<file path=customXml/itemProps5.xml><?xml version="1.0" encoding="utf-8"?>
<ds:datastoreItem xmlns:ds="http://schemas.openxmlformats.org/officeDocument/2006/customXml" ds:itemID="{4641E19D-DA11-4EFA-B03E-D75F76D7AA1C}">
  <ds:schemaRefs>
    <ds:schemaRef ds:uri="http://www.oecd.org/eshare/projectsentre/CtFieldPriority/"/>
    <ds:schemaRef ds:uri="http://schemas.microsoft.com/2003/10/Serialization/Arrays"/>
  </ds:schemaRefs>
</ds:datastoreItem>
</file>

<file path=customXml/itemProps6.xml><?xml version="1.0" encoding="utf-8"?>
<ds:datastoreItem xmlns:ds="http://schemas.openxmlformats.org/officeDocument/2006/customXml" ds:itemID="{1C720A18-9B21-445E-8617-4CB3586C803F}">
  <ds:schemaRefs>
    <ds:schemaRef ds:uri="22a5b7d0-1699-458f-b8e2-4d8247229549"/>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schemas.microsoft.com/sharepoint/v4"/>
    <ds:schemaRef ds:uri="http://purl.org/dc/terms/"/>
    <ds:schemaRef ds:uri="http://www.w3.org/XML/1998/namespace"/>
    <ds:schemaRef ds:uri="c9f238dd-bb73-4aef-a7a5-d644ad823e52"/>
    <ds:schemaRef ds:uri="c5805097-db0a-42f9-a837-be9035f1f571"/>
    <ds:schemaRef ds:uri="ca82dde9-3436-4d3d-bddd-d31447390034"/>
    <ds:schemaRef ds:uri="54c4cd27-f286-408f-9ce0-33c1e0f3ab3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Table PF2.1.A</vt:lpstr>
      <vt:lpstr>Table PF2.1.B</vt:lpstr>
      <vt:lpstr>Chart PF2.1.A</vt:lpstr>
      <vt:lpstr>Chart PF2.1.B</vt:lpstr>
      <vt:lpstr>Chart PF2.1.C</vt:lpstr>
      <vt:lpstr>Chart PF2.1.D</vt:lpstr>
      <vt:lpstr>Chart PF2.1.E</vt:lpstr>
      <vt:lpstr>'Chart PF2.1.E'!footnotes</vt:lpstr>
      <vt:lpstr>'Chart PF2.1.E'!Notes</vt:lpstr>
      <vt:lpstr>'Chart PF2.1.A'!Print_Area</vt:lpstr>
      <vt:lpstr>'Chart PF2.1.B'!Print_Area</vt:lpstr>
      <vt:lpstr>'Chart PF2.1.C'!Print_Area</vt:lpstr>
      <vt:lpstr>'Chart PF2.1.E'!Print_Area</vt:lpstr>
      <vt:lpstr>'Table PF2.1.A'!Print_Area</vt:lpstr>
      <vt:lpstr>'Table PF2.1.B'!Print_Area</vt:lpstr>
      <vt:lpstr>'Chart PF2.1.E'!Source</vt:lpstr>
      <vt:lpstr>'Chart PF2.1.E'!Subtitle</vt:lpstr>
      <vt:lpstr>'Chart PF2.1.E'!title</vt:lpstr>
      <vt:lpstr>'Chart PF2.1.E'!Title_</vt:lpstr>
    </vt:vector>
  </TitlesOfParts>
  <Company>INED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PF7 Parental leave web 29072009.xls</dc:title>
  <dc:creator>INED</dc:creator>
  <cp:lastModifiedBy>OZAKI Takuyo, ELS/SPD</cp:lastModifiedBy>
  <cp:lastPrinted>2022-11-18T10:59:22Z</cp:lastPrinted>
  <dcterms:created xsi:type="dcterms:W3CDTF">2009-01-20T16:06:20Z</dcterms:created>
  <dcterms:modified xsi:type="dcterms:W3CDTF">2026-02-02T08:30:26Z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country">
    <vt:lpwstr/>
  </property>
  <property fmtid="{D5CDD505-2E9C-101B-9397-08002B2CF9AE}" pid="4" name="xd_Signature">
    <vt:lpwstr/>
  </property>
  <property fmtid="{D5CDD505-2E9C-101B-9397-08002B2CF9AE}" pid="5" name="display_urn:schemas-microsoft-com:office:office#Editor">
    <vt:lpwstr>HERZOG Heike-Daniela, ELS/SPD</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y fmtid="{D5CDD505-2E9C-101B-9397-08002B2CF9AE}" pid="9" name="OECDCountry">
    <vt:lpwstr/>
  </property>
  <property fmtid="{D5CDD505-2E9C-101B-9397-08002B2CF9AE}" pid="10" name="OECDTopic">
    <vt:lpwstr/>
  </property>
  <property fmtid="{D5CDD505-2E9C-101B-9397-08002B2CF9AE}" pid="11" name="OECDCommittee">
    <vt:lpwstr/>
  </property>
  <property fmtid="{D5CDD505-2E9C-101B-9397-08002B2CF9AE}" pid="12" name="OECDPWB">
    <vt:lpwstr>6;#(n/a)|3adabb5f-45b7-4a20-bdde-219e8d9477af</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49;#ELS/SPD|0e85e649-01ae-435c-b5a2-39c5f49851ef</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BookId">
    <vt:lpwstr>101ddc52-1168-49e7-b1ef-a7a99428bac6</vt:lpwstr>
  </property>
  <property fmtid="{D5CDD505-2E9C-101B-9397-08002B2CF9AE}" pid="20" name="MSIP_Label_0e5510b0-e729-4ef0-a3dd-4ba0dfe56c99_Enabled">
    <vt:lpwstr>true</vt:lpwstr>
  </property>
  <property fmtid="{D5CDD505-2E9C-101B-9397-08002B2CF9AE}" pid="21" name="MSIP_Label_0e5510b0-e729-4ef0-a3dd-4ba0dfe56c99_SetDate">
    <vt:lpwstr>2024-11-27T10:49:27Z</vt:lpwstr>
  </property>
  <property fmtid="{D5CDD505-2E9C-101B-9397-08002B2CF9AE}" pid="22" name="MSIP_Label_0e5510b0-e729-4ef0-a3dd-4ba0dfe56c99_Method">
    <vt:lpwstr>Standard</vt:lpwstr>
  </property>
  <property fmtid="{D5CDD505-2E9C-101B-9397-08002B2CF9AE}" pid="23" name="MSIP_Label_0e5510b0-e729-4ef0-a3dd-4ba0dfe56c99_Name">
    <vt:lpwstr>Restricted Use</vt:lpwstr>
  </property>
  <property fmtid="{D5CDD505-2E9C-101B-9397-08002B2CF9AE}" pid="24" name="MSIP_Label_0e5510b0-e729-4ef0-a3dd-4ba0dfe56c99_SiteId">
    <vt:lpwstr>ac41c7d4-1f61-460d-b0f4-fc925a2b471c</vt:lpwstr>
  </property>
  <property fmtid="{D5CDD505-2E9C-101B-9397-08002B2CF9AE}" pid="25" name="MSIP_Label_0e5510b0-e729-4ef0-a3dd-4ba0dfe56c99_ActionId">
    <vt:lpwstr>8b924130-e5d2-4ca2-93e9-b96bd25a8050</vt:lpwstr>
  </property>
  <property fmtid="{D5CDD505-2E9C-101B-9397-08002B2CF9AE}" pid="26" name="MSIP_Label_0e5510b0-e729-4ef0-a3dd-4ba0dfe56c99_ContentBits">
    <vt:lpwstr>2</vt:lpwstr>
  </property>
</Properties>
</file>